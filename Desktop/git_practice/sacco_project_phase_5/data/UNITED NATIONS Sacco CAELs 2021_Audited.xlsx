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5/UNITED NATIONS-2375/Accounts Approval/2022/"/>
    </mc:Choice>
  </mc:AlternateContent>
  <xr:revisionPtr revIDLastSave="485" documentId="8_{8A672D76-F329-41AF-8DBF-16AA0A85127A}" xr6:coauthVersionLast="47" xr6:coauthVersionMax="47" xr10:uidLastSave="{0637C6ED-0AFB-49F8-9EB1-AA3B0D0A9F68}"/>
  <bookViews>
    <workbookView xWindow="28680" yWindow="-120" windowWidth="29040" windowHeight="15720" firstSheet="3" activeTab="2" xr2:uid="{00000000-000D-0000-FFFF-FFFF00000000}"/>
  </bookViews>
  <sheets>
    <sheet name="Evolutive SFP" sheetId="1" r:id="rId1"/>
    <sheet name="Evolutitve SCI" sheetId="2" r:id="rId2"/>
    <sheet name="CAELS" sheetId="3" r:id="rId3"/>
    <sheet name="Financials" sheetId="5" r:id="rId4"/>
    <sheet name="Prudential Ratios" sheetId="8" r:id="rId5"/>
    <sheet name="Sheet1" sheetId="9" r:id="rId6"/>
  </sheets>
  <externalReferences>
    <externalReference r:id="rId7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3" l="1"/>
  <c r="AV3" i="3"/>
  <c r="AW3" i="3"/>
  <c r="AX3" i="3"/>
  <c r="AY3" i="3"/>
  <c r="AZ3" i="3"/>
  <c r="BA3" i="3"/>
  <c r="BB3" i="3"/>
  <c r="BC3" i="3"/>
  <c r="AU4" i="3"/>
  <c r="AV4" i="3"/>
  <c r="AW4" i="3"/>
  <c r="AX4" i="3"/>
  <c r="AY4" i="3"/>
  <c r="AZ4" i="3"/>
  <c r="BA4" i="3"/>
  <c r="BB4" i="3"/>
  <c r="BC4" i="3"/>
  <c r="AU5" i="3"/>
  <c r="AV5" i="3"/>
  <c r="AW5" i="3"/>
  <c r="AX5" i="3"/>
  <c r="AY5" i="3"/>
  <c r="AZ5" i="3"/>
  <c r="BA5" i="3"/>
  <c r="BB5" i="3"/>
  <c r="BC5" i="3"/>
  <c r="AU6" i="3"/>
  <c r="AV6" i="3"/>
  <c r="AW6" i="3"/>
  <c r="AX6" i="3"/>
  <c r="AY6" i="3"/>
  <c r="AZ6" i="3"/>
  <c r="BA6" i="3"/>
  <c r="BB6" i="3"/>
  <c r="BC6" i="3"/>
  <c r="AU8" i="3"/>
  <c r="AV8" i="3"/>
  <c r="AW8" i="3"/>
  <c r="AX8" i="3"/>
  <c r="AY8" i="3"/>
  <c r="AZ8" i="3"/>
  <c r="BA8" i="3"/>
  <c r="BB8" i="3"/>
  <c r="BC8" i="3"/>
  <c r="AU9" i="3"/>
  <c r="AV9" i="3"/>
  <c r="AW9" i="3"/>
  <c r="AX9" i="3"/>
  <c r="AY9" i="3"/>
  <c r="AZ9" i="3"/>
  <c r="BA9" i="3"/>
  <c r="BB9" i="3"/>
  <c r="BC9" i="3"/>
  <c r="AU10" i="3"/>
  <c r="AV10" i="3"/>
  <c r="AW10" i="3"/>
  <c r="AX10" i="3"/>
  <c r="AY10" i="3"/>
  <c r="AZ10" i="3"/>
  <c r="BA10" i="3"/>
  <c r="BB10" i="3"/>
  <c r="BC10" i="3"/>
  <c r="AU11" i="3"/>
  <c r="AV11" i="3"/>
  <c r="AW11" i="3"/>
  <c r="AX11" i="3"/>
  <c r="AY11" i="3"/>
  <c r="AZ11" i="3"/>
  <c r="BA11" i="3"/>
  <c r="BB11" i="3"/>
  <c r="BC11" i="3"/>
  <c r="AU12" i="3"/>
  <c r="AV12" i="3"/>
  <c r="AW12" i="3"/>
  <c r="AX12" i="3"/>
  <c r="AY12" i="3"/>
  <c r="AZ12" i="3"/>
  <c r="BA12" i="3"/>
  <c r="BB12" i="3"/>
  <c r="BC12" i="3"/>
  <c r="AU13" i="3"/>
  <c r="AV13" i="3"/>
  <c r="AW13" i="3"/>
  <c r="AX13" i="3"/>
  <c r="AY13" i="3"/>
  <c r="AZ13" i="3"/>
  <c r="BA13" i="3"/>
  <c r="BB13" i="3"/>
  <c r="BC13" i="3"/>
  <c r="AU14" i="3"/>
  <c r="AV14" i="3"/>
  <c r="AW14" i="3"/>
  <c r="AX14" i="3"/>
  <c r="AY14" i="3"/>
  <c r="AZ14" i="3"/>
  <c r="BA14" i="3"/>
  <c r="BB14" i="3"/>
  <c r="BC14" i="3"/>
  <c r="AU15" i="3"/>
  <c r="AV15" i="3"/>
  <c r="AW15" i="3"/>
  <c r="AX15" i="3"/>
  <c r="AY15" i="3"/>
  <c r="AZ15" i="3"/>
  <c r="BA15" i="3"/>
  <c r="BB15" i="3"/>
  <c r="BC15" i="3"/>
  <c r="AU16" i="3"/>
  <c r="AV16" i="3"/>
  <c r="AW16" i="3"/>
  <c r="AX16" i="3"/>
  <c r="AY16" i="3"/>
  <c r="AZ16" i="3"/>
  <c r="BA16" i="3"/>
  <c r="BB16" i="3"/>
  <c r="BC16" i="3"/>
  <c r="AU17" i="3"/>
  <c r="AV17" i="3"/>
  <c r="AW17" i="3"/>
  <c r="AX17" i="3"/>
  <c r="AY17" i="3"/>
  <c r="AZ17" i="3"/>
  <c r="BA17" i="3"/>
  <c r="BB17" i="3"/>
  <c r="BC17" i="3"/>
  <c r="AU18" i="3"/>
  <c r="AV18" i="3"/>
  <c r="AW18" i="3"/>
  <c r="AX18" i="3"/>
  <c r="AY18" i="3"/>
  <c r="AZ18" i="3"/>
  <c r="BA18" i="3"/>
  <c r="BB18" i="3"/>
  <c r="BC18" i="3"/>
  <c r="AU19" i="3"/>
  <c r="AV19" i="3"/>
  <c r="AW19" i="3"/>
  <c r="AX19" i="3"/>
  <c r="AY19" i="3"/>
  <c r="AZ19" i="3"/>
  <c r="BA19" i="3"/>
  <c r="BB19" i="3"/>
  <c r="BC19" i="3"/>
  <c r="AU20" i="3"/>
  <c r="AV20" i="3"/>
  <c r="AW20" i="3"/>
  <c r="AX20" i="3"/>
  <c r="AY20" i="3"/>
  <c r="AZ20" i="3"/>
  <c r="BA20" i="3"/>
  <c r="BB20" i="3"/>
  <c r="BC20" i="3"/>
  <c r="AU21" i="3"/>
  <c r="AV21" i="3"/>
  <c r="AW21" i="3"/>
  <c r="AX21" i="3"/>
  <c r="AY21" i="3"/>
  <c r="AZ21" i="3"/>
  <c r="BA21" i="3"/>
  <c r="BB21" i="3"/>
  <c r="BC21" i="3"/>
  <c r="AU22" i="3"/>
  <c r="AV22" i="3"/>
  <c r="AW22" i="3"/>
  <c r="AX22" i="3"/>
  <c r="AY22" i="3"/>
  <c r="AZ22" i="3"/>
  <c r="BA22" i="3"/>
  <c r="BB22" i="3"/>
  <c r="BC22" i="3"/>
  <c r="AU23" i="3"/>
  <c r="AV23" i="3"/>
  <c r="AW23" i="3"/>
  <c r="AX23" i="3"/>
  <c r="AY23" i="3"/>
  <c r="AZ23" i="3"/>
  <c r="BA23" i="3"/>
  <c r="BB23" i="3"/>
  <c r="BC23" i="3"/>
  <c r="AU24" i="3"/>
  <c r="AV24" i="3"/>
  <c r="AW24" i="3"/>
  <c r="AX24" i="3"/>
  <c r="AY24" i="3"/>
  <c r="AZ24" i="3"/>
  <c r="BA24" i="3"/>
  <c r="BB24" i="3"/>
  <c r="BC24" i="3"/>
  <c r="AU25" i="3"/>
  <c r="AV25" i="3"/>
  <c r="AW25" i="3"/>
  <c r="AX25" i="3"/>
  <c r="AY25" i="3"/>
  <c r="AZ25" i="3"/>
  <c r="BA25" i="3"/>
  <c r="BB25" i="3"/>
  <c r="BC25" i="3"/>
  <c r="AU26" i="3"/>
  <c r="AV26" i="3"/>
  <c r="AW26" i="3"/>
  <c r="AX26" i="3"/>
  <c r="AY26" i="3"/>
  <c r="AZ26" i="3"/>
  <c r="BA26" i="3"/>
  <c r="BB26" i="3"/>
  <c r="BC26" i="3"/>
  <c r="AU27" i="3"/>
  <c r="AV27" i="3"/>
  <c r="AW27" i="3"/>
  <c r="AX27" i="3"/>
  <c r="AY27" i="3"/>
  <c r="AZ27" i="3"/>
  <c r="BA27" i="3"/>
  <c r="BB27" i="3"/>
  <c r="BC27" i="3"/>
  <c r="AU28" i="3"/>
  <c r="AV28" i="3"/>
  <c r="AW28" i="3"/>
  <c r="AX28" i="3"/>
  <c r="AY28" i="3"/>
  <c r="AZ28" i="3"/>
  <c r="BA28" i="3"/>
  <c r="BB28" i="3"/>
  <c r="BC28" i="3"/>
  <c r="AU29" i="3"/>
  <c r="AV29" i="3"/>
  <c r="AW29" i="3"/>
  <c r="AX29" i="3"/>
  <c r="AY29" i="3"/>
  <c r="AZ29" i="3"/>
  <c r="BA29" i="3"/>
  <c r="BB29" i="3"/>
  <c r="BC29" i="3"/>
  <c r="AU30" i="3"/>
  <c r="AV30" i="3"/>
  <c r="AW30" i="3"/>
  <c r="AX30" i="3"/>
  <c r="AY30" i="3"/>
  <c r="AZ30" i="3"/>
  <c r="BA30" i="3"/>
  <c r="BB30" i="3"/>
  <c r="BC30" i="3"/>
  <c r="AU32" i="3"/>
  <c r="AV32" i="3"/>
  <c r="AW32" i="3"/>
  <c r="AX32" i="3"/>
  <c r="AY32" i="3"/>
  <c r="AZ32" i="3"/>
  <c r="BA32" i="3"/>
  <c r="BB32" i="3"/>
  <c r="BC32" i="3"/>
  <c r="AU33" i="3"/>
  <c r="AV33" i="3"/>
  <c r="AW33" i="3"/>
  <c r="AX33" i="3"/>
  <c r="AY33" i="3"/>
  <c r="AZ33" i="3"/>
  <c r="BA33" i="3"/>
  <c r="BB33" i="3"/>
  <c r="BC33" i="3"/>
  <c r="AU34" i="3"/>
  <c r="AV34" i="3"/>
  <c r="AW34" i="3"/>
  <c r="AX34" i="3"/>
  <c r="AY34" i="3"/>
  <c r="AZ34" i="3"/>
  <c r="BA34" i="3"/>
  <c r="BB34" i="3"/>
  <c r="BC34" i="3"/>
  <c r="AU35" i="3"/>
  <c r="AV35" i="3"/>
  <c r="AW35" i="3"/>
  <c r="AX35" i="3"/>
  <c r="AY35" i="3"/>
  <c r="AZ35" i="3"/>
  <c r="BA35" i="3"/>
  <c r="BB35" i="3"/>
  <c r="BC35" i="3"/>
  <c r="AU36" i="3"/>
  <c r="AV36" i="3"/>
  <c r="AW36" i="3"/>
  <c r="AX36" i="3"/>
  <c r="AY36" i="3"/>
  <c r="AZ36" i="3"/>
  <c r="BA36" i="3"/>
  <c r="BB36" i="3"/>
  <c r="BC36" i="3"/>
  <c r="AU37" i="3"/>
  <c r="AV37" i="3"/>
  <c r="AW37" i="3"/>
  <c r="AX37" i="3"/>
  <c r="AY37" i="3"/>
  <c r="AZ37" i="3"/>
  <c r="BA37" i="3"/>
  <c r="BB37" i="3"/>
  <c r="BC37" i="3"/>
  <c r="AU38" i="3"/>
  <c r="AV38" i="3"/>
  <c r="AW38" i="3"/>
  <c r="AX38" i="3"/>
  <c r="AY38" i="3"/>
  <c r="AZ38" i="3"/>
  <c r="BA38" i="3"/>
  <c r="BB38" i="3"/>
  <c r="BC38" i="3"/>
  <c r="AU39" i="3"/>
  <c r="AV39" i="3"/>
  <c r="AW39" i="3"/>
  <c r="AX39" i="3"/>
  <c r="AY39" i="3"/>
  <c r="AZ39" i="3"/>
  <c r="BA39" i="3"/>
  <c r="BB39" i="3"/>
  <c r="BC39" i="3"/>
  <c r="F6" i="8"/>
  <c r="G6" i="8"/>
  <c r="H6" i="8"/>
  <c r="I6" i="8"/>
  <c r="F7" i="8"/>
  <c r="G7" i="8"/>
  <c r="H7" i="8"/>
  <c r="I7" i="8"/>
  <c r="F8" i="8"/>
  <c r="G8" i="8"/>
  <c r="H8" i="8"/>
  <c r="I8" i="8"/>
  <c r="F9" i="8"/>
  <c r="G9" i="8"/>
  <c r="H9" i="8"/>
  <c r="I9" i="8"/>
  <c r="F10" i="8"/>
  <c r="G10" i="8"/>
  <c r="H10" i="8"/>
  <c r="I10" i="8"/>
  <c r="F14" i="8"/>
  <c r="G14" i="8"/>
  <c r="H14" i="8"/>
  <c r="I14" i="8"/>
  <c r="F15" i="8"/>
  <c r="G15" i="8"/>
  <c r="H15" i="8"/>
  <c r="I15" i="8"/>
  <c r="F19" i="8"/>
  <c r="G19" i="8"/>
  <c r="H19" i="8"/>
  <c r="I19" i="8"/>
  <c r="F20" i="8"/>
  <c r="G20" i="8"/>
  <c r="H20" i="8"/>
  <c r="I20" i="8"/>
  <c r="F21" i="8"/>
  <c r="G21" i="8"/>
  <c r="H21" i="8"/>
  <c r="I21" i="8"/>
  <c r="F24" i="8"/>
  <c r="G24" i="8"/>
  <c r="H24" i="8"/>
  <c r="I24" i="8"/>
  <c r="F25" i="8"/>
  <c r="G25" i="8"/>
  <c r="H25" i="8"/>
  <c r="I25" i="8"/>
  <c r="F26" i="8"/>
  <c r="G26" i="8"/>
  <c r="H26" i="8"/>
  <c r="I26" i="8"/>
  <c r="F27" i="8"/>
  <c r="G27" i="8"/>
  <c r="H27" i="8"/>
  <c r="I27" i="8"/>
  <c r="F47" i="8"/>
  <c r="G47" i="8"/>
  <c r="H47" i="8"/>
  <c r="I47" i="8"/>
  <c r="F48" i="8"/>
  <c r="G48" i="8"/>
  <c r="H48" i="8"/>
  <c r="I48" i="8"/>
  <c r="F49" i="8"/>
  <c r="G49" i="8"/>
  <c r="H49" i="8"/>
  <c r="I49" i="8"/>
  <c r="F50" i="8"/>
  <c r="G50" i="8"/>
  <c r="H50" i="8"/>
  <c r="I50" i="8"/>
  <c r="E48" i="8"/>
  <c r="E49" i="8"/>
  <c r="E50" i="8"/>
  <c r="D47" i="8"/>
  <c r="D27" i="8"/>
  <c r="D26" i="8"/>
  <c r="D25" i="8"/>
  <c r="D24" i="8"/>
  <c r="D21" i="8"/>
  <c r="D20" i="8"/>
  <c r="D19" i="8"/>
  <c r="D15" i="8"/>
  <c r="D14" i="8"/>
  <c r="D10" i="8"/>
  <c r="D9" i="8"/>
  <c r="D8" i="8"/>
  <c r="D7" i="8"/>
  <c r="D6" i="8"/>
  <c r="E6" i="8"/>
  <c r="E7" i="8"/>
  <c r="E8" i="8"/>
  <c r="E9" i="8"/>
  <c r="E10" i="8"/>
  <c r="E14" i="8"/>
  <c r="E15" i="8"/>
  <c r="E19" i="8"/>
  <c r="E20" i="8"/>
  <c r="E21" i="8"/>
  <c r="E24" i="8"/>
  <c r="E25" i="8"/>
  <c r="E26" i="8"/>
  <c r="E27" i="8"/>
  <c r="E47" i="8"/>
  <c r="E4" i="5"/>
  <c r="F4" i="5"/>
  <c r="G4" i="5"/>
  <c r="H4" i="5"/>
  <c r="E5" i="5"/>
  <c r="F5" i="5"/>
  <c r="G5" i="5"/>
  <c r="H5" i="5"/>
  <c r="E6" i="5"/>
  <c r="F6" i="5"/>
  <c r="G6" i="5"/>
  <c r="H6" i="5"/>
  <c r="E7" i="5"/>
  <c r="F7" i="5"/>
  <c r="G7" i="5"/>
  <c r="H7" i="5"/>
  <c r="E8" i="5"/>
  <c r="F8" i="5"/>
  <c r="G8" i="5"/>
  <c r="H8" i="5"/>
  <c r="E9" i="5"/>
  <c r="F9" i="5"/>
  <c r="G9" i="5"/>
  <c r="H9" i="5"/>
  <c r="E15" i="5"/>
  <c r="F15" i="5"/>
  <c r="G15" i="5"/>
  <c r="H15" i="5"/>
  <c r="E17" i="5"/>
  <c r="F17" i="5"/>
  <c r="G17" i="5"/>
  <c r="H17" i="5"/>
  <c r="E18" i="5"/>
  <c r="F18" i="5"/>
  <c r="G18" i="5"/>
  <c r="H18" i="5"/>
  <c r="E19" i="5"/>
  <c r="F19" i="5"/>
  <c r="G19" i="5"/>
  <c r="H19" i="5"/>
  <c r="E20" i="5"/>
  <c r="F20" i="5"/>
  <c r="G20" i="5"/>
  <c r="H20" i="5"/>
  <c r="E22" i="5"/>
  <c r="E21" i="5" s="1"/>
  <c r="F22" i="5"/>
  <c r="F21" i="5" s="1"/>
  <c r="G22" i="5"/>
  <c r="G21" i="5" s="1"/>
  <c r="H22" i="5"/>
  <c r="H21" i="5" s="1"/>
  <c r="E26" i="5"/>
  <c r="F26" i="5"/>
  <c r="G26" i="5"/>
  <c r="H26" i="5"/>
  <c r="E27" i="5"/>
  <c r="F27" i="5"/>
  <c r="G27" i="5"/>
  <c r="H27" i="5"/>
  <c r="E28" i="5"/>
  <c r="F28" i="5"/>
  <c r="G28" i="5"/>
  <c r="H28" i="5"/>
  <c r="E30" i="5"/>
  <c r="F30" i="5"/>
  <c r="G30" i="5"/>
  <c r="H30" i="5"/>
  <c r="E31" i="5"/>
  <c r="F31" i="5"/>
  <c r="G31" i="5"/>
  <c r="H31" i="5"/>
  <c r="E32" i="5"/>
  <c r="F32" i="5"/>
  <c r="G32" i="5"/>
  <c r="H32" i="5"/>
  <c r="E34" i="5"/>
  <c r="F34" i="5"/>
  <c r="G34" i="5"/>
  <c r="H34" i="5"/>
  <c r="E35" i="5"/>
  <c r="F35" i="5"/>
  <c r="G35" i="5"/>
  <c r="H35" i="5"/>
  <c r="D36" i="5"/>
  <c r="E36" i="5"/>
  <c r="F36" i="5"/>
  <c r="G36" i="5"/>
  <c r="H36" i="5"/>
  <c r="D37" i="5"/>
  <c r="E37" i="5"/>
  <c r="F37" i="5"/>
  <c r="G37" i="5"/>
  <c r="H37" i="5"/>
  <c r="D38" i="5"/>
  <c r="E38" i="5"/>
  <c r="F38" i="5"/>
  <c r="G38" i="5"/>
  <c r="H38" i="5"/>
  <c r="D39" i="5"/>
  <c r="E39" i="5"/>
  <c r="F39" i="5"/>
  <c r="G39" i="5"/>
  <c r="H39" i="5"/>
  <c r="D40" i="5"/>
  <c r="E40" i="5"/>
  <c r="F40" i="5"/>
  <c r="G40" i="5"/>
  <c r="H40" i="5"/>
  <c r="D41" i="5"/>
  <c r="E41" i="5"/>
  <c r="F41" i="5"/>
  <c r="G41" i="5"/>
  <c r="H41" i="5"/>
  <c r="D44" i="5"/>
  <c r="E44" i="5"/>
  <c r="F44" i="5"/>
  <c r="G44" i="5"/>
  <c r="H44" i="5"/>
  <c r="D45" i="5"/>
  <c r="E45" i="5"/>
  <c r="F45" i="5"/>
  <c r="G45" i="5"/>
  <c r="H45" i="5"/>
  <c r="D46" i="5"/>
  <c r="E46" i="5"/>
  <c r="F46" i="5"/>
  <c r="G46" i="5"/>
  <c r="H46" i="5"/>
  <c r="D47" i="5"/>
  <c r="E47" i="5"/>
  <c r="F47" i="5"/>
  <c r="G47" i="5"/>
  <c r="H47" i="5"/>
  <c r="C47" i="5"/>
  <c r="C46" i="5"/>
  <c r="C45" i="5"/>
  <c r="C44" i="5"/>
  <c r="C38" i="5"/>
  <c r="C39" i="5"/>
  <c r="C40" i="5"/>
  <c r="C41" i="5"/>
  <c r="C37" i="5"/>
  <c r="C36" i="5"/>
  <c r="C35" i="5"/>
  <c r="C34" i="5"/>
  <c r="C32" i="5"/>
  <c r="C31" i="5"/>
  <c r="C30" i="5"/>
  <c r="C28" i="5"/>
  <c r="C27" i="5"/>
  <c r="C26" i="5"/>
  <c r="C25" i="5"/>
  <c r="C22" i="5"/>
  <c r="C21" i="5"/>
  <c r="C20" i="5"/>
  <c r="C19" i="5"/>
  <c r="C18" i="5"/>
  <c r="C17" i="5"/>
  <c r="C15" i="5"/>
  <c r="C14" i="5"/>
  <c r="C11" i="5"/>
  <c r="C12" i="5" s="1"/>
  <c r="C9" i="5"/>
  <c r="C8" i="5"/>
  <c r="C7" i="5"/>
  <c r="C6" i="5"/>
  <c r="C5" i="5"/>
  <c r="C4" i="5"/>
  <c r="C43" i="5"/>
  <c r="R4" i="2"/>
  <c r="S4" i="2"/>
  <c r="R7" i="2"/>
  <c r="S7" i="2"/>
  <c r="R12" i="2"/>
  <c r="S12" i="2"/>
  <c r="R20" i="2"/>
  <c r="S20" i="2"/>
  <c r="R23" i="2"/>
  <c r="S23" i="2"/>
  <c r="R30" i="2"/>
  <c r="S30" i="2"/>
  <c r="R39" i="2"/>
  <c r="S39" i="2"/>
  <c r="R48" i="1"/>
  <c r="S48" i="1"/>
  <c r="R31" i="1"/>
  <c r="S31" i="1"/>
  <c r="S38" i="1" s="1"/>
  <c r="S49" i="1" s="1"/>
  <c r="R21" i="1"/>
  <c r="S21" i="1"/>
  <c r="R17" i="1"/>
  <c r="S17" i="1"/>
  <c r="R14" i="1"/>
  <c r="S14" i="1"/>
  <c r="R8" i="1"/>
  <c r="S8" i="1"/>
  <c r="R4" i="1"/>
  <c r="R27" i="1" s="1"/>
  <c r="S4" i="1"/>
  <c r="Q42" i="1"/>
  <c r="Q46" i="1"/>
  <c r="Q33" i="1"/>
  <c r="Q36" i="1"/>
  <c r="Q23" i="1"/>
  <c r="Q6" i="1"/>
  <c r="Q28" i="2"/>
  <c r="Q27" i="2"/>
  <c r="Q11" i="2"/>
  <c r="Q9" i="2"/>
  <c r="Q4" i="2"/>
  <c r="Q7" i="2"/>
  <c r="Q12" i="2"/>
  <c r="Q20" i="2"/>
  <c r="Q23" i="2"/>
  <c r="Q30" i="2"/>
  <c r="Q39" i="2"/>
  <c r="Q4" i="1"/>
  <c r="Q8" i="1"/>
  <c r="Q14" i="1"/>
  <c r="Q17" i="1"/>
  <c r="Q21" i="1"/>
  <c r="Q27" i="1"/>
  <c r="Q31" i="1"/>
  <c r="Q38" i="1"/>
  <c r="Q48" i="1"/>
  <c r="Q49" i="1"/>
  <c r="Q51" i="1" s="1"/>
  <c r="F6" i="1"/>
  <c r="F4" i="1" s="1"/>
  <c r="G6" i="1"/>
  <c r="G4" i="1" s="1"/>
  <c r="H6" i="1"/>
  <c r="H4" i="1" s="1"/>
  <c r="I6" i="1"/>
  <c r="I4" i="1" s="1"/>
  <c r="J6" i="1"/>
  <c r="J4" i="1" s="1"/>
  <c r="K6" i="1"/>
  <c r="K4" i="1" s="1"/>
  <c r="L6" i="1"/>
  <c r="L4" i="1" s="1"/>
  <c r="M6" i="1"/>
  <c r="M4" i="1" s="1"/>
  <c r="N6" i="1"/>
  <c r="N4" i="1" s="1"/>
  <c r="O6" i="1"/>
  <c r="O4" i="1" s="1"/>
  <c r="P6" i="1"/>
  <c r="P4" i="1" s="1"/>
  <c r="F7" i="1"/>
  <c r="G7" i="1"/>
  <c r="H7" i="1"/>
  <c r="I7" i="1"/>
  <c r="J7" i="1"/>
  <c r="K7" i="1"/>
  <c r="L7" i="1"/>
  <c r="M7" i="1"/>
  <c r="N7" i="1"/>
  <c r="O7" i="1"/>
  <c r="P7" i="1"/>
  <c r="F8" i="1"/>
  <c r="G8" i="1"/>
  <c r="H8" i="1"/>
  <c r="I8" i="1"/>
  <c r="J8" i="1"/>
  <c r="K8" i="1"/>
  <c r="L8" i="1"/>
  <c r="M8" i="1"/>
  <c r="N8" i="1"/>
  <c r="O8" i="1"/>
  <c r="P8" i="1"/>
  <c r="F14" i="1"/>
  <c r="G14" i="1"/>
  <c r="H14" i="1"/>
  <c r="I14" i="1"/>
  <c r="J14" i="1"/>
  <c r="K14" i="1"/>
  <c r="L14" i="1"/>
  <c r="M14" i="1"/>
  <c r="N14" i="1"/>
  <c r="O14" i="1"/>
  <c r="P14" i="1"/>
  <c r="F17" i="1"/>
  <c r="G17" i="1"/>
  <c r="H17" i="1"/>
  <c r="I17" i="1"/>
  <c r="J17" i="1"/>
  <c r="K17" i="1"/>
  <c r="L17" i="1"/>
  <c r="M17" i="1"/>
  <c r="N17" i="1"/>
  <c r="O17" i="1"/>
  <c r="P17" i="1"/>
  <c r="F26" i="1"/>
  <c r="F21" i="1" s="1"/>
  <c r="G26" i="1"/>
  <c r="G21" i="1" s="1"/>
  <c r="H26" i="1"/>
  <c r="H21" i="1" s="1"/>
  <c r="I26" i="1"/>
  <c r="I21" i="1" s="1"/>
  <c r="J26" i="1"/>
  <c r="J21" i="1" s="1"/>
  <c r="K26" i="1"/>
  <c r="K21" i="1" s="1"/>
  <c r="L26" i="1"/>
  <c r="L21" i="1" s="1"/>
  <c r="M26" i="1"/>
  <c r="M21" i="1" s="1"/>
  <c r="N26" i="1"/>
  <c r="N21" i="1" s="1"/>
  <c r="O26" i="1"/>
  <c r="O21" i="1" s="1"/>
  <c r="P26" i="1"/>
  <c r="P21" i="1" s="1"/>
  <c r="F27" i="1"/>
  <c r="G27" i="1"/>
  <c r="H27" i="1"/>
  <c r="I27" i="1"/>
  <c r="J27" i="1"/>
  <c r="K27" i="1"/>
  <c r="L27" i="1"/>
  <c r="M27" i="1"/>
  <c r="N27" i="1"/>
  <c r="O27" i="1"/>
  <c r="P27" i="1"/>
  <c r="F31" i="1"/>
  <c r="G31" i="1"/>
  <c r="H31" i="1"/>
  <c r="I31" i="1"/>
  <c r="J31" i="1"/>
  <c r="K31" i="1"/>
  <c r="L31" i="1"/>
  <c r="M31" i="1"/>
  <c r="N31" i="1"/>
  <c r="O31" i="1"/>
  <c r="P31" i="1"/>
  <c r="F38" i="1"/>
  <c r="G38" i="1"/>
  <c r="H38" i="1"/>
  <c r="I38" i="1"/>
  <c r="J38" i="1"/>
  <c r="K38" i="1"/>
  <c r="L38" i="1"/>
  <c r="M38" i="1"/>
  <c r="N38" i="1"/>
  <c r="O38" i="1"/>
  <c r="P38" i="1"/>
  <c r="F48" i="1"/>
  <c r="G48" i="1"/>
  <c r="H48" i="1"/>
  <c r="I48" i="1"/>
  <c r="J48" i="1"/>
  <c r="K48" i="1"/>
  <c r="L48" i="1"/>
  <c r="M48" i="1"/>
  <c r="N48" i="1"/>
  <c r="O48" i="1"/>
  <c r="P48" i="1"/>
  <c r="F49" i="1"/>
  <c r="G49" i="1"/>
  <c r="H49" i="1"/>
  <c r="I49" i="1"/>
  <c r="J49" i="1"/>
  <c r="K49" i="1"/>
  <c r="L49" i="1"/>
  <c r="M49" i="1"/>
  <c r="N49" i="1"/>
  <c r="O49" i="1"/>
  <c r="P49" i="1"/>
  <c r="F51" i="1"/>
  <c r="G51" i="1"/>
  <c r="H51" i="1"/>
  <c r="I51" i="1"/>
  <c r="J51" i="1"/>
  <c r="K51" i="1"/>
  <c r="L51" i="1"/>
  <c r="M51" i="1"/>
  <c r="N51" i="1"/>
  <c r="O51" i="1"/>
  <c r="P51" i="1"/>
  <c r="F4" i="2"/>
  <c r="G4" i="2"/>
  <c r="H4" i="2"/>
  <c r="I4" i="2"/>
  <c r="J4" i="2"/>
  <c r="K4" i="2"/>
  <c r="L4" i="2"/>
  <c r="M4" i="2"/>
  <c r="N4" i="2"/>
  <c r="O4" i="2"/>
  <c r="P4" i="2"/>
  <c r="F7" i="2"/>
  <c r="G7" i="2"/>
  <c r="H7" i="2"/>
  <c r="I7" i="2"/>
  <c r="J7" i="2"/>
  <c r="K7" i="2"/>
  <c r="L7" i="2"/>
  <c r="M7" i="2"/>
  <c r="N7" i="2"/>
  <c r="O7" i="2"/>
  <c r="P7" i="2"/>
  <c r="F12" i="2"/>
  <c r="G12" i="2"/>
  <c r="H12" i="2"/>
  <c r="I12" i="2"/>
  <c r="J12" i="2"/>
  <c r="K12" i="2"/>
  <c r="L12" i="2"/>
  <c r="M12" i="2"/>
  <c r="N12" i="2"/>
  <c r="O12" i="2"/>
  <c r="P12" i="2"/>
  <c r="F20" i="2"/>
  <c r="G20" i="2"/>
  <c r="H20" i="2"/>
  <c r="I20" i="2"/>
  <c r="J20" i="2"/>
  <c r="K20" i="2"/>
  <c r="L20" i="2"/>
  <c r="M20" i="2"/>
  <c r="N20" i="2"/>
  <c r="O20" i="2"/>
  <c r="P20" i="2"/>
  <c r="F30" i="2"/>
  <c r="G30" i="2"/>
  <c r="H30" i="2"/>
  <c r="I30" i="2"/>
  <c r="J30" i="2"/>
  <c r="K30" i="2"/>
  <c r="L30" i="2"/>
  <c r="M30" i="2"/>
  <c r="N30" i="2"/>
  <c r="O30" i="2"/>
  <c r="P30" i="2"/>
  <c r="E6" i="1"/>
  <c r="E42" i="1"/>
  <c r="H25" i="5" l="1"/>
  <c r="G25" i="5"/>
  <c r="F25" i="5"/>
  <c r="E25" i="5"/>
  <c r="H14" i="5"/>
  <c r="H11" i="5" s="1"/>
  <c r="H12" i="5" s="1"/>
  <c r="G14" i="5"/>
  <c r="G11" i="5" s="1"/>
  <c r="G12" i="5" s="1"/>
  <c r="F14" i="5"/>
  <c r="F11" i="5" s="1"/>
  <c r="F12" i="5" s="1"/>
  <c r="E14" i="5"/>
  <c r="E11" i="5" s="1"/>
  <c r="E12" i="5" s="1"/>
  <c r="H43" i="5"/>
  <c r="G43" i="5"/>
  <c r="F43" i="5"/>
  <c r="E43" i="5"/>
  <c r="D43" i="5"/>
  <c r="S3" i="2"/>
  <c r="S19" i="2" s="1"/>
  <c r="S29" i="2" s="1"/>
  <c r="S33" i="2" s="1"/>
  <c r="S35" i="2" s="1"/>
  <c r="S37" i="2" s="1"/>
  <c r="S27" i="1"/>
  <c r="S51" i="1"/>
  <c r="R38" i="1"/>
  <c r="R49" i="1" s="1"/>
  <c r="R51" i="1" s="1"/>
  <c r="R3" i="2"/>
  <c r="R19" i="2" s="1"/>
  <c r="R29" i="2" s="1"/>
  <c r="R33" i="2" s="1"/>
  <c r="R35" i="2" s="1"/>
  <c r="R37" i="2" s="1"/>
  <c r="Q3" i="2"/>
  <c r="Q19" i="2" s="1"/>
  <c r="Q29" i="2" s="1"/>
  <c r="Q33" i="2" s="1"/>
  <c r="P23" i="2"/>
  <c r="O23" i="2"/>
  <c r="N23" i="2"/>
  <c r="M23" i="2"/>
  <c r="L23" i="2"/>
  <c r="K23" i="2"/>
  <c r="J23" i="2"/>
  <c r="I23" i="2"/>
  <c r="H23" i="2"/>
  <c r="G23" i="2"/>
  <c r="F23" i="2"/>
  <c r="P3" i="2"/>
  <c r="P19" i="2" s="1"/>
  <c r="P29" i="2" s="1"/>
  <c r="P33" i="2" s="1"/>
  <c r="O3" i="2"/>
  <c r="O19" i="2" s="1"/>
  <c r="O29" i="2" s="1"/>
  <c r="O33" i="2" s="1"/>
  <c r="N3" i="2"/>
  <c r="N19" i="2" s="1"/>
  <c r="N29" i="2" s="1"/>
  <c r="N33" i="2" s="1"/>
  <c r="M3" i="2"/>
  <c r="M19" i="2" s="1"/>
  <c r="M29" i="2" s="1"/>
  <c r="M33" i="2" s="1"/>
  <c r="L3" i="2"/>
  <c r="L19" i="2" s="1"/>
  <c r="L29" i="2" s="1"/>
  <c r="L33" i="2" s="1"/>
  <c r="K3" i="2"/>
  <c r="K19" i="2" s="1"/>
  <c r="K29" i="2" s="1"/>
  <c r="K33" i="2" s="1"/>
  <c r="J3" i="2"/>
  <c r="J19" i="2" s="1"/>
  <c r="J29" i="2" s="1"/>
  <c r="J33" i="2" s="1"/>
  <c r="I3" i="2"/>
  <c r="I19" i="2" s="1"/>
  <c r="I29" i="2" s="1"/>
  <c r="I33" i="2" s="1"/>
  <c r="H3" i="2"/>
  <c r="H19" i="2" s="1"/>
  <c r="H29" i="2" s="1"/>
  <c r="H33" i="2" s="1"/>
  <c r="G3" i="2"/>
  <c r="G19" i="2" s="1"/>
  <c r="G29" i="2" s="1"/>
  <c r="G33" i="2" s="1"/>
  <c r="F3" i="2"/>
  <c r="F19" i="2" s="1"/>
  <c r="F29" i="2" s="1"/>
  <c r="F33" i="2" s="1"/>
  <c r="F35" i="2" s="1"/>
  <c r="F37" i="2" s="1"/>
  <c r="E26" i="2"/>
  <c r="E27" i="2"/>
  <c r="E28" i="2" s="1"/>
  <c r="E11" i="2"/>
  <c r="E44" i="1"/>
  <c r="E36" i="1"/>
  <c r="E26" i="1"/>
  <c r="E7" i="1"/>
  <c r="Q35" i="2" l="1"/>
  <c r="Q37" i="2" s="1"/>
  <c r="G35" i="2"/>
  <c r="G37" i="2" s="1"/>
  <c r="H35" i="2"/>
  <c r="H37" i="2" s="1"/>
  <c r="I35" i="2"/>
  <c r="I37" i="2" s="1"/>
  <c r="J35" i="2"/>
  <c r="J37" i="2" s="1"/>
  <c r="K35" i="2"/>
  <c r="K37" i="2" s="1"/>
  <c r="L35" i="2"/>
  <c r="L37" i="2" s="1"/>
  <c r="M35" i="2"/>
  <c r="M37" i="2" s="1"/>
  <c r="N35" i="2"/>
  <c r="N37" i="2" s="1"/>
  <c r="O35" i="2"/>
  <c r="O37" i="2" s="1"/>
  <c r="P35" i="2"/>
  <c r="P37" i="2" s="1"/>
  <c r="F39" i="2"/>
  <c r="G39" i="2"/>
  <c r="H39" i="2"/>
  <c r="I39" i="2"/>
  <c r="J39" i="2"/>
  <c r="K39" i="2"/>
  <c r="L39" i="2"/>
  <c r="M39" i="2"/>
  <c r="N39" i="2"/>
  <c r="O39" i="2"/>
  <c r="P39" i="2"/>
  <c r="E4" i="1"/>
  <c r="E8" i="1"/>
  <c r="E14" i="1"/>
  <c r="E17" i="1"/>
  <c r="E21" i="1"/>
  <c r="E31" i="1"/>
  <c r="E48" i="1"/>
  <c r="E4" i="2"/>
  <c r="E7" i="2"/>
  <c r="E12" i="2"/>
  <c r="E20" i="2"/>
  <c r="E23" i="2"/>
  <c r="E30" i="2"/>
  <c r="E38" i="1" l="1"/>
  <c r="E27" i="1"/>
  <c r="E49" i="1"/>
  <c r="E39" i="2"/>
  <c r="E3" i="2"/>
  <c r="E19" i="2" s="1"/>
  <c r="E29" i="2" s="1"/>
  <c r="E33" i="2" s="1"/>
  <c r="E35" i="2" s="1"/>
  <c r="E37" i="2" s="1"/>
  <c r="C28" i="2"/>
  <c r="C23" i="2" s="1"/>
  <c r="B28" i="2"/>
  <c r="B27" i="2"/>
  <c r="B25" i="2"/>
  <c r="B23" i="2"/>
  <c r="C4" i="2"/>
  <c r="C7" i="2"/>
  <c r="C12" i="2"/>
  <c r="C20" i="2"/>
  <c r="C30" i="2"/>
  <c r="B4" i="2"/>
  <c r="B7" i="2"/>
  <c r="B12" i="2"/>
  <c r="B20" i="2"/>
  <c r="B30" i="2"/>
  <c r="B7" i="1"/>
  <c r="B4" i="1"/>
  <c r="B8" i="1"/>
  <c r="B14" i="1"/>
  <c r="B17" i="1"/>
  <c r="B21" i="1"/>
  <c r="B31" i="1"/>
  <c r="B38" i="1" s="1"/>
  <c r="B48" i="1"/>
  <c r="C41" i="1"/>
  <c r="C36" i="1"/>
  <c r="C6" i="1"/>
  <c r="C4" i="1" s="1"/>
  <c r="D28" i="2"/>
  <c r="D27" i="2"/>
  <c r="D21" i="2"/>
  <c r="D20" i="2"/>
  <c r="D42" i="1"/>
  <c r="D36" i="1"/>
  <c r="D6" i="1"/>
  <c r="D4" i="1" s="1"/>
  <c r="D12" i="2"/>
  <c r="D23" i="2"/>
  <c r="D39" i="2"/>
  <c r="D4" i="2"/>
  <c r="D7" i="2"/>
  <c r="D30" i="2"/>
  <c r="D17" i="1"/>
  <c r="D31" i="1"/>
  <c r="AS3" i="3"/>
  <c r="AS5" i="3" s="1"/>
  <c r="AS8" i="3"/>
  <c r="AC3" i="3"/>
  <c r="AC19" i="3" s="1"/>
  <c r="AD3" i="3"/>
  <c r="AD5" i="3" s="1"/>
  <c r="AE3" i="3"/>
  <c r="AE19" i="3" s="1"/>
  <c r="AF3" i="3"/>
  <c r="AG3" i="3"/>
  <c r="AG4" i="3" s="1"/>
  <c r="AH3" i="3"/>
  <c r="AI3" i="3"/>
  <c r="AI4" i="3" s="1"/>
  <c r="AJ3" i="3"/>
  <c r="AJ19" i="3" s="1"/>
  <c r="AK3" i="3"/>
  <c r="AK19" i="3" s="1"/>
  <c r="AL3" i="3"/>
  <c r="AL6" i="3" s="1"/>
  <c r="AM3" i="3"/>
  <c r="AN3" i="3"/>
  <c r="AN19" i="3" s="1"/>
  <c r="AO3" i="3"/>
  <c r="AO19" i="3" s="1"/>
  <c r="AP3" i="3"/>
  <c r="AP19" i="3" s="1"/>
  <c r="AQ3" i="3"/>
  <c r="AQ19" i="3" s="1"/>
  <c r="AR3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S26" i="3"/>
  <c r="U26" i="3"/>
  <c r="W26" i="3"/>
  <c r="AA26" i="3"/>
  <c r="AC26" i="3"/>
  <c r="AG26" i="3"/>
  <c r="AH26" i="3"/>
  <c r="AI26" i="3"/>
  <c r="AK26" i="3"/>
  <c r="AL26" i="3"/>
  <c r="AM26" i="3"/>
  <c r="AP26" i="3"/>
  <c r="AS26" i="3"/>
  <c r="D6" i="5"/>
  <c r="AT26" i="3" s="1"/>
  <c r="U27" i="3"/>
  <c r="V27" i="3"/>
  <c r="W27" i="3"/>
  <c r="Z27" i="3"/>
  <c r="AB27" i="3"/>
  <c r="AD27" i="3"/>
  <c r="AE27" i="3"/>
  <c r="AF27" i="3"/>
  <c r="AG27" i="3"/>
  <c r="AH27" i="3"/>
  <c r="AI27" i="3"/>
  <c r="AK27" i="3"/>
  <c r="AL27" i="3"/>
  <c r="AM27" i="3"/>
  <c r="AN27" i="3"/>
  <c r="AO27" i="3"/>
  <c r="AP27" i="3"/>
  <c r="AQ27" i="3"/>
  <c r="AR27" i="3"/>
  <c r="AS27" i="3"/>
  <c r="D7" i="5"/>
  <c r="AT27" i="3" s="1"/>
  <c r="D8" i="5"/>
  <c r="D15" i="5"/>
  <c r="D17" i="5"/>
  <c r="D19" i="5"/>
  <c r="D20" i="5"/>
  <c r="D22" i="5"/>
  <c r="D21" i="5" s="1"/>
  <c r="S28" i="3"/>
  <c r="T28" i="3"/>
  <c r="V28" i="3"/>
  <c r="W28" i="3"/>
  <c r="AB28" i="3"/>
  <c r="AE28" i="3"/>
  <c r="AF28" i="3"/>
  <c r="AG28" i="3"/>
  <c r="AJ28" i="3"/>
  <c r="AM28" i="3"/>
  <c r="AP28" i="3"/>
  <c r="AR28" i="3"/>
  <c r="AS28" i="3"/>
  <c r="D32" i="5"/>
  <c r="D35" i="5"/>
  <c r="E38" i="3"/>
  <c r="I38" i="3"/>
  <c r="J38" i="3"/>
  <c r="L38" i="3"/>
  <c r="N38" i="3"/>
  <c r="O38" i="3"/>
  <c r="P38" i="3"/>
  <c r="Q38" i="3"/>
  <c r="T38" i="3"/>
  <c r="U38" i="3"/>
  <c r="V38" i="3"/>
  <c r="W38" i="3"/>
  <c r="Y38" i="3"/>
  <c r="Z38" i="3"/>
  <c r="AA38" i="3"/>
  <c r="AB38" i="3"/>
  <c r="AC38" i="3"/>
  <c r="AE38" i="3"/>
  <c r="AF38" i="3"/>
  <c r="AG38" i="3"/>
  <c r="AH38" i="3"/>
  <c r="AI38" i="3"/>
  <c r="AK38" i="3"/>
  <c r="AM38" i="3"/>
  <c r="AP38" i="3"/>
  <c r="AQ38" i="3"/>
  <c r="AR38" i="3"/>
  <c r="E33" i="3"/>
  <c r="H33" i="3"/>
  <c r="J33" i="3"/>
  <c r="M33" i="3"/>
  <c r="O33" i="3"/>
  <c r="S33" i="3"/>
  <c r="T33" i="3"/>
  <c r="U33" i="3"/>
  <c r="V33" i="3"/>
  <c r="W33" i="3"/>
  <c r="X33" i="3"/>
  <c r="Z33" i="3"/>
  <c r="AB33" i="3"/>
  <c r="AC33" i="3"/>
  <c r="AD33" i="3"/>
  <c r="AF33" i="3"/>
  <c r="AG33" i="3"/>
  <c r="AH33" i="3"/>
  <c r="AI33" i="3"/>
  <c r="AJ33" i="3"/>
  <c r="AK33" i="3"/>
  <c r="AL33" i="3"/>
  <c r="AM33" i="3"/>
  <c r="AP33" i="3"/>
  <c r="AQ33" i="3"/>
  <c r="AS33" i="3"/>
  <c r="E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D3" i="3"/>
  <c r="D4" i="3" s="1"/>
  <c r="E3" i="3"/>
  <c r="G3" i="3"/>
  <c r="G6" i="3" s="1"/>
  <c r="H3" i="3"/>
  <c r="H19" i="3" s="1"/>
  <c r="I3" i="3"/>
  <c r="I19" i="3"/>
  <c r="J3" i="3"/>
  <c r="J19" i="3" s="1"/>
  <c r="K3" i="3"/>
  <c r="K19" i="3" s="1"/>
  <c r="L3" i="3"/>
  <c r="L19" i="3" s="1"/>
  <c r="M3" i="3"/>
  <c r="M4" i="3" s="1"/>
  <c r="N3" i="3"/>
  <c r="O3" i="3"/>
  <c r="O6" i="3" s="1"/>
  <c r="P3" i="3"/>
  <c r="P19" i="3" s="1"/>
  <c r="Q3" i="3"/>
  <c r="Q6" i="3" s="1"/>
  <c r="R3" i="3"/>
  <c r="R4" i="3" s="1"/>
  <c r="S3" i="3"/>
  <c r="S6" i="3" s="1"/>
  <c r="T3" i="3"/>
  <c r="T5" i="3"/>
  <c r="U3" i="3"/>
  <c r="U6" i="3" s="1"/>
  <c r="V3" i="3"/>
  <c r="V5" i="3" s="1"/>
  <c r="W3" i="3"/>
  <c r="W19" i="3"/>
  <c r="X3" i="3"/>
  <c r="X4" i="3" s="1"/>
  <c r="Y3" i="3"/>
  <c r="Y19" i="3" s="1"/>
  <c r="Z3" i="3"/>
  <c r="Z19" i="3"/>
  <c r="AA3" i="3"/>
  <c r="AA19" i="3"/>
  <c r="AB3" i="3"/>
  <c r="J7" i="3"/>
  <c r="M7" i="3"/>
  <c r="P7" i="3"/>
  <c r="S7" i="3"/>
  <c r="T7" i="3"/>
  <c r="V7" i="3"/>
  <c r="W7" i="3"/>
  <c r="X7" i="3"/>
  <c r="Y7" i="3"/>
  <c r="Z7" i="3"/>
  <c r="AA7" i="3"/>
  <c r="AB7" i="3"/>
  <c r="J8" i="3"/>
  <c r="M8" i="3"/>
  <c r="P8" i="3"/>
  <c r="S8" i="3"/>
  <c r="T8" i="3"/>
  <c r="V8" i="3"/>
  <c r="W8" i="3"/>
  <c r="X8" i="3"/>
  <c r="Y8" i="3"/>
  <c r="Z8" i="3"/>
  <c r="AA8" i="3"/>
  <c r="AB8" i="3"/>
  <c r="Y12" i="3"/>
  <c r="U7" i="3"/>
  <c r="AH10" i="3"/>
  <c r="I39" i="3"/>
  <c r="AB32" i="3"/>
  <c r="AK32" i="3"/>
  <c r="T32" i="3"/>
  <c r="G13" i="3"/>
  <c r="N13" i="3"/>
  <c r="O12" i="3"/>
  <c r="Q12" i="3"/>
  <c r="D28" i="5"/>
  <c r="D26" i="5"/>
  <c r="C14" i="1"/>
  <c r="AF23" i="3"/>
  <c r="C17" i="1"/>
  <c r="S14" i="3"/>
  <c r="D23" i="3"/>
  <c r="I21" i="3"/>
  <c r="Q18" i="3"/>
  <c r="AD25" i="3"/>
  <c r="AF25" i="3"/>
  <c r="AG25" i="3"/>
  <c r="AI25" i="3"/>
  <c r="AJ25" i="3"/>
  <c r="AL25" i="3"/>
  <c r="AN25" i="3"/>
  <c r="AO25" i="3"/>
  <c r="AS25" i="3"/>
  <c r="C31" i="1"/>
  <c r="D9" i="5"/>
  <c r="F3" i="3"/>
  <c r="F19" i="3" s="1"/>
  <c r="AT3" i="3"/>
  <c r="AT19" i="3" s="1"/>
  <c r="AH5" i="3"/>
  <c r="AH19" i="3"/>
  <c r="AN32" i="3"/>
  <c r="AT33" i="3"/>
  <c r="Z32" i="3"/>
  <c r="M32" i="3"/>
  <c r="M10" i="3"/>
  <c r="K10" i="3"/>
  <c r="J10" i="3"/>
  <c r="Y32" i="3"/>
  <c r="I22" i="3"/>
  <c r="I23" i="3"/>
  <c r="V13" i="3"/>
  <c r="F12" i="3"/>
  <c r="E18" i="3"/>
  <c r="M12" i="3"/>
  <c r="E12" i="3"/>
  <c r="E13" i="3"/>
  <c r="N12" i="3"/>
  <c r="AQ25" i="3"/>
  <c r="AA25" i="3"/>
  <c r="AA18" i="3"/>
  <c r="S18" i="3"/>
  <c r="Q14" i="3"/>
  <c r="Q22" i="3"/>
  <c r="Q23" i="3"/>
  <c r="Q20" i="3"/>
  <c r="Q16" i="3"/>
  <c r="Q17" i="3"/>
  <c r="I16" i="3"/>
  <c r="K18" i="3"/>
  <c r="Z18" i="3"/>
  <c r="J18" i="3"/>
  <c r="R18" i="3"/>
  <c r="V12" i="3"/>
  <c r="X12" i="3"/>
  <c r="H12" i="3"/>
  <c r="H13" i="3"/>
  <c r="Y25" i="3"/>
  <c r="Q21" i="3"/>
  <c r="AB12" i="3"/>
  <c r="AB13" i="3"/>
  <c r="T12" i="3"/>
  <c r="T13" i="3"/>
  <c r="L12" i="3"/>
  <c r="L13" i="3"/>
  <c r="D12" i="3"/>
  <c r="D13" i="3"/>
  <c r="D17" i="3"/>
  <c r="X25" i="3"/>
  <c r="N17" i="3"/>
  <c r="AA12" i="3"/>
  <c r="AA13" i="3"/>
  <c r="S12" i="3"/>
  <c r="K12" i="3"/>
  <c r="K13" i="3"/>
  <c r="H21" i="3"/>
  <c r="O18" i="3"/>
  <c r="G18" i="3"/>
  <c r="E17" i="3"/>
  <c r="Z12" i="3"/>
  <c r="R12" i="3"/>
  <c r="R13" i="3"/>
  <c r="J12" i="3"/>
  <c r="J13" i="3"/>
  <c r="Y18" i="3"/>
  <c r="I18" i="3"/>
  <c r="D15" i="3"/>
  <c r="V18" i="3"/>
  <c r="N18" i="3"/>
  <c r="D11" i="3"/>
  <c r="D20" i="3"/>
  <c r="F18" i="3"/>
  <c r="Y13" i="3"/>
  <c r="Q13" i="3"/>
  <c r="Q15" i="3"/>
  <c r="I13" i="3"/>
  <c r="I15" i="3"/>
  <c r="X18" i="3"/>
  <c r="AB25" i="3"/>
  <c r="AB18" i="3"/>
  <c r="T25" i="3"/>
  <c r="T18" i="3"/>
  <c r="L18" i="3"/>
  <c r="D18" i="3"/>
  <c r="D21" i="3"/>
  <c r="D16" i="3"/>
  <c r="O13" i="3"/>
  <c r="D10" i="3"/>
  <c r="L32" i="3"/>
  <c r="F32" i="3"/>
  <c r="E16" i="3"/>
  <c r="N22" i="3"/>
  <c r="E15" i="3"/>
  <c r="E20" i="3"/>
  <c r="E23" i="3"/>
  <c r="E14" i="3"/>
  <c r="E22" i="3"/>
  <c r="J20" i="3"/>
  <c r="J14" i="3"/>
  <c r="J23" i="3"/>
  <c r="E21" i="3"/>
  <c r="F13" i="3"/>
  <c r="E11" i="3"/>
  <c r="I10" i="3"/>
  <c r="V32" i="3"/>
  <c r="I9" i="3"/>
  <c r="G32" i="3"/>
  <c r="U32" i="3"/>
  <c r="K32" i="3"/>
  <c r="L22" i="3"/>
  <c r="L14" i="3"/>
  <c r="L20" i="3"/>
  <c r="L21" i="3"/>
  <c r="L17" i="3"/>
  <c r="L23" i="3"/>
  <c r="AA15" i="3"/>
  <c r="AA23" i="3"/>
  <c r="AA21" i="3"/>
  <c r="AA20" i="3"/>
  <c r="AA17" i="3"/>
  <c r="AA14" i="3"/>
  <c r="K21" i="3"/>
  <c r="K17" i="3"/>
  <c r="K11" i="3"/>
  <c r="K16" i="3"/>
  <c r="K14" i="3"/>
  <c r="K22" i="3"/>
  <c r="J16" i="3"/>
  <c r="H18" i="3"/>
  <c r="J9" i="3"/>
  <c r="J22" i="3"/>
  <c r="K23" i="3"/>
  <c r="AA16" i="3"/>
  <c r="H14" i="3"/>
  <c r="H23" i="3"/>
  <c r="H20" i="3"/>
  <c r="H22" i="3"/>
  <c r="H11" i="3"/>
  <c r="H16" i="3"/>
  <c r="H17" i="3"/>
  <c r="H15" i="3"/>
  <c r="J21" i="3"/>
  <c r="K20" i="3"/>
  <c r="K9" i="3"/>
  <c r="J17" i="3"/>
  <c r="AA22" i="3"/>
  <c r="J11" i="3"/>
  <c r="I11" i="3"/>
  <c r="J15" i="3"/>
  <c r="S17" i="3"/>
  <c r="S22" i="3"/>
  <c r="S23" i="3"/>
  <c r="S21" i="3"/>
  <c r="S20" i="3"/>
  <c r="L16" i="3"/>
  <c r="M18" i="3"/>
  <c r="I20" i="3"/>
  <c r="AP18" i="3"/>
  <c r="AL18" i="3"/>
  <c r="AH18" i="3"/>
  <c r="AD18" i="3"/>
  <c r="K15" i="3"/>
  <c r="AG12" i="3"/>
  <c r="AG13" i="3"/>
  <c r="I12" i="3"/>
  <c r="AS18" i="3"/>
  <c r="AF12" i="3"/>
  <c r="AF13" i="3"/>
  <c r="AO18" i="3"/>
  <c r="AG18" i="3"/>
  <c r="AM13" i="3"/>
  <c r="AM12" i="3"/>
  <c r="W12" i="3"/>
  <c r="I14" i="3"/>
  <c r="AD12" i="3"/>
  <c r="AD13" i="3"/>
  <c r="AD15" i="3"/>
  <c r="I17" i="3"/>
  <c r="D18" i="5"/>
  <c r="AR18" i="3"/>
  <c r="AJ18" i="3"/>
  <c r="AF18" i="3"/>
  <c r="AQ18" i="3"/>
  <c r="AI18" i="3"/>
  <c r="AE18" i="3"/>
  <c r="D14" i="3"/>
  <c r="D22" i="3"/>
  <c r="S16" i="3"/>
  <c r="AQ13" i="3"/>
  <c r="AQ12" i="3"/>
  <c r="AI12" i="3"/>
  <c r="AI13" i="3"/>
  <c r="AL12" i="3"/>
  <c r="AL13" i="3"/>
  <c r="AC12" i="3"/>
  <c r="AE13" i="3"/>
  <c r="AR12" i="3"/>
  <c r="AR13" i="3"/>
  <c r="AJ12" i="3"/>
  <c r="AJ13" i="3"/>
  <c r="G12" i="3"/>
  <c r="AP12" i="3"/>
  <c r="AP13" i="3"/>
  <c r="AH12" i="3"/>
  <c r="AH13" i="3"/>
  <c r="L15" i="3"/>
  <c r="AN12" i="3"/>
  <c r="AE12" i="3"/>
  <c r="J32" i="3"/>
  <c r="I32" i="3"/>
  <c r="H32" i="3"/>
  <c r="D32" i="3"/>
  <c r="E32" i="3"/>
  <c r="U10" i="3"/>
  <c r="E10" i="3"/>
  <c r="N10" i="3"/>
  <c r="G10" i="3"/>
  <c r="N32" i="3"/>
  <c r="G16" i="3"/>
  <c r="G17" i="3"/>
  <c r="G14" i="3"/>
  <c r="G22" i="3"/>
  <c r="G11" i="3"/>
  <c r="G23" i="3"/>
  <c r="G20" i="3"/>
  <c r="G21" i="3"/>
  <c r="G15" i="3"/>
  <c r="U15" i="3"/>
  <c r="S11" i="3"/>
  <c r="U17" i="3"/>
  <c r="U11" i="3"/>
  <c r="U16" i="3"/>
  <c r="U20" i="3"/>
  <c r="U22" i="3"/>
  <c r="U23" i="3"/>
  <c r="U14" i="3"/>
  <c r="X11" i="3"/>
  <c r="X16" i="3"/>
  <c r="X17" i="3"/>
  <c r="X14" i="3"/>
  <c r="X22" i="3"/>
  <c r="X23" i="3"/>
  <c r="X15" i="3"/>
  <c r="X20" i="3"/>
  <c r="X21" i="3"/>
  <c r="Z16" i="3"/>
  <c r="Z20" i="3"/>
  <c r="Z14" i="3"/>
  <c r="T14" i="3"/>
  <c r="T20" i="3"/>
  <c r="T22" i="3"/>
  <c r="T23" i="3"/>
  <c r="T15" i="3"/>
  <c r="T17" i="3"/>
  <c r="T16" i="3"/>
  <c r="T21" i="3"/>
  <c r="F10" i="3"/>
  <c r="O10" i="3"/>
  <c r="L10" i="3"/>
  <c r="H10" i="3"/>
  <c r="E9" i="3"/>
  <c r="F15" i="3"/>
  <c r="F17" i="3"/>
  <c r="F14" i="3"/>
  <c r="F11" i="3"/>
  <c r="F16" i="3"/>
  <c r="F20" i="3"/>
  <c r="F22" i="3"/>
  <c r="F23" i="3"/>
  <c r="F21" i="3"/>
  <c r="H9" i="3"/>
  <c r="L9" i="3"/>
  <c r="AT38" i="3"/>
  <c r="AM32" i="3"/>
  <c r="AJ32" i="3"/>
  <c r="AH32" i="3"/>
  <c r="AS32" i="3"/>
  <c r="AO32" i="3"/>
  <c r="Y10" i="3"/>
  <c r="AR32" i="3"/>
  <c r="R32" i="3"/>
  <c r="AC32" i="3"/>
  <c r="AQ32" i="3"/>
  <c r="AE32" i="3"/>
  <c r="AO10" i="3"/>
  <c r="AB10" i="3"/>
  <c r="AF32" i="3"/>
  <c r="AA32" i="3"/>
  <c r="AL32" i="3"/>
  <c r="AD32" i="3"/>
  <c r="W32" i="3"/>
  <c r="AS10" i="3"/>
  <c r="H38" i="3"/>
  <c r="S32" i="3"/>
  <c r="Q10" i="3"/>
  <c r="AL10" i="3"/>
  <c r="X9" i="3"/>
  <c r="X10" i="3"/>
  <c r="AM10" i="3"/>
  <c r="AI10" i="3"/>
  <c r="AR10" i="3"/>
  <c r="AQ10" i="3"/>
  <c r="AK10" i="3"/>
  <c r="AG32" i="3"/>
  <c r="AA10" i="3"/>
  <c r="X32" i="3"/>
  <c r="AP32" i="3"/>
  <c r="AN10" i="3"/>
  <c r="O32" i="3"/>
  <c r="AI32" i="3"/>
  <c r="W10" i="3"/>
  <c r="T10" i="3"/>
  <c r="AT8" i="3"/>
  <c r="C21" i="1"/>
  <c r="D34" i="5" s="1"/>
  <c r="AM18" i="3"/>
  <c r="AS12" i="3"/>
  <c r="AS13" i="3"/>
  <c r="D27" i="5"/>
  <c r="C48" i="1"/>
  <c r="D8" i="1"/>
  <c r="AO38" i="3"/>
  <c r="AN18" i="3"/>
  <c r="AN13" i="3"/>
  <c r="D21" i="1"/>
  <c r="AN17" i="3"/>
  <c r="AK13" i="3"/>
  <c r="AK12" i="3"/>
  <c r="AA9" i="3"/>
  <c r="Z15" i="3"/>
  <c r="Z22" i="3"/>
  <c r="Z21" i="3"/>
  <c r="Z23" i="3"/>
  <c r="Z17" i="3"/>
  <c r="AC18" i="3"/>
  <c r="AC13" i="3"/>
  <c r="AN16" i="3"/>
  <c r="AK18" i="3"/>
  <c r="AK17" i="3"/>
  <c r="AO12" i="3"/>
  <c r="AO13" i="3"/>
  <c r="AD26" i="3"/>
  <c r="AF21" i="3"/>
  <c r="AF16" i="3"/>
  <c r="AF14" i="3"/>
  <c r="AF20" i="3"/>
  <c r="AF17" i="3"/>
  <c r="AF22" i="3"/>
  <c r="AF15" i="3"/>
  <c r="AD11" i="3"/>
  <c r="W13" i="3"/>
  <c r="AO21" i="3"/>
  <c r="X13" i="3"/>
  <c r="D14" i="1"/>
  <c r="D31" i="5"/>
  <c r="AO17" i="3"/>
  <c r="AO16" i="3"/>
  <c r="U18" i="3"/>
  <c r="U25" i="3"/>
  <c r="U21" i="3"/>
  <c r="L11" i="3"/>
  <c r="M21" i="3"/>
  <c r="M15" i="3"/>
  <c r="M20" i="3"/>
  <c r="M9" i="3"/>
  <c r="M22" i="3"/>
  <c r="M16" i="3"/>
  <c r="M23" i="3"/>
  <c r="M17" i="3"/>
  <c r="M11" i="3"/>
  <c r="M14" i="3"/>
  <c r="N9" i="3"/>
  <c r="W20" i="3"/>
  <c r="AK20" i="3"/>
  <c r="P12" i="3"/>
  <c r="P13" i="3"/>
  <c r="P15" i="3"/>
  <c r="AD21" i="3"/>
  <c r="W21" i="3"/>
  <c r="R17" i="3"/>
  <c r="N16" i="3"/>
  <c r="N14" i="3"/>
  <c r="N23" i="3"/>
  <c r="N21" i="3"/>
  <c r="N15" i="3"/>
  <c r="N20" i="3"/>
  <c r="C8" i="1"/>
  <c r="AD17" i="3"/>
  <c r="AD14" i="3"/>
  <c r="AD20" i="3"/>
  <c r="AD22" i="3"/>
  <c r="AD23" i="3"/>
  <c r="AJ22" i="3"/>
  <c r="AJ20" i="3"/>
  <c r="AJ14" i="3"/>
  <c r="AD16" i="3"/>
  <c r="U12" i="3"/>
  <c r="U13" i="3"/>
  <c r="AP5" i="3"/>
  <c r="Z25" i="3"/>
  <c r="Z13" i="3"/>
  <c r="P18" i="3"/>
  <c r="S15" i="3"/>
  <c r="S13" i="3"/>
  <c r="AJ23" i="3"/>
  <c r="W18" i="3"/>
  <c r="W25" i="3"/>
  <c r="V16" i="3"/>
  <c r="W15" i="3"/>
  <c r="W17" i="3"/>
  <c r="W14" i="3"/>
  <c r="W22" i="3"/>
  <c r="W16" i="3"/>
  <c r="W23" i="3"/>
  <c r="M13" i="3"/>
  <c r="AO14" i="3"/>
  <c r="D48" i="1"/>
  <c r="AT32" i="3"/>
  <c r="S10" i="3"/>
  <c r="AP10" i="3"/>
  <c r="AJ10" i="3"/>
  <c r="P10" i="3"/>
  <c r="V10" i="3"/>
  <c r="AD10" i="3"/>
  <c r="AC10" i="3"/>
  <c r="Q32" i="3"/>
  <c r="P32" i="3"/>
  <c r="T9" i="3"/>
  <c r="AE10" i="3"/>
  <c r="AG10" i="3"/>
  <c r="U9" i="3"/>
  <c r="Z10" i="3"/>
  <c r="AK9" i="3"/>
  <c r="AK14" i="3"/>
  <c r="AO22" i="3"/>
  <c r="AK23" i="3"/>
  <c r="AP17" i="3"/>
  <c r="AI22" i="3"/>
  <c r="AI21" i="3"/>
  <c r="AI23" i="3"/>
  <c r="AI14" i="3"/>
  <c r="AI16" i="3"/>
  <c r="AI20" i="3"/>
  <c r="AI17" i="3"/>
  <c r="AI15" i="3"/>
  <c r="AO23" i="3"/>
  <c r="AN14" i="3"/>
  <c r="AO9" i="3"/>
  <c r="AN20" i="3"/>
  <c r="AN22" i="3"/>
  <c r="AN15" i="3"/>
  <c r="AN23" i="3"/>
  <c r="AN21" i="3"/>
  <c r="AN9" i="3"/>
  <c r="AM21" i="3"/>
  <c r="AM17" i="3"/>
  <c r="AM22" i="3"/>
  <c r="AM16" i="3"/>
  <c r="AM23" i="3"/>
  <c r="AM11" i="3"/>
  <c r="AM14" i="3"/>
  <c r="AM15" i="3"/>
  <c r="AM20" i="3"/>
  <c r="AL16" i="3"/>
  <c r="AL11" i="3"/>
  <c r="AL20" i="3"/>
  <c r="AL21" i="3"/>
  <c r="AL22" i="3"/>
  <c r="AL17" i="3"/>
  <c r="AL15" i="3"/>
  <c r="AL23" i="3"/>
  <c r="AM9" i="3"/>
  <c r="AL14" i="3"/>
  <c r="AK11" i="3"/>
  <c r="AQ17" i="3"/>
  <c r="AQ16" i="3"/>
  <c r="AQ15" i="3"/>
  <c r="AQ14" i="3"/>
  <c r="AQ22" i="3"/>
  <c r="AQ23" i="3"/>
  <c r="AQ11" i="3"/>
  <c r="AQ20" i="3"/>
  <c r="AQ21" i="3"/>
  <c r="AO20" i="3"/>
  <c r="AO11" i="3"/>
  <c r="AO15" i="3"/>
  <c r="AJ16" i="3"/>
  <c r="AJ17" i="3"/>
  <c r="AJ21" i="3"/>
  <c r="AJ15" i="3"/>
  <c r="AJ11" i="3"/>
  <c r="AJ9" i="3"/>
  <c r="AG16" i="3"/>
  <c r="AG11" i="3"/>
  <c r="AG14" i="3"/>
  <c r="AG20" i="3"/>
  <c r="AG23" i="3"/>
  <c r="AG21" i="3"/>
  <c r="AG22" i="3"/>
  <c r="AG17" i="3"/>
  <c r="AG15" i="3"/>
  <c r="AK16" i="3"/>
  <c r="AK21" i="3"/>
  <c r="AS17" i="3"/>
  <c r="AS21" i="3"/>
  <c r="AS23" i="3"/>
  <c r="AS20" i="3"/>
  <c r="AS22" i="3"/>
  <c r="AS15" i="3"/>
  <c r="AS16" i="3"/>
  <c r="AS14" i="3"/>
  <c r="AK22" i="3"/>
  <c r="AK15" i="3"/>
  <c r="AI11" i="3"/>
  <c r="AL9" i="3"/>
  <c r="AD9" i="3"/>
  <c r="AA11" i="3"/>
  <c r="AC20" i="3"/>
  <c r="AC17" i="3"/>
  <c r="AC23" i="3"/>
  <c r="AC16" i="3"/>
  <c r="AC14" i="3"/>
  <c r="AC15" i="3"/>
  <c r="AC21" i="3"/>
  <c r="AC22" i="3"/>
  <c r="O15" i="3"/>
  <c r="N11" i="3"/>
  <c r="O20" i="3"/>
  <c r="O14" i="3"/>
  <c r="O17" i="3"/>
  <c r="O16" i="3"/>
  <c r="O21" i="3"/>
  <c r="P9" i="3"/>
  <c r="O22" i="3"/>
  <c r="O23" i="3"/>
  <c r="O9" i="3"/>
  <c r="O11" i="3"/>
  <c r="AH20" i="3"/>
  <c r="AI9" i="3"/>
  <c r="AH16" i="3"/>
  <c r="AH22" i="3"/>
  <c r="AH23" i="3"/>
  <c r="AH4" i="3"/>
  <c r="AH17" i="3"/>
  <c r="AF11" i="3"/>
  <c r="AH9" i="3"/>
  <c r="AH15" i="3"/>
  <c r="AH11" i="3"/>
  <c r="AH21" i="3"/>
  <c r="AH6" i="3"/>
  <c r="AH14" i="3"/>
  <c r="AR22" i="3"/>
  <c r="AR15" i="3"/>
  <c r="AR23" i="3"/>
  <c r="AR16" i="3"/>
  <c r="AR17" i="3"/>
  <c r="AR20" i="3"/>
  <c r="AR9" i="3"/>
  <c r="AR14" i="3"/>
  <c r="AR21" i="3"/>
  <c r="Y16" i="3"/>
  <c r="W11" i="3"/>
  <c r="Y15" i="3"/>
  <c r="Y22" i="3"/>
  <c r="Y20" i="3"/>
  <c r="Y21" i="3"/>
  <c r="Y17" i="3"/>
  <c r="Y14" i="3"/>
  <c r="Y23" i="3"/>
  <c r="Y11" i="3"/>
  <c r="Y9" i="3"/>
  <c r="V24" i="3"/>
  <c r="V22" i="3"/>
  <c r="V20" i="3"/>
  <c r="V17" i="3"/>
  <c r="T11" i="3"/>
  <c r="V11" i="3"/>
  <c r="W9" i="3"/>
  <c r="V9" i="3"/>
  <c r="V21" i="3"/>
  <c r="V14" i="3"/>
  <c r="V15" i="3"/>
  <c r="V23" i="3"/>
  <c r="AB20" i="3"/>
  <c r="AB14" i="3"/>
  <c r="AB11" i="3"/>
  <c r="AB21" i="3"/>
  <c r="AB16" i="3"/>
  <c r="AB22" i="3"/>
  <c r="AB23" i="3"/>
  <c r="Z11" i="3"/>
  <c r="AB17" i="3"/>
  <c r="AB15" i="3"/>
  <c r="AB9" i="3"/>
  <c r="AN11" i="3"/>
  <c r="AP6" i="3"/>
  <c r="AP21" i="3"/>
  <c r="AP11" i="3"/>
  <c r="AP14" i="3"/>
  <c r="AP15" i="3"/>
  <c r="AQ9" i="3"/>
  <c r="AP16" i="3"/>
  <c r="AP20" i="3"/>
  <c r="AP22" i="3"/>
  <c r="AP23" i="3"/>
  <c r="AF24" i="3"/>
  <c r="AE22" i="3"/>
  <c r="AE23" i="3"/>
  <c r="AE9" i="3"/>
  <c r="AE21" i="3"/>
  <c r="AE16" i="3"/>
  <c r="AC11" i="3"/>
  <c r="AE17" i="3"/>
  <c r="AE11" i="3"/>
  <c r="AE15" i="3"/>
  <c r="AE20" i="3"/>
  <c r="AE14" i="3"/>
  <c r="R21" i="3"/>
  <c r="R14" i="3"/>
  <c r="R15" i="3"/>
  <c r="R22" i="3"/>
  <c r="R23" i="3"/>
  <c r="R11" i="3"/>
  <c r="Q11" i="3"/>
  <c r="R20" i="3"/>
  <c r="R16" i="3"/>
  <c r="P16" i="3"/>
  <c r="P14" i="3"/>
  <c r="P11" i="3"/>
  <c r="P20" i="3"/>
  <c r="P23" i="3"/>
  <c r="P22" i="3"/>
  <c r="P21" i="3"/>
  <c r="P17" i="3"/>
  <c r="Q9" i="3"/>
  <c r="AS9" i="3"/>
  <c r="AG9" i="3"/>
  <c r="S9" i="3"/>
  <c r="AC9" i="3"/>
  <c r="AP9" i="3"/>
  <c r="R10" i="3"/>
  <c r="Z9" i="3"/>
  <c r="AF10" i="3"/>
  <c r="R9" i="3"/>
  <c r="AF9" i="3"/>
  <c r="AE5" i="3"/>
  <c r="AQ26" i="3"/>
  <c r="AR19" i="3"/>
  <c r="B39" i="2"/>
  <c r="AT10" i="3"/>
  <c r="Y33" i="3"/>
  <c r="AL38" i="3"/>
  <c r="N33" i="3"/>
  <c r="S37" i="3"/>
  <c r="S38" i="3"/>
  <c r="K33" i="3"/>
  <c r="B49" i="1"/>
  <c r="AQ6" i="3"/>
  <c r="AE4" i="3"/>
  <c r="AE6" i="3"/>
  <c r="AQ5" i="3"/>
  <c r="AQ4" i="3"/>
  <c r="AT12" i="3"/>
  <c r="B27" i="1"/>
  <c r="W6" i="3"/>
  <c r="M28" i="3"/>
  <c r="AR36" i="3"/>
  <c r="T6" i="3"/>
  <c r="H6" i="3"/>
  <c r="T4" i="3"/>
  <c r="H4" i="3"/>
  <c r="H5" i="3"/>
  <c r="T19" i="3"/>
  <c r="J35" i="3"/>
  <c r="AH28" i="3"/>
  <c r="AP4" i="3"/>
  <c r="W4" i="3"/>
  <c r="AD19" i="3"/>
  <c r="AD4" i="3"/>
  <c r="N27" i="3"/>
  <c r="AD6" i="3"/>
  <c r="W5" i="3"/>
  <c r="AA27" i="3"/>
  <c r="AH35" i="3"/>
  <c r="I28" i="3"/>
  <c r="P6" i="3"/>
  <c r="M27" i="3"/>
  <c r="P4" i="3"/>
  <c r="P5" i="3"/>
  <c r="O4" i="3"/>
  <c r="I35" i="3"/>
  <c r="AI5" i="3"/>
  <c r="AN28" i="3"/>
  <c r="N6" i="3"/>
  <c r="Z6" i="3"/>
  <c r="AG35" i="3"/>
  <c r="AT28" i="3"/>
  <c r="L4" i="3"/>
  <c r="L5" i="3"/>
  <c r="L6" i="3"/>
  <c r="AJ5" i="3"/>
  <c r="T26" i="3"/>
  <c r="AJ6" i="3"/>
  <c r="AJ4" i="3"/>
  <c r="I26" i="3"/>
  <c r="Z4" i="3"/>
  <c r="F28" i="3"/>
  <c r="AF30" i="3"/>
  <c r="Z5" i="3"/>
  <c r="AR24" i="3"/>
  <c r="Q28" i="3"/>
  <c r="AR25" i="3"/>
  <c r="AC25" i="3"/>
  <c r="L26" i="3"/>
  <c r="AM25" i="3"/>
  <c r="J4" i="3"/>
  <c r="J6" i="3"/>
  <c r="J5" i="3"/>
  <c r="M26" i="3"/>
  <c r="Y26" i="3"/>
  <c r="AO4" i="3"/>
  <c r="F5" i="3"/>
  <c r="V4" i="3"/>
  <c r="V19" i="3"/>
  <c r="AG24" i="3"/>
  <c r="V6" i="3"/>
  <c r="V26" i="3"/>
  <c r="AL4" i="3"/>
  <c r="AP35" i="3"/>
  <c r="AG36" i="3"/>
  <c r="AL19" i="3"/>
  <c r="AD28" i="3"/>
  <c r="U19" i="3"/>
  <c r="K25" i="3"/>
  <c r="U4" i="3"/>
  <c r="AR26" i="3"/>
  <c r="U5" i="3"/>
  <c r="AL5" i="3"/>
  <c r="I6" i="3"/>
  <c r="I4" i="3"/>
  <c r="R27" i="3"/>
  <c r="I5" i="3"/>
  <c r="S27" i="3"/>
  <c r="O25" i="3"/>
  <c r="AF26" i="3"/>
  <c r="AK5" i="3"/>
  <c r="AO35" i="3"/>
  <c r="R24" i="3"/>
  <c r="AO28" i="3"/>
  <c r="D27" i="3"/>
  <c r="AJ24" i="3"/>
  <c r="AK4" i="3"/>
  <c r="AC28" i="3"/>
  <c r="P24" i="3"/>
  <c r="AK6" i="3"/>
  <c r="L24" i="3"/>
  <c r="L27" i="3"/>
  <c r="R35" i="3"/>
  <c r="AA5" i="3"/>
  <c r="AA4" i="3"/>
  <c r="Q5" i="3"/>
  <c r="U24" i="3"/>
  <c r="Q4" i="3"/>
  <c r="K26" i="3"/>
  <c r="Q19" i="3"/>
  <c r="AJ36" i="3"/>
  <c r="AA6" i="3"/>
  <c r="AH24" i="3"/>
  <c r="AK25" i="3"/>
  <c r="AE25" i="3"/>
  <c r="AB26" i="3"/>
  <c r="X27" i="3"/>
  <c r="X5" i="3"/>
  <c r="AO24" i="3"/>
  <c r="D19" i="3"/>
  <c r="X6" i="3"/>
  <c r="D6" i="3"/>
  <c r="O19" i="3"/>
  <c r="X19" i="3"/>
  <c r="O5" i="3"/>
  <c r="AO36" i="3"/>
  <c r="D5" i="3"/>
  <c r="X28" i="3"/>
  <c r="Y35" i="3"/>
  <c r="I27" i="3"/>
  <c r="AF6" i="3"/>
  <c r="AF5" i="3"/>
  <c r="AF19" i="3"/>
  <c r="AF4" i="3"/>
  <c r="AC27" i="3"/>
  <c r="S25" i="3"/>
  <c r="I25" i="3"/>
  <c r="J25" i="3"/>
  <c r="AM19" i="3"/>
  <c r="M19" i="3"/>
  <c r="L25" i="3"/>
  <c r="E35" i="3"/>
  <c r="Q36" i="3"/>
  <c r="P36" i="3"/>
  <c r="C38" i="1"/>
  <c r="C49" i="1" s="1"/>
  <c r="AT13" i="3"/>
  <c r="D5" i="5"/>
  <c r="AT18" i="3"/>
  <c r="D30" i="5"/>
  <c r="AT5" i="3"/>
  <c r="E39" i="3"/>
  <c r="B51" i="1"/>
  <c r="V30" i="3"/>
  <c r="V39" i="3"/>
  <c r="AF39" i="3"/>
  <c r="U36" i="3" l="1"/>
  <c r="AT35" i="3"/>
  <c r="M35" i="3"/>
  <c r="D3" i="2"/>
  <c r="D19" i="2" s="1"/>
  <c r="D29" i="2" s="1"/>
  <c r="D33" i="2" s="1"/>
  <c r="D35" i="2" s="1"/>
  <c r="D37" i="2" s="1"/>
  <c r="B3" i="2"/>
  <c r="B19" i="2" s="1"/>
  <c r="B29" i="2" s="1"/>
  <c r="B33" i="2" s="1"/>
  <c r="B35" i="2" s="1"/>
  <c r="B37" i="2" s="1"/>
  <c r="AN36" i="3"/>
  <c r="AK36" i="3"/>
  <c r="AL36" i="3"/>
  <c r="AM24" i="3"/>
  <c r="AP24" i="3"/>
  <c r="D25" i="5"/>
  <c r="AN38" i="3"/>
  <c r="AT25" i="3"/>
  <c r="AN24" i="3"/>
  <c r="L28" i="3"/>
  <c r="AK24" i="3"/>
  <c r="AE33" i="3"/>
  <c r="V36" i="3"/>
  <c r="AM35" i="3"/>
  <c r="Q33" i="3"/>
  <c r="AP25" i="3"/>
  <c r="AS35" i="3"/>
  <c r="K28" i="3"/>
  <c r="C39" i="2"/>
  <c r="AD38" i="3"/>
  <c r="X38" i="3"/>
  <c r="M38" i="3"/>
  <c r="K37" i="3"/>
  <c r="AF37" i="3"/>
  <c r="E30" i="3"/>
  <c r="H37" i="3"/>
  <c r="H39" i="3"/>
  <c r="H30" i="3"/>
  <c r="L39" i="3"/>
  <c r="L37" i="3"/>
  <c r="AT34" i="3"/>
  <c r="AO33" i="3"/>
  <c r="AA33" i="3"/>
  <c r="R33" i="3"/>
  <c r="I33" i="3"/>
  <c r="K38" i="3"/>
  <c r="S30" i="3"/>
  <c r="AR30" i="3"/>
  <c r="AN30" i="3"/>
  <c r="AS37" i="3"/>
  <c r="AH37" i="3"/>
  <c r="D30" i="3"/>
  <c r="E37" i="3"/>
  <c r="P39" i="3"/>
  <c r="P37" i="3"/>
  <c r="O30" i="3"/>
  <c r="Q39" i="3"/>
  <c r="Q37" i="3"/>
  <c r="P30" i="3"/>
  <c r="N36" i="3"/>
  <c r="V37" i="3"/>
  <c r="K30" i="3"/>
  <c r="R30" i="3"/>
  <c r="I37" i="3"/>
  <c r="AR33" i="3"/>
  <c r="AN33" i="3"/>
  <c r="P33" i="3"/>
  <c r="L33" i="3"/>
  <c r="AJ38" i="3"/>
  <c r="S39" i="3"/>
  <c r="AQ39" i="3"/>
  <c r="AA30" i="3"/>
  <c r="G30" i="3"/>
  <c r="AS38" i="3"/>
  <c r="R38" i="3"/>
  <c r="F30" i="3"/>
  <c r="AA37" i="3"/>
  <c r="AA28" i="3"/>
  <c r="AP36" i="3"/>
  <c r="S35" i="3"/>
  <c r="Y5" i="3"/>
  <c r="AH36" i="3"/>
  <c r="AN5" i="3"/>
  <c r="K35" i="3"/>
  <c r="AJ27" i="3"/>
  <c r="L36" i="3"/>
  <c r="H25" i="3"/>
  <c r="G25" i="3"/>
  <c r="N25" i="3"/>
  <c r="J28" i="3"/>
  <c r="AQ24" i="3"/>
  <c r="R28" i="3"/>
  <c r="AI36" i="3"/>
  <c r="AB35" i="3"/>
  <c r="K6" i="3"/>
  <c r="O27" i="3"/>
  <c r="Y24" i="3"/>
  <c r="P25" i="3"/>
  <c r="AS36" i="3"/>
  <c r="K4" i="3"/>
  <c r="K5" i="3"/>
  <c r="L35" i="3"/>
  <c r="AG5" i="3"/>
  <c r="C27" i="1"/>
  <c r="C51" i="1" s="1"/>
  <c r="D38" i="1"/>
  <c r="D49" i="1" s="1"/>
  <c r="AQ28" i="3"/>
  <c r="T35" i="3"/>
  <c r="AB24" i="3"/>
  <c r="AN4" i="3"/>
  <c r="Q27" i="3"/>
  <c r="P35" i="3"/>
  <c r="G28" i="3"/>
  <c r="M36" i="3"/>
  <c r="M25" i="3"/>
  <c r="G26" i="3"/>
  <c r="AQ36" i="3"/>
  <c r="AA35" i="3"/>
  <c r="AR35" i="3"/>
  <c r="AS24" i="3"/>
  <c r="S36" i="3"/>
  <c r="Y36" i="3"/>
  <c r="K27" i="3"/>
  <c r="J27" i="3"/>
  <c r="M24" i="3"/>
  <c r="AI24" i="3"/>
  <c r="F25" i="3"/>
  <c r="AQ35" i="3"/>
  <c r="AN6" i="3"/>
  <c r="AI29" i="3"/>
  <c r="AB29" i="3"/>
  <c r="T30" i="3"/>
  <c r="T39" i="3"/>
  <c r="T37" i="3"/>
  <c r="H29" i="3"/>
  <c r="M5" i="3"/>
  <c r="F27" i="3"/>
  <c r="F26" i="3"/>
  <c r="H28" i="3"/>
  <c r="T36" i="3"/>
  <c r="J36" i="3"/>
  <c r="AD37" i="3"/>
  <c r="M6" i="3"/>
  <c r="AN35" i="3"/>
  <c r="Q35" i="3"/>
  <c r="G27" i="3"/>
  <c r="K36" i="3"/>
  <c r="T24" i="3"/>
  <c r="H27" i="3"/>
  <c r="X35" i="3"/>
  <c r="AD24" i="3"/>
  <c r="J24" i="3"/>
  <c r="E27" i="3"/>
  <c r="AF35" i="3"/>
  <c r="AM39" i="3"/>
  <c r="P27" i="3"/>
  <c r="AD39" i="3"/>
  <c r="T27" i="3"/>
  <c r="O26" i="3"/>
  <c r="AC24" i="3"/>
  <c r="AO5" i="3"/>
  <c r="Y4" i="3"/>
  <c r="AC36" i="3"/>
  <c r="W35" i="3"/>
  <c r="P28" i="3"/>
  <c r="S24" i="3"/>
  <c r="O28" i="3"/>
  <c r="AE36" i="3"/>
  <c r="F6" i="3"/>
  <c r="Y6" i="3"/>
  <c r="AD29" i="3"/>
  <c r="AD30" i="3"/>
  <c r="H26" i="3"/>
  <c r="AC4" i="3"/>
  <c r="F4" i="3"/>
  <c r="AC5" i="3"/>
  <c r="K24" i="3"/>
  <c r="AD36" i="3"/>
  <c r="AE35" i="3"/>
  <c r="AC6" i="3"/>
  <c r="AO6" i="3"/>
  <c r="Z36" i="3"/>
  <c r="AJ39" i="3"/>
  <c r="AE24" i="3"/>
  <c r="AF36" i="3"/>
  <c r="S4" i="3"/>
  <c r="S5" i="3"/>
  <c r="S19" i="3"/>
  <c r="AJ26" i="3"/>
  <c r="AE26" i="3"/>
  <c r="AI6" i="3"/>
  <c r="AI19" i="3"/>
  <c r="E36" i="3"/>
  <c r="H36" i="3"/>
  <c r="E24" i="3"/>
  <c r="AD35" i="3"/>
  <c r="AC35" i="3"/>
  <c r="U35" i="3"/>
  <c r="N35" i="3"/>
  <c r="N28" i="3"/>
  <c r="O35" i="3"/>
  <c r="E28" i="3"/>
  <c r="D28" i="3"/>
  <c r="H35" i="3"/>
  <c r="AO26" i="3"/>
  <c r="AM4" i="3"/>
  <c r="AM6" i="3"/>
  <c r="AM5" i="3"/>
  <c r="Y27" i="3"/>
  <c r="AA39" i="3"/>
  <c r="AF29" i="3"/>
  <c r="AG30" i="3"/>
  <c r="AH39" i="3"/>
  <c r="AH30" i="3"/>
  <c r="X24" i="3"/>
  <c r="W24" i="3"/>
  <c r="W36" i="3"/>
  <c r="X36" i="3"/>
  <c r="AH25" i="3"/>
  <c r="AB19" i="3"/>
  <c r="AB5" i="3"/>
  <c r="AB6" i="3"/>
  <c r="AB4" i="3"/>
  <c r="H24" i="3"/>
  <c r="I36" i="3"/>
  <c r="I24" i="3"/>
  <c r="AS30" i="3"/>
  <c r="R36" i="3"/>
  <c r="Q24" i="3"/>
  <c r="AI28" i="3"/>
  <c r="AI35" i="3"/>
  <c r="AJ35" i="3"/>
  <c r="J26" i="3"/>
  <c r="D26" i="3"/>
  <c r="E26" i="3"/>
  <c r="AR6" i="3"/>
  <c r="AR4" i="3"/>
  <c r="AR5" i="3"/>
  <c r="AS6" i="3"/>
  <c r="AS4" i="3"/>
  <c r="AS19" i="3"/>
  <c r="AL24" i="3"/>
  <c r="AM36" i="3"/>
  <c r="Q25" i="3"/>
  <c r="E29" i="3"/>
  <c r="D14" i="5"/>
  <c r="D11" i="5" s="1"/>
  <c r="R25" i="3"/>
  <c r="D25" i="3"/>
  <c r="E25" i="3"/>
  <c r="Q26" i="3"/>
  <c r="P26" i="3"/>
  <c r="O24" i="3"/>
  <c r="O36" i="3"/>
  <c r="N24" i="3"/>
  <c r="AA24" i="3"/>
  <c r="AA36" i="3"/>
  <c r="Z24" i="3"/>
  <c r="V25" i="3"/>
  <c r="N4" i="3"/>
  <c r="N5" i="3"/>
  <c r="N19" i="3"/>
  <c r="G19" i="3"/>
  <c r="G5" i="3"/>
  <c r="G4" i="3"/>
  <c r="X26" i="3"/>
  <c r="E51" i="1"/>
  <c r="AP29" i="3"/>
  <c r="AR29" i="3"/>
  <c r="AQ29" i="3"/>
  <c r="AN29" i="3"/>
  <c r="AM37" i="3"/>
  <c r="AG29" i="3"/>
  <c r="AE29" i="3"/>
  <c r="AM29" i="3"/>
  <c r="AO37" i="3"/>
  <c r="AO39" i="3"/>
  <c r="AR37" i="3"/>
  <c r="AR39" i="3"/>
  <c r="AC29" i="3"/>
  <c r="AJ30" i="3"/>
  <c r="Y29" i="3"/>
  <c r="Q29" i="3"/>
  <c r="G29" i="3"/>
  <c r="AL29" i="3"/>
  <c r="AP30" i="3"/>
  <c r="AP39" i="3"/>
  <c r="AP37" i="3"/>
  <c r="AJ37" i="3"/>
  <c r="X29" i="3"/>
  <c r="AK29" i="3"/>
  <c r="AT29" i="3"/>
  <c r="AO30" i="3"/>
  <c r="W29" i="3"/>
  <c r="AH29" i="3"/>
  <c r="T29" i="3"/>
  <c r="AS29" i="3"/>
  <c r="AB36" i="3"/>
  <c r="AK35" i="3"/>
  <c r="AK28" i="3"/>
  <c r="AL35" i="3"/>
  <c r="AG19" i="3"/>
  <c r="AG6" i="3"/>
  <c r="AS11" i="3"/>
  <c r="U28" i="3"/>
  <c r="V35" i="3"/>
  <c r="Z26" i="3"/>
  <c r="R26" i="3"/>
  <c r="R19" i="3"/>
  <c r="R5" i="3"/>
  <c r="R6" i="3"/>
  <c r="E5" i="3"/>
  <c r="E6" i="3"/>
  <c r="E4" i="3"/>
  <c r="E19" i="3"/>
  <c r="AN26" i="3"/>
  <c r="Z28" i="3"/>
  <c r="Y28" i="3"/>
  <c r="Z35" i="3"/>
  <c r="AL28" i="3"/>
  <c r="N26" i="3"/>
  <c r="D27" i="1"/>
  <c r="U8" i="3"/>
  <c r="C3" i="2"/>
  <c r="C19" i="2" s="1"/>
  <c r="C29" i="2" s="1"/>
  <c r="C33" i="2" s="1"/>
  <c r="C35" i="2" s="1"/>
  <c r="C37" i="2" s="1"/>
  <c r="F29" i="3" l="1"/>
  <c r="L30" i="3"/>
  <c r="AB39" i="3"/>
  <c r="AB37" i="3"/>
  <c r="AB30" i="3"/>
  <c r="O29" i="3"/>
  <c r="AO29" i="3"/>
  <c r="P29" i="3"/>
  <c r="Z29" i="3"/>
  <c r="N29" i="3"/>
  <c r="N37" i="3"/>
  <c r="AG37" i="3"/>
  <c r="AG39" i="3"/>
  <c r="K29" i="3"/>
  <c r="AA29" i="3"/>
  <c r="AS39" i="3"/>
  <c r="J29" i="3"/>
  <c r="M39" i="3"/>
  <c r="U29" i="3"/>
  <c r="M37" i="3"/>
  <c r="I29" i="3"/>
  <c r="K39" i="3"/>
  <c r="R37" i="3"/>
  <c r="R39" i="3"/>
  <c r="AN37" i="3"/>
  <c r="O39" i="3"/>
  <c r="Q30" i="3"/>
  <c r="X39" i="3"/>
  <c r="AN39" i="3"/>
  <c r="O37" i="3"/>
  <c r="X37" i="3"/>
  <c r="AM30" i="3"/>
  <c r="AT30" i="3"/>
  <c r="AT37" i="3"/>
  <c r="AT39" i="3"/>
  <c r="J37" i="3"/>
  <c r="I30" i="3"/>
  <c r="J30" i="3"/>
  <c r="J39" i="3"/>
  <c r="AI30" i="3"/>
  <c r="X30" i="3"/>
  <c r="AQ30" i="3"/>
  <c r="AQ37" i="3"/>
  <c r="N30" i="3"/>
  <c r="N39" i="3"/>
  <c r="M30" i="3"/>
  <c r="AI39" i="3"/>
  <c r="AI37" i="3"/>
  <c r="AT15" i="3"/>
  <c r="AT4" i="3"/>
  <c r="AT9" i="3"/>
  <c r="AT22" i="3"/>
  <c r="AR11" i="3"/>
  <c r="AT23" i="3"/>
  <c r="AT14" i="3"/>
  <c r="D4" i="5"/>
  <c r="AT16" i="3"/>
  <c r="AT20" i="3"/>
  <c r="AT21" i="3"/>
  <c r="AT6" i="3"/>
  <c r="AT11" i="3"/>
  <c r="AT17" i="3"/>
  <c r="V29" i="3"/>
  <c r="W30" i="3"/>
  <c r="W37" i="3"/>
  <c r="W39" i="3"/>
  <c r="AJ29" i="3"/>
  <c r="R29" i="3"/>
  <c r="L29" i="3"/>
  <c r="AE37" i="3"/>
  <c r="AE39" i="3"/>
  <c r="AE30" i="3"/>
  <c r="AC39" i="3"/>
  <c r="AC37" i="3"/>
  <c r="AC30" i="3"/>
  <c r="M29" i="3"/>
  <c r="S29" i="3"/>
  <c r="D12" i="5"/>
  <c r="D29" i="3"/>
  <c r="U37" i="3"/>
  <c r="U30" i="3"/>
  <c r="U39" i="3"/>
  <c r="Z30" i="3"/>
  <c r="Z37" i="3"/>
  <c r="Z39" i="3"/>
  <c r="AK39" i="3"/>
  <c r="AK30" i="3"/>
  <c r="AK37" i="3"/>
  <c r="AL30" i="3"/>
  <c r="AL37" i="3"/>
  <c r="AL39" i="3"/>
  <c r="Y39" i="3"/>
  <c r="Y30" i="3"/>
  <c r="Y37" i="3"/>
  <c r="D51" i="1"/>
  <c r="AT36" i="3" l="1"/>
  <c r="AT24" i="3"/>
</calcChain>
</file>

<file path=xl/sharedStrings.xml><?xml version="1.0" encoding="utf-8"?>
<sst xmlns="http://schemas.openxmlformats.org/spreadsheetml/2006/main" count="294" uniqueCount="238">
  <si>
    <t>AUDITED 2018</t>
  </si>
  <si>
    <t>AUDITED 2019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</si>
  <si>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</si>
  <si>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</si>
  <si>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</si>
  <si>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</si>
  <si>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</si>
  <si>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</si>
  <si>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</si>
  <si>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</si>
  <si>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</si>
  <si>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</si>
  <si>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</si>
  <si>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</si>
  <si>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</si>
  <si>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</si>
  <si>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</si>
  <si>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</si>
  <si>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</si>
  <si>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</si>
  <si>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</si>
  <si>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</si>
  <si>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</si>
  <si>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</si>
  <si>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</si>
  <si>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</si>
  <si>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</si>
  <si>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</si>
  <si>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</si>
  <si>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</si>
  <si>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</si>
  <si>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</si>
  <si>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</si>
  <si>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</si>
  <si>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</si>
  <si>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</si>
  <si>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</si>
  <si>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</si>
  <si>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</si>
  <si>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</si>
  <si>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</si>
  <si>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</si>
  <si>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</si>
  <si>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</si>
  <si>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</si>
  <si>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</si>
  <si>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</si>
  <si>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</si>
  <si>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</si>
  <si>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</si>
  <si>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</si>
  <si>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2022 AUDITED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</si>
  <si>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</si>
  <si>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</si>
  <si>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</si>
  <si>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</si>
  <si>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</si>
  <si>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</si>
  <si>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</si>
  <si>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</si>
  <si>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</si>
  <si>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</si>
  <si>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</si>
  <si>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</si>
  <si>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</si>
  <si>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</si>
  <si>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</si>
  <si>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</si>
  <si>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</si>
  <si>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</si>
  <si>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</si>
  <si>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</si>
  <si>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</si>
  <si>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</si>
  <si>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</si>
  <si>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</si>
  <si>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</si>
  <si>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</si>
  <si>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</si>
  <si>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</si>
  <si>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</si>
  <si>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</si>
  <si>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</si>
  <si>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</si>
  <si>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</si>
  <si>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</si>
  <si>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</si>
  <si>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</si>
  <si>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STIMA SACCO 2017 CAELS</t>
  </si>
  <si>
    <t>2013 Audited</t>
  </si>
  <si>
    <t>2014 Audited</t>
  </si>
  <si>
    <t>2015 Audited</t>
  </si>
  <si>
    <t>2016 Audited</t>
  </si>
  <si>
    <t>Audited 2017</t>
  </si>
  <si>
    <t>Audited 2018</t>
  </si>
  <si>
    <t>Audited 2019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</si>
  <si>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</si>
  <si>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</si>
  <si>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</si>
  <si>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</si>
  <si>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</si>
  <si>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</si>
  <si>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</si>
  <si>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</si>
  <si>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</si>
  <si>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</si>
  <si>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</si>
  <si>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</si>
  <si>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</si>
  <si>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</si>
  <si>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</si>
  <si>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</si>
  <si>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</si>
  <si>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</si>
  <si>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</si>
  <si>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</si>
  <si>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</si>
  <si>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</si>
  <si>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</si>
  <si>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</si>
  <si>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</si>
  <si>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</si>
  <si>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</si>
  <si>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</si>
  <si>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</si>
  <si>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</si>
  <si>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</si>
  <si>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</si>
  <si>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</si>
  <si>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</si>
  <si>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</si>
  <si>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</si>
  <si>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</si>
  <si>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</si>
  <si>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</si>
  <si>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</si>
  <si>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</si>
  <si>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</si>
  <si>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</si>
  <si>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</si>
  <si>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</si>
  <si>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</si>
  <si>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</si>
  <si>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</si>
  <si>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</si>
  <si>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</si>
  <si>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</si>
  <si>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</si>
  <si>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</si>
  <si>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UN Sacco Financial Performance</t>
  </si>
  <si>
    <t>Year</t>
  </si>
  <si>
    <t>Audited 2022</t>
  </si>
  <si>
    <t>Audited 2023</t>
  </si>
  <si>
    <t>Deposits-Members(BOSA)</t>
  </si>
  <si>
    <t>Deposits-Customers(FOSA)</t>
  </si>
  <si>
    <t>External Borrowing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</si>
  <si>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</si>
  <si>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</si>
  <si>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</si>
  <si>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</si>
  <si>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</si>
  <si>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</si>
  <si>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</si>
  <si>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</si>
  <si>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</si>
  <si>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</si>
  <si>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</si>
  <si>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</si>
  <si>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</si>
  <si>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</si>
  <si>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</si>
  <si>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</si>
  <si>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</si>
  <si>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</si>
  <si>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</si>
  <si>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</si>
  <si>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</si>
  <si>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</si>
  <si>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</si>
  <si>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</si>
  <si>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</si>
  <si>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</si>
  <si>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</si>
  <si>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</si>
  <si>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</si>
  <si>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</si>
  <si>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</si>
  <si>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</si>
  <si>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</si>
  <si>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</si>
  <si>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</si>
  <si>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</si>
  <si>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</si>
  <si>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</si>
  <si>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UN SACCO SOCIETY LTD</t>
  </si>
  <si>
    <t>FINANCIAL SOUNDNESS INDICATORS</t>
  </si>
  <si>
    <t>Prude.  Std</t>
  </si>
  <si>
    <t>Ref. #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</si>
  <si>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</si>
  <si>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</si>
  <si>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</si>
  <si>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</si>
  <si>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</si>
  <si>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</si>
  <si>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</si>
  <si>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</si>
  <si>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</si>
  <si>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</si>
  <si>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</si>
  <si>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</si>
  <si>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</si>
  <si>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</si>
  <si>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</si>
  <si>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</si>
  <si>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</si>
  <si>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</si>
  <si>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</si>
  <si>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</si>
  <si>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</si>
  <si>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</si>
  <si>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</si>
  <si>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</si>
  <si>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</si>
  <si>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</si>
  <si>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</si>
  <si>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</si>
  <si>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</si>
  <si>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</si>
  <si>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>GROWTH RATIOS (Annualized)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</si>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</sst>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0.0"/>
    <numFmt numFmtId="173" formatCode="_(* #,##0_);_(* \(#,##0\);_(* &quot;-&quot;??_);_(@_)"/>
    <numFmt numFmtId="174" formatCode="&quot;£&quot;#,##0;\-&quot;£&quot;#,##0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i/>
      <sz val="10"/>
      <color indexed="8"/>
      <name val="Cambria"/>
      <family val="1"/>
    </font>
    <font>
      <i/>
      <sz val="10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b/>
      <u/>
      <sz val="10"/>
      <color indexed="11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8">
    <xf numFmtId="0" fontId="0" fillId="0" borderId="0"/>
    <xf numFmtId="0" fontId="8" fillId="2" borderId="0" applyNumberFormat="0" applyBorder="0" applyAlignment="0" applyProtection="0"/>
    <xf numFmtId="0" fontId="40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3" borderId="0" applyNumberFormat="0" applyBorder="0" applyAlignment="0" applyProtection="0"/>
    <xf numFmtId="0" fontId="4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9" fillId="4" borderId="0" applyNumberFormat="0" applyBorder="0" applyAlignment="0" applyProtection="0"/>
    <xf numFmtId="0" fontId="41" fillId="16" borderId="0" applyNumberFormat="0" applyBorder="0" applyAlignment="0" applyProtection="0"/>
    <xf numFmtId="0" fontId="10" fillId="5" borderId="2" applyNumberFormat="0" applyAlignment="0" applyProtection="0"/>
    <xf numFmtId="0" fontId="42" fillId="17" borderId="30" applyNumberFormat="0" applyAlignment="0" applyProtection="0"/>
    <xf numFmtId="43" fontId="39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4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13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8" fillId="0" borderId="0" applyFont="0" applyFill="0" applyBorder="0" applyAlignment="0" applyProtection="0"/>
    <xf numFmtId="164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1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29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39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1" fillId="6" borderId="1" applyNumberFormat="0" applyAlignment="0" applyProtection="0"/>
    <xf numFmtId="0" fontId="43" fillId="18" borderId="29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20" fillId="0" borderId="0"/>
    <xf numFmtId="0" fontId="39" fillId="0" borderId="0"/>
    <xf numFmtId="0" fontId="21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38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39" fillId="0" borderId="0"/>
    <xf numFmtId="0" fontId="2" fillId="0" borderId="0"/>
    <xf numFmtId="0" fontId="44" fillId="0" borderId="0"/>
    <xf numFmtId="0" fontId="13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2" fillId="0" borderId="0"/>
    <xf numFmtId="0" fontId="2" fillId="0" borderId="0"/>
    <xf numFmtId="0" fontId="45" fillId="0" borderId="0"/>
    <xf numFmtId="0" fontId="2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13" fillId="0" borderId="0"/>
    <xf numFmtId="0" fontId="45" fillId="0" borderId="0"/>
    <xf numFmtId="0" fontId="2" fillId="7" borderId="3" applyNumberFormat="0" applyAlignment="0" applyProtection="0"/>
    <xf numFmtId="0" fontId="2" fillId="19" borderId="31" applyNumberFormat="0" applyFont="0" applyAlignment="0" applyProtection="0"/>
    <xf numFmtId="9" fontId="39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</cellStyleXfs>
  <cellXfs count="185">
    <xf numFmtId="0" fontId="0" fillId="0" borderId="0" xfId="0"/>
    <xf numFmtId="0" fontId="0" fillId="0" borderId="6" xfId="0" applyBorder="1"/>
    <xf numFmtId="0" fontId="48" fillId="0" borderId="6" xfId="0" applyFont="1" applyBorder="1" applyAlignment="1">
      <alignment horizontal="left" vertical="top" wrapText="1"/>
    </xf>
    <xf numFmtId="0" fontId="49" fillId="0" borderId="6" xfId="0" applyFont="1" applyBorder="1" applyAlignment="1">
      <alignment horizontal="left" vertical="top" wrapText="1"/>
    </xf>
    <xf numFmtId="10" fontId="39" fillId="0" borderId="6" xfId="713" applyNumberFormat="1" applyFont="1" applyBorder="1"/>
    <xf numFmtId="0" fontId="48" fillId="0" borderId="6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46" fillId="0" borderId="0" xfId="0" applyFont="1"/>
    <xf numFmtId="0" fontId="50" fillId="0" borderId="6" xfId="0" applyFont="1" applyBorder="1"/>
    <xf numFmtId="43" fontId="50" fillId="0" borderId="6" xfId="53" applyFont="1" applyBorder="1"/>
    <xf numFmtId="0" fontId="51" fillId="0" borderId="6" xfId="0" applyFont="1" applyBorder="1"/>
    <xf numFmtId="0" fontId="52" fillId="0" borderId="6" xfId="0" applyFont="1" applyBorder="1"/>
    <xf numFmtId="172" fontId="51" fillId="0" borderId="6" xfId="0" applyNumberFormat="1" applyFont="1" applyBorder="1"/>
    <xf numFmtId="9" fontId="52" fillId="0" borderId="6" xfId="713" applyFont="1" applyBorder="1"/>
    <xf numFmtId="0" fontId="53" fillId="0" borderId="6" xfId="0" applyFont="1" applyBorder="1"/>
    <xf numFmtId="0" fontId="54" fillId="0" borderId="6" xfId="0" applyFont="1" applyBorder="1"/>
    <xf numFmtId="172" fontId="51" fillId="0" borderId="6" xfId="0" applyNumberFormat="1" applyFont="1" applyBorder="1" applyAlignment="1">
      <alignment horizontal="right"/>
    </xf>
    <xf numFmtId="173" fontId="52" fillId="0" borderId="6" xfId="0" applyNumberFormat="1" applyFont="1" applyBorder="1"/>
    <xf numFmtId="0" fontId="55" fillId="0" borderId="6" xfId="0" applyFont="1" applyBorder="1"/>
    <xf numFmtId="43" fontId="0" fillId="0" borderId="0" xfId="0" applyNumberFormat="1"/>
    <xf numFmtId="172" fontId="55" fillId="0" borderId="6" xfId="0" applyNumberFormat="1" applyFont="1" applyBorder="1"/>
    <xf numFmtId="171" fontId="39" fillId="0" borderId="6" xfId="713" applyNumberFormat="1" applyFont="1" applyBorder="1"/>
    <xf numFmtId="0" fontId="0" fillId="0" borderId="6" xfId="0" applyBorder="1" applyAlignment="1">
      <alignment horizontal="center" vertical="center"/>
    </xf>
    <xf numFmtId="0" fontId="49" fillId="0" borderId="6" xfId="0" applyFont="1" applyBorder="1" applyAlignment="1">
      <alignment vertical="top" wrapText="1"/>
    </xf>
    <xf numFmtId="0" fontId="51" fillId="0" borderId="6" xfId="494" applyFont="1" applyBorder="1"/>
    <xf numFmtId="0" fontId="52" fillId="0" borderId="6" xfId="494" applyFont="1" applyBorder="1"/>
    <xf numFmtId="9" fontId="39" fillId="0" borderId="6" xfId="713" applyFont="1" applyBorder="1"/>
    <xf numFmtId="0" fontId="0" fillId="0" borderId="7" xfId="0" applyBorder="1"/>
    <xf numFmtId="0" fontId="0" fillId="0" borderId="8" xfId="0" applyBorder="1"/>
    <xf numFmtId="17" fontId="46" fillId="0" borderId="8" xfId="0" applyNumberFormat="1" applyFont="1" applyBorder="1"/>
    <xf numFmtId="9" fontId="39" fillId="0" borderId="9" xfId="713" applyFont="1" applyBorder="1"/>
    <xf numFmtId="0" fontId="0" fillId="0" borderId="9" xfId="0" applyBorder="1"/>
    <xf numFmtId="171" fontId="39" fillId="0" borderId="9" xfId="713" applyNumberFormat="1" applyFont="1" applyBorder="1"/>
    <xf numFmtId="10" fontId="39" fillId="0" borderId="9" xfId="713" applyNumberFormat="1" applyFont="1" applyBorder="1"/>
    <xf numFmtId="0" fontId="55" fillId="0" borderId="10" xfId="494" applyFont="1" applyBorder="1"/>
    <xf numFmtId="0" fontId="0" fillId="0" borderId="10" xfId="0" applyBorder="1"/>
    <xf numFmtId="0" fontId="51" fillId="0" borderId="10" xfId="494" applyFont="1" applyBorder="1"/>
    <xf numFmtId="0" fontId="55" fillId="0" borderId="11" xfId="494" applyFont="1" applyBorder="1"/>
    <xf numFmtId="0" fontId="0" fillId="0" borderId="12" xfId="0" applyBorder="1"/>
    <xf numFmtId="0" fontId="0" fillId="0" borderId="13" xfId="0" applyBorder="1"/>
    <xf numFmtId="0" fontId="50" fillId="0" borderId="14" xfId="0" applyFont="1" applyBorder="1"/>
    <xf numFmtId="17" fontId="7" fillId="9" borderId="6" xfId="0" applyNumberFormat="1" applyFont="1" applyFill="1" applyBorder="1" applyAlignment="1" applyProtection="1">
      <alignment vertical="top" wrapText="1" readingOrder="1"/>
      <protection locked="0"/>
    </xf>
    <xf numFmtId="173" fontId="0" fillId="0" borderId="6" xfId="0" applyNumberFormat="1" applyBorder="1"/>
    <xf numFmtId="173" fontId="46" fillId="0" borderId="6" xfId="0" applyNumberFormat="1" applyFont="1" applyBorder="1"/>
    <xf numFmtId="9" fontId="48" fillId="0" borderId="6" xfId="0" applyNumberFormat="1" applyFont="1" applyBorder="1" applyAlignment="1">
      <alignment horizontal="center" vertical="center" wrapText="1"/>
    </xf>
    <xf numFmtId="9" fontId="48" fillId="0" borderId="6" xfId="713" applyFont="1" applyBorder="1" applyAlignment="1">
      <alignment horizontal="center" vertical="center" wrapText="1"/>
    </xf>
    <xf numFmtId="171" fontId="48" fillId="0" borderId="6" xfId="713" applyNumberFormat="1" applyFont="1" applyBorder="1" applyAlignment="1">
      <alignment horizontal="center" vertical="center" wrapText="1"/>
    </xf>
    <xf numFmtId="0" fontId="26" fillId="8" borderId="12" xfId="0" applyFont="1" applyFill="1" applyBorder="1"/>
    <xf numFmtId="0" fontId="30" fillId="0" borderId="0" xfId="672" applyFont="1"/>
    <xf numFmtId="0" fontId="26" fillId="0" borderId="0" xfId="672" applyFont="1" applyAlignment="1">
      <alignment horizontal="center"/>
    </xf>
    <xf numFmtId="0" fontId="26" fillId="0" borderId="0" xfId="672" applyFont="1"/>
    <xf numFmtId="0" fontId="25" fillId="0" borderId="0" xfId="672" applyFont="1"/>
    <xf numFmtId="0" fontId="25" fillId="0" borderId="16" xfId="672" applyFont="1" applyBorder="1"/>
    <xf numFmtId="0" fontId="25" fillId="0" borderId="17" xfId="672" applyFont="1" applyBorder="1" applyAlignment="1">
      <alignment horizontal="center"/>
    </xf>
    <xf numFmtId="0" fontId="25" fillId="0" borderId="18" xfId="672" applyFont="1" applyBorder="1"/>
    <xf numFmtId="0" fontId="25" fillId="11" borderId="19" xfId="672" applyFont="1" applyFill="1" applyBorder="1"/>
    <xf numFmtId="0" fontId="25" fillId="11" borderId="20" xfId="672" applyFont="1" applyFill="1" applyBorder="1" applyAlignment="1">
      <alignment horizontal="center"/>
    </xf>
    <xf numFmtId="0" fontId="25" fillId="11" borderId="0" xfId="672" applyFont="1" applyFill="1" applyAlignment="1">
      <alignment horizontal="center"/>
    </xf>
    <xf numFmtId="17" fontId="22" fillId="0" borderId="6" xfId="672" applyNumberFormat="1" applyFont="1" applyBorder="1" applyAlignment="1">
      <alignment wrapText="1"/>
    </xf>
    <xf numFmtId="0" fontId="25" fillId="0" borderId="21" xfId="672" applyFont="1" applyBorder="1"/>
    <xf numFmtId="0" fontId="25" fillId="0" borderId="22" xfId="672" applyFont="1" applyBorder="1" applyAlignment="1">
      <alignment horizontal="center"/>
    </xf>
    <xf numFmtId="0" fontId="25" fillId="0" borderId="23" xfId="672" applyFont="1" applyBorder="1"/>
    <xf numFmtId="0" fontId="25" fillId="0" borderId="6" xfId="672" applyFont="1" applyBorder="1"/>
    <xf numFmtId="0" fontId="26" fillId="0" borderId="21" xfId="672" applyFont="1" applyBorder="1"/>
    <xf numFmtId="0" fontId="24" fillId="0" borderId="22" xfId="672" applyFont="1" applyBorder="1" applyAlignment="1">
      <alignment horizontal="center"/>
    </xf>
    <xf numFmtId="0" fontId="24" fillId="0" borderId="23" xfId="672" applyFont="1" applyBorder="1" applyAlignment="1">
      <alignment horizontal="center"/>
    </xf>
    <xf numFmtId="173" fontId="26" fillId="0" borderId="6" xfId="136" applyNumberFormat="1" applyFont="1" applyBorder="1" applyAlignment="1">
      <alignment horizontal="right"/>
    </xf>
    <xf numFmtId="171" fontId="24" fillId="0" borderId="6" xfId="715" applyNumberFormat="1" applyFont="1" applyBorder="1"/>
    <xf numFmtId="0" fontId="26" fillId="10" borderId="21" xfId="672" applyFont="1" applyFill="1" applyBorder="1"/>
    <xf numFmtId="9" fontId="24" fillId="0" borderId="22" xfId="715" applyFont="1" applyBorder="1" applyAlignment="1">
      <alignment horizontal="center"/>
    </xf>
    <xf numFmtId="9" fontId="24" fillId="0" borderId="23" xfId="715" applyFont="1" applyBorder="1" applyAlignment="1">
      <alignment horizontal="center"/>
    </xf>
    <xf numFmtId="171" fontId="24" fillId="0" borderId="10" xfId="715" applyNumberFormat="1" applyFont="1" applyBorder="1"/>
    <xf numFmtId="171" fontId="24" fillId="0" borderId="22" xfId="715" applyNumberFormat="1" applyFont="1" applyBorder="1" applyAlignment="1">
      <alignment horizontal="center"/>
    </xf>
    <xf numFmtId="0" fontId="26" fillId="0" borderId="23" xfId="672" applyFont="1" applyBorder="1"/>
    <xf numFmtId="14" fontId="25" fillId="11" borderId="6" xfId="672" applyNumberFormat="1" applyFont="1" applyFill="1" applyBorder="1" applyAlignment="1">
      <alignment horizontal="center"/>
    </xf>
    <xf numFmtId="171" fontId="24" fillId="0" borderId="23" xfId="715" applyNumberFormat="1" applyFont="1" applyBorder="1" applyAlignment="1">
      <alignment horizontal="center"/>
    </xf>
    <xf numFmtId="0" fontId="28" fillId="0" borderId="21" xfId="672" applyFont="1" applyBorder="1"/>
    <xf numFmtId="171" fontId="27" fillId="0" borderId="22" xfId="715" applyNumberFormat="1" applyFont="1" applyBorder="1" applyAlignment="1">
      <alignment horizontal="center"/>
    </xf>
    <xf numFmtId="171" fontId="27" fillId="0" borderId="23" xfId="715" applyNumberFormat="1" applyFont="1" applyBorder="1" applyAlignment="1">
      <alignment horizontal="center"/>
    </xf>
    <xf numFmtId="171" fontId="27" fillId="0" borderId="6" xfId="715" applyNumberFormat="1" applyFont="1" applyBorder="1"/>
    <xf numFmtId="0" fontId="26" fillId="0" borderId="22" xfId="672" applyFont="1" applyBorder="1" applyAlignment="1">
      <alignment horizontal="center"/>
    </xf>
    <xf numFmtId="171" fontId="24" fillId="0" borderId="6" xfId="715" applyNumberFormat="1" applyFont="1" applyBorder="1" applyAlignment="1">
      <alignment horizontal="right"/>
    </xf>
    <xf numFmtId="0" fontId="27" fillId="10" borderId="21" xfId="672" applyFont="1" applyFill="1" applyBorder="1"/>
    <xf numFmtId="9" fontId="26" fillId="0" borderId="6" xfId="718" applyFont="1" applyBorder="1" applyAlignment="1">
      <alignment horizontal="right"/>
    </xf>
    <xf numFmtId="173" fontId="24" fillId="0" borderId="6" xfId="56" applyNumberFormat="1" applyFont="1" applyBorder="1" applyAlignment="1">
      <alignment horizontal="right"/>
    </xf>
    <xf numFmtId="0" fontId="30" fillId="10" borderId="21" xfId="672" applyFont="1" applyFill="1" applyBorder="1"/>
    <xf numFmtId="14" fontId="25" fillId="11" borderId="6" xfId="672" applyNumberFormat="1" applyFont="1" applyFill="1" applyBorder="1" applyAlignment="1">
      <alignment horizontal="right"/>
    </xf>
    <xf numFmtId="9" fontId="26" fillId="0" borderId="6" xfId="715" applyFont="1" applyBorder="1" applyAlignment="1">
      <alignment horizontal="right"/>
    </xf>
    <xf numFmtId="0" fontId="26" fillId="0" borderId="6" xfId="672" applyFont="1" applyBorder="1" applyAlignment="1">
      <alignment horizontal="right"/>
    </xf>
    <xf numFmtId="9" fontId="24" fillId="0" borderId="22" xfId="672" applyNumberFormat="1" applyFont="1" applyBorder="1" applyAlignment="1">
      <alignment horizontal="center"/>
    </xf>
    <xf numFmtId="171" fontId="26" fillId="10" borderId="21" xfId="715" applyNumberFormat="1" applyFont="1" applyFill="1" applyBorder="1"/>
    <xf numFmtId="171" fontId="26" fillId="0" borderId="6" xfId="715" applyNumberFormat="1" applyFont="1" applyBorder="1" applyAlignment="1">
      <alignment horizontal="right"/>
    </xf>
    <xf numFmtId="0" fontId="26" fillId="10" borderId="24" xfId="672" applyFont="1" applyFill="1" applyBorder="1"/>
    <xf numFmtId="9" fontId="24" fillId="0" borderId="25" xfId="672" applyNumberFormat="1" applyFont="1" applyBorder="1" applyAlignment="1">
      <alignment horizontal="center"/>
    </xf>
    <xf numFmtId="0" fontId="24" fillId="0" borderId="26" xfId="672" applyFont="1" applyBorder="1" applyAlignment="1">
      <alignment horizontal="center"/>
    </xf>
    <xf numFmtId="171" fontId="24" fillId="0" borderId="12" xfId="715" applyNumberFormat="1" applyFont="1" applyBorder="1" applyAlignment="1">
      <alignment horizontal="right"/>
    </xf>
    <xf numFmtId="171" fontId="26" fillId="0" borderId="0" xfId="715" applyNumberFormat="1" applyFont="1" applyBorder="1"/>
    <xf numFmtId="0" fontId="51" fillId="20" borderId="6" xfId="0" applyFont="1" applyFill="1" applyBorder="1"/>
    <xf numFmtId="0" fontId="33" fillId="0" borderId="6" xfId="0" applyFont="1" applyBorder="1" applyAlignment="1" applyProtection="1">
      <alignment vertical="top" wrapText="1" readingOrder="1"/>
      <protection locked="0"/>
    </xf>
    <xf numFmtId="0" fontId="25" fillId="0" borderId="6" xfId="0" applyFont="1" applyBorder="1" applyAlignment="1" applyProtection="1">
      <alignment vertical="top" wrapText="1" readingOrder="1"/>
      <protection locked="0"/>
    </xf>
    <xf numFmtId="0" fontId="24" fillId="0" borderId="6" xfId="0" applyFont="1" applyBorder="1" applyAlignment="1" applyProtection="1">
      <alignment vertical="top" wrapText="1" readingOrder="1"/>
      <protection locked="0"/>
    </xf>
    <xf numFmtId="0" fontId="56" fillId="0" borderId="6" xfId="0" applyFont="1" applyBorder="1"/>
    <xf numFmtId="0" fontId="3" fillId="0" borderId="6" xfId="0" applyFont="1" applyBorder="1" applyAlignment="1" applyProtection="1">
      <alignment vertical="top" wrapText="1" readingOrder="1"/>
      <protection locked="0"/>
    </xf>
    <xf numFmtId="43" fontId="4" fillId="0" borderId="6" xfId="53" applyFont="1" applyBorder="1" applyAlignment="1" applyProtection="1">
      <alignment vertical="top" wrapText="1" readingOrder="1"/>
      <protection locked="0"/>
    </xf>
    <xf numFmtId="43" fontId="5" fillId="0" borderId="6" xfId="53" applyFont="1" applyBorder="1" applyAlignment="1" applyProtection="1">
      <alignment vertical="top" wrapText="1" readingOrder="1"/>
      <protection locked="0"/>
    </xf>
    <xf numFmtId="43" fontId="4" fillId="12" borderId="6" xfId="53" applyFont="1" applyFill="1" applyBorder="1" applyAlignment="1" applyProtection="1">
      <alignment vertical="top" wrapText="1" readingOrder="1"/>
      <protection locked="0"/>
    </xf>
    <xf numFmtId="43" fontId="39" fillId="0" borderId="6" xfId="53" applyFont="1" applyBorder="1"/>
    <xf numFmtId="0" fontId="34" fillId="0" borderId="0" xfId="0" applyFont="1"/>
    <xf numFmtId="0" fontId="24" fillId="0" borderId="0" xfId="0" applyFont="1"/>
    <xf numFmtId="0" fontId="2" fillId="0" borderId="0" xfId="524"/>
    <xf numFmtId="17" fontId="22" fillId="9" borderId="6" xfId="0" applyNumberFormat="1" applyFont="1" applyFill="1" applyBorder="1" applyAlignment="1" applyProtection="1">
      <alignment vertical="top" wrapText="1" readingOrder="1"/>
      <protection locked="0"/>
    </xf>
    <xf numFmtId="43" fontId="22" fillId="21" borderId="6" xfId="53" applyFont="1" applyFill="1" applyBorder="1" applyAlignment="1" applyProtection="1">
      <alignment vertical="top" wrapText="1" readingOrder="1"/>
      <protection locked="0"/>
    </xf>
    <xf numFmtId="17" fontId="23" fillId="9" borderId="22" xfId="0" applyNumberFormat="1" applyFont="1" applyFill="1" applyBorder="1" applyAlignment="1" applyProtection="1">
      <alignment vertical="top" wrapText="1" readingOrder="1"/>
      <protection locked="0"/>
    </xf>
    <xf numFmtId="43" fontId="23" fillId="21" borderId="22" xfId="53" applyFont="1" applyFill="1" applyBorder="1" applyAlignment="1" applyProtection="1">
      <alignment vertical="top" wrapText="1" readingOrder="1"/>
      <protection locked="0"/>
    </xf>
    <xf numFmtId="0" fontId="56" fillId="0" borderId="22" xfId="0" applyFont="1" applyBorder="1" applyAlignment="1">
      <alignment wrapText="1" readingOrder="1"/>
    </xf>
    <xf numFmtId="165" fontId="56" fillId="0" borderId="22" xfId="0" applyNumberFormat="1" applyFont="1" applyBorder="1" applyAlignment="1">
      <alignment wrapText="1" readingOrder="1"/>
    </xf>
    <xf numFmtId="43" fontId="22" fillId="22" borderId="6" xfId="53" applyFont="1" applyFill="1" applyBorder="1" applyAlignment="1" applyProtection="1">
      <alignment vertical="top" wrapText="1" readingOrder="1"/>
      <protection locked="0"/>
    </xf>
    <xf numFmtId="166" fontId="36" fillId="0" borderId="27" xfId="0" applyNumberFormat="1" applyFont="1" applyBorder="1" applyAlignment="1" applyProtection="1">
      <alignment vertical="top" wrapText="1" readingOrder="1"/>
      <protection locked="0"/>
    </xf>
    <xf numFmtId="0" fontId="15" fillId="0" borderId="5" xfId="494" applyFont="1" applyBorder="1"/>
    <xf numFmtId="43" fontId="57" fillId="0" borderId="6" xfId="53" applyFont="1" applyBorder="1"/>
    <xf numFmtId="43" fontId="39" fillId="0" borderId="0" xfId="53" applyFont="1"/>
    <xf numFmtId="0" fontId="15" fillId="20" borderId="5" xfId="494" applyFont="1" applyFill="1" applyBorder="1"/>
    <xf numFmtId="165" fontId="36" fillId="0" borderId="27" xfId="582" applyNumberFormat="1" applyFont="1" applyBorder="1" applyAlignment="1" applyProtection="1">
      <alignment vertical="top" wrapText="1" readingOrder="1"/>
      <protection locked="0"/>
    </xf>
    <xf numFmtId="165" fontId="36" fillId="0" borderId="27" xfId="619" applyNumberFormat="1" applyFont="1" applyBorder="1" applyAlignment="1" applyProtection="1">
      <alignment vertical="top" wrapText="1" readingOrder="1"/>
      <protection locked="0"/>
    </xf>
    <xf numFmtId="166" fontId="36" fillId="0" borderId="27" xfId="620" applyNumberFormat="1" applyFont="1" applyBorder="1" applyAlignment="1" applyProtection="1">
      <alignment vertical="top" wrapText="1" readingOrder="1"/>
      <protection locked="0"/>
    </xf>
    <xf numFmtId="9" fontId="26" fillId="0" borderId="0" xfId="713" applyFont="1"/>
    <xf numFmtId="9" fontId="26" fillId="0" borderId="6" xfId="713" applyFont="1" applyBorder="1"/>
    <xf numFmtId="0" fontId="6" fillId="0" borderId="0" xfId="0" applyFont="1" applyAlignment="1" applyProtection="1">
      <alignment vertical="top" wrapText="1" readingOrder="1"/>
      <protection locked="0"/>
    </xf>
    <xf numFmtId="0" fontId="16" fillId="0" borderId="0" xfId="0" applyFont="1" applyAlignment="1" applyProtection="1">
      <alignment vertical="top" wrapText="1" readingOrder="1"/>
      <protection locked="0"/>
    </xf>
    <xf numFmtId="165" fontId="5" fillId="0" borderId="27" xfId="0" applyNumberFormat="1" applyFont="1" applyBorder="1" applyAlignment="1" applyProtection="1">
      <alignment vertical="top" wrapText="1" readingOrder="1"/>
      <protection locked="0"/>
    </xf>
    <xf numFmtId="43" fontId="58" fillId="0" borderId="0" xfId="53" applyFont="1"/>
    <xf numFmtId="43" fontId="59" fillId="0" borderId="0" xfId="53" applyFont="1"/>
    <xf numFmtId="43" fontId="39" fillId="0" borderId="28" xfId="53" applyFont="1" applyBorder="1" applyAlignment="1" applyProtection="1">
      <alignment vertical="top" wrapText="1"/>
      <protection locked="0"/>
    </xf>
    <xf numFmtId="0" fontId="58" fillId="0" borderId="0" xfId="0" applyFont="1"/>
    <xf numFmtId="3" fontId="58" fillId="0" borderId="0" xfId="0" applyNumberFormat="1" applyFont="1"/>
    <xf numFmtId="3" fontId="59" fillId="0" borderId="0" xfId="0" applyNumberFormat="1" applyFont="1"/>
    <xf numFmtId="17" fontId="22" fillId="9" borderId="6" xfId="53" applyNumberFormat="1" applyFont="1" applyFill="1" applyBorder="1" applyAlignment="1" applyProtection="1">
      <alignment vertical="top" wrapText="1" readingOrder="1"/>
      <protection locked="0"/>
    </xf>
    <xf numFmtId="165" fontId="36" fillId="0" borderId="28" xfId="0" applyNumberFormat="1" applyFont="1" applyBorder="1" applyAlignment="1" applyProtection="1">
      <alignment vertical="top" wrapText="1" readingOrder="1"/>
      <protection locked="0"/>
    </xf>
    <xf numFmtId="165" fontId="36" fillId="13" borderId="28" xfId="0" applyNumberFormat="1" applyFont="1" applyFill="1" applyBorder="1" applyAlignment="1" applyProtection="1">
      <alignment vertical="top" wrapText="1" readingOrder="1"/>
      <protection locked="0"/>
    </xf>
    <xf numFmtId="165" fontId="36" fillId="0" borderId="27" xfId="0" applyNumberFormat="1" applyFont="1" applyBorder="1" applyAlignment="1" applyProtection="1">
      <alignment vertical="top" wrapText="1" readingOrder="1"/>
      <protection locked="0"/>
    </xf>
    <xf numFmtId="0" fontId="61" fillId="0" borderId="33" xfId="0" applyFont="1" applyBorder="1" applyAlignment="1">
      <alignment wrapText="1" readingOrder="1"/>
    </xf>
    <xf numFmtId="4" fontId="61" fillId="0" borderId="33" xfId="0" applyNumberFormat="1" applyFont="1" applyBorder="1" applyAlignment="1">
      <alignment wrapText="1" readingOrder="1"/>
    </xf>
    <xf numFmtId="0" fontId="61" fillId="0" borderId="34" xfId="0" applyFont="1" applyBorder="1" applyAlignment="1">
      <alignment wrapText="1" readingOrder="1"/>
    </xf>
    <xf numFmtId="4" fontId="61" fillId="0" borderId="34" xfId="0" applyNumberFormat="1" applyFont="1" applyBorder="1" applyAlignment="1">
      <alignment wrapText="1" readingOrder="1"/>
    </xf>
    <xf numFmtId="0" fontId="62" fillId="0" borderId="33" xfId="0" applyFont="1" applyBorder="1" applyAlignment="1">
      <alignment wrapText="1" readingOrder="1"/>
    </xf>
    <xf numFmtId="4" fontId="62" fillId="0" borderId="33" xfId="0" applyNumberFormat="1" applyFont="1" applyBorder="1" applyAlignment="1">
      <alignment wrapText="1" readingOrder="1"/>
    </xf>
    <xf numFmtId="0" fontId="62" fillId="0" borderId="34" xfId="0" applyFont="1" applyBorder="1" applyAlignment="1">
      <alignment wrapText="1" readingOrder="1"/>
    </xf>
    <xf numFmtId="4" fontId="62" fillId="0" borderId="34" xfId="0" applyNumberFormat="1" applyFont="1" applyBorder="1" applyAlignment="1">
      <alignment wrapText="1" readingOrder="1"/>
    </xf>
    <xf numFmtId="4" fontId="62" fillId="23" borderId="34" xfId="0" applyNumberFormat="1" applyFont="1" applyFill="1" applyBorder="1" applyAlignment="1">
      <alignment wrapText="1" readingOrder="1"/>
    </xf>
    <xf numFmtId="43" fontId="0" fillId="0" borderId="0" xfId="53" applyFont="1"/>
    <xf numFmtId="43" fontId="23" fillId="9" borderId="22" xfId="53" applyFont="1" applyFill="1" applyBorder="1" applyAlignment="1" applyProtection="1">
      <alignment vertical="top" wrapText="1" readingOrder="1"/>
      <protection locked="0"/>
    </xf>
    <xf numFmtId="43" fontId="61" fillId="0" borderId="34" xfId="53" applyFont="1" applyBorder="1" applyAlignment="1">
      <alignment wrapText="1" readingOrder="1"/>
    </xf>
    <xf numFmtId="43" fontId="61" fillId="0" borderId="33" xfId="53" applyFont="1" applyBorder="1" applyAlignment="1">
      <alignment wrapText="1" readingOrder="1"/>
    </xf>
    <xf numFmtId="43" fontId="56" fillId="0" borderId="22" xfId="53" applyFont="1" applyBorder="1" applyAlignment="1">
      <alignment wrapText="1" readingOrder="1"/>
    </xf>
    <xf numFmtId="0" fontId="62" fillId="0" borderId="35" xfId="0" applyFont="1" applyBorder="1" applyAlignment="1">
      <alignment wrapText="1" readingOrder="1"/>
    </xf>
    <xf numFmtId="4" fontId="62" fillId="0" borderId="35" xfId="0" applyNumberFormat="1" applyFont="1" applyBorder="1" applyAlignment="1">
      <alignment wrapText="1" readingOrder="1"/>
    </xf>
    <xf numFmtId="0" fontId="62" fillId="0" borderId="36" xfId="0" applyFont="1" applyBorder="1" applyAlignment="1">
      <alignment wrapText="1" readingOrder="1"/>
    </xf>
    <xf numFmtId="4" fontId="62" fillId="0" borderId="36" xfId="0" applyNumberFormat="1" applyFont="1" applyBorder="1" applyAlignment="1">
      <alignment wrapText="1" readingOrder="1"/>
    </xf>
    <xf numFmtId="4" fontId="62" fillId="24" borderId="33" xfId="0" applyNumberFormat="1" applyFont="1" applyFill="1" applyBorder="1" applyAlignment="1">
      <alignment wrapText="1" readingOrder="1"/>
    </xf>
    <xf numFmtId="4" fontId="62" fillId="24" borderId="35" xfId="0" applyNumberFormat="1" applyFont="1" applyFill="1" applyBorder="1" applyAlignment="1">
      <alignment wrapText="1" readingOrder="1"/>
    </xf>
    <xf numFmtId="17" fontId="23" fillId="9" borderId="22" xfId="53" applyNumberFormat="1" applyFont="1" applyFill="1" applyBorder="1" applyAlignment="1" applyProtection="1">
      <alignment vertical="top" wrapText="1" readingOrder="1"/>
      <protection locked="0"/>
    </xf>
    <xf numFmtId="0" fontId="61" fillId="0" borderId="35" xfId="0" applyFont="1" applyBorder="1" applyAlignment="1">
      <alignment wrapText="1" readingOrder="1"/>
    </xf>
    <xf numFmtId="4" fontId="61" fillId="0" borderId="35" xfId="0" applyNumberFormat="1" applyFont="1" applyBorder="1" applyAlignment="1">
      <alignment wrapText="1" readingOrder="1"/>
    </xf>
    <xf numFmtId="0" fontId="61" fillId="0" borderId="36" xfId="0" applyFont="1" applyBorder="1" applyAlignment="1">
      <alignment wrapText="1" readingOrder="1"/>
    </xf>
    <xf numFmtId="4" fontId="61" fillId="0" borderId="36" xfId="0" applyNumberFormat="1" applyFont="1" applyBorder="1" applyAlignment="1">
      <alignment wrapText="1" readingOrder="1"/>
    </xf>
    <xf numFmtId="43" fontId="61" fillId="0" borderId="35" xfId="0" applyNumberFormat="1" applyFont="1" applyBorder="1" applyAlignment="1">
      <alignment wrapText="1" readingOrder="1"/>
    </xf>
    <xf numFmtId="17" fontId="46" fillId="20" borderId="37" xfId="0" applyNumberFormat="1" applyFont="1" applyFill="1" applyBorder="1"/>
    <xf numFmtId="43" fontId="23" fillId="9" borderId="15" xfId="53" applyFont="1" applyFill="1" applyBorder="1" applyAlignment="1" applyProtection="1">
      <alignment vertical="top" wrapText="1" readingOrder="1"/>
      <protection locked="0"/>
    </xf>
    <xf numFmtId="17" fontId="22" fillId="9" borderId="23" xfId="0" applyNumberFormat="1" applyFont="1" applyFill="1" applyBorder="1" applyAlignment="1" applyProtection="1">
      <alignment vertical="top" wrapText="1" readingOrder="1"/>
      <protection locked="0"/>
    </xf>
    <xf numFmtId="17" fontId="0" fillId="20" borderId="37" xfId="0" applyNumberFormat="1" applyFill="1" applyBorder="1"/>
    <xf numFmtId="0" fontId="63" fillId="0" borderId="33" xfId="0" applyFont="1" applyBorder="1" applyAlignment="1">
      <alignment wrapText="1" readingOrder="1"/>
    </xf>
    <xf numFmtId="4" fontId="63" fillId="0" borderId="33" xfId="0" applyNumberFormat="1" applyFont="1" applyBorder="1" applyAlignment="1">
      <alignment wrapText="1" readingOrder="1"/>
    </xf>
    <xf numFmtId="0" fontId="63" fillId="0" borderId="34" xfId="0" applyFont="1" applyBorder="1" applyAlignment="1">
      <alignment wrapText="1" readingOrder="1"/>
    </xf>
    <xf numFmtId="4" fontId="63" fillId="0" borderId="34" xfId="0" applyNumberFormat="1" applyFont="1" applyBorder="1" applyAlignment="1">
      <alignment wrapText="1" readingOrder="1"/>
    </xf>
    <xf numFmtId="0" fontId="64" fillId="0" borderId="33" xfId="0" applyFont="1" applyBorder="1" applyAlignment="1">
      <alignment wrapText="1" readingOrder="1"/>
    </xf>
    <xf numFmtId="4" fontId="64" fillId="0" borderId="33" xfId="0" applyNumberFormat="1" applyFont="1" applyBorder="1" applyAlignment="1">
      <alignment wrapText="1" readingOrder="1"/>
    </xf>
    <xf numFmtId="0" fontId="64" fillId="0" borderId="34" xfId="0" applyFont="1" applyBorder="1" applyAlignment="1">
      <alignment wrapText="1" readingOrder="1"/>
    </xf>
    <xf numFmtId="4" fontId="64" fillId="0" borderId="34" xfId="0" applyNumberFormat="1" applyFont="1" applyBorder="1" applyAlignment="1">
      <alignment wrapText="1" readingOrder="1"/>
    </xf>
    <xf numFmtId="43" fontId="36" fillId="0" borderId="27" xfId="53" applyFont="1" applyBorder="1" applyAlignment="1" applyProtection="1">
      <alignment vertical="top" wrapText="1" readingOrder="1"/>
      <protection locked="0"/>
    </xf>
    <xf numFmtId="4" fontId="64" fillId="24" borderId="34" xfId="0" applyNumberFormat="1" applyFont="1" applyFill="1" applyBorder="1" applyAlignment="1">
      <alignment wrapText="1" readingOrder="1"/>
    </xf>
    <xf numFmtId="0" fontId="50" fillId="0" borderId="10" xfId="494" applyFont="1" applyBorder="1" applyAlignment="1">
      <alignment horizontal="left" vertical="top"/>
    </xf>
    <xf numFmtId="0" fontId="50" fillId="0" borderId="10" xfId="494" applyFont="1" applyBorder="1" applyAlignment="1">
      <alignment horizontal="left" vertical="top" wrapText="1"/>
    </xf>
    <xf numFmtId="0" fontId="57" fillId="0" borderId="10" xfId="0" applyFont="1" applyBorder="1" applyAlignment="1">
      <alignment horizontal="center" vertical="top" wrapText="1"/>
    </xf>
    <xf numFmtId="0" fontId="60" fillId="0" borderId="0" xfId="0" applyFont="1" applyAlignment="1">
      <alignment horizontal="center"/>
    </xf>
    <xf numFmtId="0" fontId="57" fillId="0" borderId="10" xfId="0" applyFont="1" applyBorder="1" applyAlignment="1">
      <alignment horizontal="center" vertical="top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zoomScale="93" zoomScaleNormal="93" workbookViewId="0">
      <pane xSplit="1" topLeftCell="E1" activePane="topRight" state="frozen"/>
      <selection pane="topRight" activeCell="R1" sqref="R1"/>
      <selection activeCell="A4" sqref="A4"/>
    </sheetView>
  </sheetViews>
  <sheetFormatPr defaultRowHeight="15" customHeight="1"/>
  <cols>
    <col min="1" max="1" width="40.85546875" customWidth="1"/>
    <col min="2" max="3" width="22.42578125" bestFit="1" customWidth="1"/>
    <col min="4" max="4" width="24" customWidth="1"/>
    <col min="5" max="5" width="22.5703125" style="149" customWidth="1"/>
    <col min="6" max="6" width="16.7109375" hidden="1" customWidth="1"/>
    <col min="7" max="7" width="15.28515625" hidden="1" customWidth="1"/>
    <col min="8" max="8" width="18.85546875" hidden="1" customWidth="1"/>
    <col min="9" max="9" width="14.5703125" hidden="1" customWidth="1"/>
    <col min="10" max="10" width="14" hidden="1" customWidth="1"/>
    <col min="11" max="11" width="15" hidden="1" customWidth="1"/>
    <col min="12" max="12" width="16" hidden="1" customWidth="1"/>
    <col min="13" max="13" width="23" hidden="1" customWidth="1"/>
    <col min="14" max="14" width="21.7109375" hidden="1" customWidth="1"/>
    <col min="15" max="15" width="21.5703125" hidden="1" customWidth="1"/>
    <col min="16" max="16" width="20.28515625" hidden="1" customWidth="1"/>
    <col min="17" max="17" width="21.7109375" style="19" bestFit="1" customWidth="1"/>
    <col min="18" max="18" width="21.7109375" customWidth="1"/>
  </cols>
  <sheetData>
    <row r="1" spans="1:19" ht="15" customHeight="1">
      <c r="A1" s="127"/>
      <c r="B1" s="127"/>
    </row>
    <row r="3" spans="1:19" ht="12.6" customHeight="1">
      <c r="A3" s="98"/>
      <c r="B3" s="112" t="s">
        <v>0</v>
      </c>
      <c r="C3" s="112" t="s">
        <v>1</v>
      </c>
      <c r="D3" s="112" t="s">
        <v>2</v>
      </c>
      <c r="E3" s="150" t="s">
        <v>3</v>
      </c>
      <c r="F3" s="160">
        <v>44562</v>
      </c>
      <c r="G3" s="160">
        <v>44593</v>
      </c>
      <c r="H3" s="160">
        <v>44621</v>
      </c>
      <c r="I3" s="160">
        <v>44652</v>
      </c>
      <c r="J3" s="160">
        <v>44682</v>
      </c>
      <c r="K3" s="160">
        <v>44713</v>
      </c>
      <c r="L3" s="160">
        <v>44743</v>
      </c>
      <c r="M3" s="160">
        <v>44774</v>
      </c>
      <c r="N3" s="160">
        <v>44805</v>
      </c>
      <c r="O3" s="160">
        <v>44835</v>
      </c>
      <c r="P3" s="160">
        <v>44866</v>
      </c>
      <c r="Q3" s="167" t="s">
        <v>4</v>
      </c>
      <c r="R3" s="166">
        <v>45139</v>
      </c>
      <c r="S3" s="166">
        <v>45170</v>
      </c>
    </row>
    <row r="4" spans="1:19">
      <c r="A4" s="99" t="s">
        <v>5</v>
      </c>
      <c r="B4" s="113">
        <f t="shared" ref="B4" si="0">(B5+B6)</f>
        <v>3387311998</v>
      </c>
      <c r="C4" s="113">
        <f t="shared" ref="C4:D4" si="1">(C5+C6)</f>
        <v>3991429849</v>
      </c>
      <c r="D4" s="113">
        <f t="shared" si="1"/>
        <v>5290319261</v>
      </c>
      <c r="E4" s="113">
        <f t="shared" ref="E4" si="2">(E5+E6)</f>
        <v>5829694681</v>
      </c>
      <c r="F4" s="113">
        <f t="shared" ref="F4:P4" si="3">(F5+F6)</f>
        <v>5829694682</v>
      </c>
      <c r="G4" s="113">
        <f t="shared" si="3"/>
        <v>5829694683</v>
      </c>
      <c r="H4" s="113">
        <f t="shared" si="3"/>
        <v>5829694684</v>
      </c>
      <c r="I4" s="113">
        <f t="shared" si="3"/>
        <v>5829694685</v>
      </c>
      <c r="J4" s="113">
        <f t="shared" si="3"/>
        <v>5829694686</v>
      </c>
      <c r="K4" s="113">
        <f t="shared" si="3"/>
        <v>5829694687</v>
      </c>
      <c r="L4" s="113">
        <f t="shared" si="3"/>
        <v>5829694688</v>
      </c>
      <c r="M4" s="113">
        <f t="shared" si="3"/>
        <v>5829694689</v>
      </c>
      <c r="N4" s="113">
        <f t="shared" si="3"/>
        <v>5829694690</v>
      </c>
      <c r="O4" s="113">
        <f t="shared" si="3"/>
        <v>5829694691</v>
      </c>
      <c r="P4" s="113">
        <f t="shared" si="3"/>
        <v>5829694692</v>
      </c>
      <c r="Q4" s="113">
        <f t="shared" ref="Q4:S4" si="4">(Q5+Q6)</f>
        <v>4872822817</v>
      </c>
      <c r="R4" s="113">
        <f t="shared" si="4"/>
        <v>4727972124.9700003</v>
      </c>
      <c r="S4" s="113">
        <f t="shared" si="4"/>
        <v>0</v>
      </c>
    </row>
    <row r="5" spans="1:19">
      <c r="A5" s="100" t="s">
        <v>6</v>
      </c>
      <c r="B5" s="134">
        <v>26512495</v>
      </c>
      <c r="C5" s="132">
        <v>30233907</v>
      </c>
      <c r="D5" s="130">
        <v>20406118</v>
      </c>
      <c r="E5" s="178">
        <v>25710890</v>
      </c>
      <c r="F5" s="178">
        <v>25710891</v>
      </c>
      <c r="G5" s="178">
        <v>25710892</v>
      </c>
      <c r="H5" s="178">
        <v>25710893</v>
      </c>
      <c r="I5" s="178">
        <v>25710894</v>
      </c>
      <c r="J5" s="178">
        <v>25710895</v>
      </c>
      <c r="K5" s="178">
        <v>25710896</v>
      </c>
      <c r="L5" s="178">
        <v>25710897</v>
      </c>
      <c r="M5" s="178">
        <v>25710898</v>
      </c>
      <c r="N5" s="178">
        <v>25710899</v>
      </c>
      <c r="O5" s="178">
        <v>25710900</v>
      </c>
      <c r="P5" s="178">
        <v>25710901</v>
      </c>
      <c r="Q5" s="178">
        <v>27832547</v>
      </c>
      <c r="R5" s="171">
        <v>22400060</v>
      </c>
    </row>
    <row r="6" spans="1:19">
      <c r="A6" s="100" t="s">
        <v>7</v>
      </c>
      <c r="B6" s="130">
        <v>3360799503</v>
      </c>
      <c r="C6" s="132">
        <f>271341785+3689854157</f>
        <v>3961195942</v>
      </c>
      <c r="D6" s="130">
        <f>273200652+4996712491</f>
        <v>5269913143</v>
      </c>
      <c r="E6" s="178">
        <f>505109219+5298874572</f>
        <v>5803983791</v>
      </c>
      <c r="F6" s="178">
        <f t="shared" ref="F6:P6" si="5">505109219+5298874572</f>
        <v>5803983791</v>
      </c>
      <c r="G6" s="178">
        <f t="shared" si="5"/>
        <v>5803983791</v>
      </c>
      <c r="H6" s="178">
        <f t="shared" si="5"/>
        <v>5803983791</v>
      </c>
      <c r="I6" s="178">
        <f t="shared" si="5"/>
        <v>5803983791</v>
      </c>
      <c r="J6" s="178">
        <f t="shared" si="5"/>
        <v>5803983791</v>
      </c>
      <c r="K6" s="178">
        <f t="shared" si="5"/>
        <v>5803983791</v>
      </c>
      <c r="L6" s="178">
        <f t="shared" si="5"/>
        <v>5803983791</v>
      </c>
      <c r="M6" s="178">
        <f t="shared" si="5"/>
        <v>5803983791</v>
      </c>
      <c r="N6" s="178">
        <f t="shared" si="5"/>
        <v>5803983791</v>
      </c>
      <c r="O6" s="178">
        <f t="shared" si="5"/>
        <v>5803983791</v>
      </c>
      <c r="P6" s="178">
        <f t="shared" si="5"/>
        <v>5803983791</v>
      </c>
      <c r="Q6" s="178">
        <f>383228584+4461761686</f>
        <v>4844990270</v>
      </c>
      <c r="R6" s="173">
        <v>4705572064.9700003</v>
      </c>
    </row>
    <row r="7" spans="1:19" s="7" customFormat="1">
      <c r="A7" s="99" t="s">
        <v>8</v>
      </c>
      <c r="B7" s="135">
        <f>67100147+7781378</f>
        <v>74881525</v>
      </c>
      <c r="C7" s="132">
        <v>116005407</v>
      </c>
      <c r="D7" s="131">
        <v>28470745</v>
      </c>
      <c r="E7" s="151">
        <f>28153319</f>
        <v>28153319</v>
      </c>
      <c r="F7" s="151">
        <f t="shared" ref="F7:P7" si="6">28153319</f>
        <v>28153319</v>
      </c>
      <c r="G7" s="151">
        <f t="shared" si="6"/>
        <v>28153319</v>
      </c>
      <c r="H7" s="151">
        <f t="shared" si="6"/>
        <v>28153319</v>
      </c>
      <c r="I7" s="151">
        <f t="shared" si="6"/>
        <v>28153319</v>
      </c>
      <c r="J7" s="151">
        <f t="shared" si="6"/>
        <v>28153319</v>
      </c>
      <c r="K7" s="151">
        <f t="shared" si="6"/>
        <v>28153319</v>
      </c>
      <c r="L7" s="151">
        <f t="shared" si="6"/>
        <v>28153319</v>
      </c>
      <c r="M7" s="151">
        <f t="shared" si="6"/>
        <v>28153319</v>
      </c>
      <c r="N7" s="151">
        <f t="shared" si="6"/>
        <v>28153319</v>
      </c>
      <c r="O7" s="151">
        <f t="shared" si="6"/>
        <v>28153319</v>
      </c>
      <c r="P7" s="151">
        <f t="shared" si="6"/>
        <v>28153319</v>
      </c>
      <c r="Q7" s="151">
        <v>40260053</v>
      </c>
      <c r="R7" s="172">
        <v>0</v>
      </c>
    </row>
    <row r="8" spans="1:19">
      <c r="A8" s="99" t="s">
        <v>9</v>
      </c>
      <c r="B8" s="113">
        <f t="shared" ref="B8" si="7">(B9+B10+B11+B13+B12)</f>
        <v>425967642</v>
      </c>
      <c r="C8" s="113">
        <f t="shared" ref="C8:D8" si="8">(C9+C10+C11+C13+C12)</f>
        <v>420181668</v>
      </c>
      <c r="D8" s="113">
        <f t="shared" si="8"/>
        <v>472356221</v>
      </c>
      <c r="E8" s="113">
        <f t="shared" ref="E8" si="9">(E9+E10+E11+E13+E12)</f>
        <v>539708642</v>
      </c>
      <c r="F8" s="113">
        <f t="shared" ref="F8:P8" si="10">(F9+F10+F11+F13+F12)</f>
        <v>539708642</v>
      </c>
      <c r="G8" s="113">
        <f t="shared" si="10"/>
        <v>539708642</v>
      </c>
      <c r="H8" s="113">
        <f t="shared" si="10"/>
        <v>539708642</v>
      </c>
      <c r="I8" s="113">
        <f t="shared" si="10"/>
        <v>539708642</v>
      </c>
      <c r="J8" s="113">
        <f t="shared" si="10"/>
        <v>539708642</v>
      </c>
      <c r="K8" s="113">
        <f t="shared" si="10"/>
        <v>539708642</v>
      </c>
      <c r="L8" s="113">
        <f t="shared" si="10"/>
        <v>539708642</v>
      </c>
      <c r="M8" s="113">
        <f t="shared" si="10"/>
        <v>539708642</v>
      </c>
      <c r="N8" s="113">
        <f t="shared" si="10"/>
        <v>539708642</v>
      </c>
      <c r="O8" s="113">
        <f t="shared" si="10"/>
        <v>539708642</v>
      </c>
      <c r="P8" s="113">
        <f t="shared" si="10"/>
        <v>539708642</v>
      </c>
      <c r="Q8" s="113">
        <f t="shared" ref="Q8:S8" si="11">(Q9+Q10+Q11+Q13+Q12)</f>
        <v>1188020706</v>
      </c>
      <c r="R8" s="113">
        <f t="shared" si="11"/>
        <v>1320271797.4000001</v>
      </c>
      <c r="S8" s="113">
        <f t="shared" si="11"/>
        <v>0</v>
      </c>
    </row>
    <row r="9" spans="1:19">
      <c r="A9" s="100" t="s">
        <v>10</v>
      </c>
      <c r="B9" s="133"/>
      <c r="C9" s="132"/>
      <c r="D9" s="12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>
        <v>1135666564</v>
      </c>
      <c r="R9" s="171">
        <v>1266917655.2</v>
      </c>
    </row>
    <row r="10" spans="1:19">
      <c r="A10" s="100" t="s">
        <v>11</v>
      </c>
      <c r="B10" s="130">
        <v>411814027</v>
      </c>
      <c r="C10" s="132"/>
      <c r="D10" s="122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72">
        <v>0</v>
      </c>
    </row>
    <row r="11" spans="1:19">
      <c r="A11" s="118" t="s">
        <v>12</v>
      </c>
      <c r="B11" s="134">
        <v>14153615</v>
      </c>
      <c r="C11" s="132">
        <v>397200000</v>
      </c>
      <c r="D11" s="122"/>
      <c r="E11" s="151">
        <v>503122146</v>
      </c>
      <c r="F11" s="151">
        <v>503122146</v>
      </c>
      <c r="G11" s="151">
        <v>503122146</v>
      </c>
      <c r="H11" s="151">
        <v>503122146</v>
      </c>
      <c r="I11" s="151">
        <v>503122146</v>
      </c>
      <c r="J11" s="151">
        <v>503122146</v>
      </c>
      <c r="K11" s="151">
        <v>503122146</v>
      </c>
      <c r="L11" s="151">
        <v>503122146</v>
      </c>
      <c r="M11" s="151">
        <v>503122146</v>
      </c>
      <c r="N11" s="151">
        <v>503122146</v>
      </c>
      <c r="O11" s="151">
        <v>503122146</v>
      </c>
      <c r="P11" s="151">
        <v>503122146</v>
      </c>
      <c r="Q11" s="151"/>
      <c r="R11" s="172">
        <v>0</v>
      </c>
    </row>
    <row r="12" spans="1:19">
      <c r="A12" s="121" t="s">
        <v>13</v>
      </c>
      <c r="B12" s="134"/>
      <c r="C12" s="132">
        <v>22981668</v>
      </c>
      <c r="D12" s="130">
        <v>449810772</v>
      </c>
      <c r="E12" s="178">
        <v>22717497</v>
      </c>
      <c r="F12" s="178">
        <v>22717497</v>
      </c>
      <c r="G12" s="178">
        <v>22717497</v>
      </c>
      <c r="H12" s="178">
        <v>22717497</v>
      </c>
      <c r="I12" s="178">
        <v>22717497</v>
      </c>
      <c r="J12" s="178">
        <v>22717497</v>
      </c>
      <c r="K12" s="178">
        <v>22717497</v>
      </c>
      <c r="L12" s="178">
        <v>22717497</v>
      </c>
      <c r="M12" s="178">
        <v>22717497</v>
      </c>
      <c r="N12" s="178">
        <v>22717497</v>
      </c>
      <c r="O12" s="178">
        <v>22717497</v>
      </c>
      <c r="P12" s="178">
        <v>22717497</v>
      </c>
      <c r="Q12" s="178">
        <v>52354142</v>
      </c>
      <c r="R12" s="173">
        <v>53354142.200000003</v>
      </c>
    </row>
    <row r="13" spans="1:19">
      <c r="A13" s="118" t="s">
        <v>14</v>
      </c>
      <c r="B13" s="139"/>
      <c r="C13" s="139"/>
      <c r="D13" s="130">
        <v>22545449</v>
      </c>
      <c r="E13" s="152">
        <v>13868999</v>
      </c>
      <c r="F13" s="152">
        <v>13868999</v>
      </c>
      <c r="G13" s="152">
        <v>13868999</v>
      </c>
      <c r="H13" s="152">
        <v>13868999</v>
      </c>
      <c r="I13" s="152">
        <v>13868999</v>
      </c>
      <c r="J13" s="152">
        <v>13868999</v>
      </c>
      <c r="K13" s="152">
        <v>13868999</v>
      </c>
      <c r="L13" s="152">
        <v>13868999</v>
      </c>
      <c r="M13" s="152">
        <v>13868999</v>
      </c>
      <c r="N13" s="152">
        <v>13868999</v>
      </c>
      <c r="O13" s="152">
        <v>13868999</v>
      </c>
      <c r="P13" s="152">
        <v>13868999</v>
      </c>
      <c r="Q13" s="152"/>
    </row>
    <row r="14" spans="1:19">
      <c r="A14" s="99" t="s">
        <v>15</v>
      </c>
      <c r="B14" s="113">
        <f t="shared" ref="B14" si="12">(B15-B16)</f>
        <v>8297125538</v>
      </c>
      <c r="C14" s="113">
        <f t="shared" ref="C14:D14" si="13">(C15-C16)</f>
        <v>8313754552</v>
      </c>
      <c r="D14" s="113">
        <f t="shared" si="13"/>
        <v>8241685920</v>
      </c>
      <c r="E14" s="113">
        <f t="shared" ref="E14" si="14">(E15-E16)</f>
        <v>8686477474</v>
      </c>
      <c r="F14" s="113">
        <f t="shared" ref="F14:P14" si="15">(F15-F16)</f>
        <v>8686477474</v>
      </c>
      <c r="G14" s="113">
        <f t="shared" si="15"/>
        <v>8686477474</v>
      </c>
      <c r="H14" s="113">
        <f t="shared" si="15"/>
        <v>8686477474</v>
      </c>
      <c r="I14" s="113">
        <f t="shared" si="15"/>
        <v>8686477474</v>
      </c>
      <c r="J14" s="113">
        <f t="shared" si="15"/>
        <v>8686477474</v>
      </c>
      <c r="K14" s="113">
        <f t="shared" si="15"/>
        <v>8686477474</v>
      </c>
      <c r="L14" s="113">
        <f t="shared" si="15"/>
        <v>8686477474</v>
      </c>
      <c r="M14" s="113">
        <f t="shared" si="15"/>
        <v>8686477474</v>
      </c>
      <c r="N14" s="113">
        <f t="shared" si="15"/>
        <v>8686477474</v>
      </c>
      <c r="O14" s="113">
        <f t="shared" si="15"/>
        <v>8686477474</v>
      </c>
      <c r="P14" s="113">
        <f t="shared" si="15"/>
        <v>8686477474</v>
      </c>
      <c r="Q14" s="113">
        <f t="shared" ref="Q14:S14" si="16">(Q15-Q16)</f>
        <v>10034205855</v>
      </c>
      <c r="R14" s="113">
        <f t="shared" si="16"/>
        <v>10453402957.82</v>
      </c>
      <c r="S14" s="113">
        <f t="shared" si="16"/>
        <v>0</v>
      </c>
    </row>
    <row r="15" spans="1:19">
      <c r="A15" s="100" t="s">
        <v>16</v>
      </c>
      <c r="B15" s="130">
        <v>8320111836</v>
      </c>
      <c r="C15" s="132">
        <v>8414359918</v>
      </c>
      <c r="D15" s="130">
        <v>8419219143</v>
      </c>
      <c r="E15" s="152">
        <v>8851981817</v>
      </c>
      <c r="F15" s="152">
        <v>8851981817</v>
      </c>
      <c r="G15" s="152">
        <v>8851981817</v>
      </c>
      <c r="H15" s="152">
        <v>8851981817</v>
      </c>
      <c r="I15" s="152">
        <v>8851981817</v>
      </c>
      <c r="J15" s="152">
        <v>8851981817</v>
      </c>
      <c r="K15" s="152">
        <v>8851981817</v>
      </c>
      <c r="L15" s="152">
        <v>8851981817</v>
      </c>
      <c r="M15" s="152">
        <v>8851981817</v>
      </c>
      <c r="N15" s="152">
        <v>8851981817</v>
      </c>
      <c r="O15" s="152">
        <v>8851981817</v>
      </c>
      <c r="P15" s="152">
        <v>8851981817</v>
      </c>
      <c r="Q15" s="152">
        <v>10274952287</v>
      </c>
      <c r="R15" s="171">
        <v>10791116321.969999</v>
      </c>
    </row>
    <row r="16" spans="1:19">
      <c r="A16" s="100" t="s">
        <v>17</v>
      </c>
      <c r="B16" s="134">
        <v>22986298</v>
      </c>
      <c r="C16" s="132">
        <v>100605366</v>
      </c>
      <c r="D16" s="130">
        <v>177533223</v>
      </c>
      <c r="E16" s="151">
        <v>165504343</v>
      </c>
      <c r="F16" s="151">
        <v>165504343</v>
      </c>
      <c r="G16" s="151">
        <v>165504343</v>
      </c>
      <c r="H16" s="151">
        <v>165504343</v>
      </c>
      <c r="I16" s="151">
        <v>165504343</v>
      </c>
      <c r="J16" s="151">
        <v>165504343</v>
      </c>
      <c r="K16" s="151">
        <v>165504343</v>
      </c>
      <c r="L16" s="151">
        <v>165504343</v>
      </c>
      <c r="M16" s="151">
        <v>165504343</v>
      </c>
      <c r="N16" s="151">
        <v>165504343</v>
      </c>
      <c r="O16" s="151">
        <v>165504343</v>
      </c>
      <c r="P16" s="151">
        <v>165504343</v>
      </c>
      <c r="Q16" s="151">
        <v>240746432</v>
      </c>
      <c r="R16" s="173">
        <v>337713364.14999998</v>
      </c>
    </row>
    <row r="17" spans="1:19">
      <c r="A17" s="99" t="s">
        <v>18</v>
      </c>
      <c r="B17" s="113">
        <f t="shared" ref="B17" si="17">(B18+B19+B20)</f>
        <v>0</v>
      </c>
      <c r="C17" s="113">
        <f t="shared" ref="C17:D17" si="18">(C18+C19+C20)</f>
        <v>0</v>
      </c>
      <c r="D17" s="113">
        <f t="shared" si="18"/>
        <v>0</v>
      </c>
      <c r="E17" s="113">
        <f t="shared" ref="E17" si="19">(E18+E19+E20)</f>
        <v>0</v>
      </c>
      <c r="F17" s="113">
        <f t="shared" ref="F17:P17" si="20">(F18+F19+F20)</f>
        <v>0</v>
      </c>
      <c r="G17" s="113">
        <f t="shared" si="20"/>
        <v>0</v>
      </c>
      <c r="H17" s="113">
        <f t="shared" si="20"/>
        <v>0</v>
      </c>
      <c r="I17" s="113">
        <f t="shared" si="20"/>
        <v>0</v>
      </c>
      <c r="J17" s="113">
        <f t="shared" si="20"/>
        <v>0</v>
      </c>
      <c r="K17" s="113">
        <f t="shared" si="20"/>
        <v>0</v>
      </c>
      <c r="L17" s="113">
        <f t="shared" si="20"/>
        <v>0</v>
      </c>
      <c r="M17" s="113">
        <f t="shared" si="20"/>
        <v>0</v>
      </c>
      <c r="N17" s="113">
        <f t="shared" si="20"/>
        <v>0</v>
      </c>
      <c r="O17" s="113">
        <f t="shared" si="20"/>
        <v>0</v>
      </c>
      <c r="P17" s="113">
        <f t="shared" si="20"/>
        <v>0</v>
      </c>
      <c r="Q17" s="113">
        <f t="shared" ref="Q17:S17" si="21">(Q18+Q19+Q20)</f>
        <v>0</v>
      </c>
      <c r="R17" s="113">
        <f t="shared" si="21"/>
        <v>62421034.18</v>
      </c>
      <c r="S17" s="113">
        <f t="shared" si="21"/>
        <v>0</v>
      </c>
    </row>
    <row r="18" spans="1:19">
      <c r="A18" s="100" t="s">
        <v>19</v>
      </c>
      <c r="B18" s="133"/>
      <c r="C18" s="139"/>
      <c r="D18" s="139"/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152">
        <v>0</v>
      </c>
      <c r="M18" s="152">
        <v>0</v>
      </c>
      <c r="N18" s="152">
        <v>0</v>
      </c>
      <c r="O18" s="152">
        <v>0</v>
      </c>
      <c r="P18" s="152">
        <v>0</v>
      </c>
      <c r="Q18" s="152">
        <v>0</v>
      </c>
      <c r="R18" s="171">
        <v>62421034.18</v>
      </c>
    </row>
    <row r="19" spans="1:19">
      <c r="A19" s="100" t="s">
        <v>20</v>
      </c>
      <c r="B19" s="133"/>
      <c r="C19" s="139"/>
      <c r="D19" s="139"/>
      <c r="E19" s="151">
        <v>0</v>
      </c>
      <c r="F19" s="151">
        <v>0</v>
      </c>
      <c r="G19" s="151">
        <v>0</v>
      </c>
      <c r="H19" s="151">
        <v>0</v>
      </c>
      <c r="I19" s="151">
        <v>0</v>
      </c>
      <c r="J19" s="151">
        <v>0</v>
      </c>
      <c r="K19" s="151">
        <v>0</v>
      </c>
      <c r="L19" s="151">
        <v>0</v>
      </c>
      <c r="M19" s="151">
        <v>0</v>
      </c>
      <c r="N19" s="151">
        <v>0</v>
      </c>
      <c r="O19" s="151">
        <v>0</v>
      </c>
      <c r="P19" s="151">
        <v>0</v>
      </c>
      <c r="Q19" s="151">
        <v>0</v>
      </c>
      <c r="R19" s="172">
        <v>0</v>
      </c>
    </row>
    <row r="20" spans="1:19">
      <c r="A20" s="100" t="s">
        <v>21</v>
      </c>
      <c r="B20" s="133"/>
      <c r="C20" s="139"/>
      <c r="D20" s="139"/>
      <c r="E20" s="151">
        <v>0</v>
      </c>
      <c r="F20" s="151">
        <v>0</v>
      </c>
      <c r="G20" s="151">
        <v>0</v>
      </c>
      <c r="H20" s="151">
        <v>0</v>
      </c>
      <c r="I20" s="151">
        <v>0</v>
      </c>
      <c r="J20" s="151">
        <v>0</v>
      </c>
      <c r="K20" s="151">
        <v>0</v>
      </c>
      <c r="L20" s="151">
        <v>0</v>
      </c>
      <c r="M20" s="151">
        <v>0</v>
      </c>
      <c r="N20" s="151">
        <v>0</v>
      </c>
      <c r="O20" s="151">
        <v>0</v>
      </c>
      <c r="P20" s="151">
        <v>0</v>
      </c>
      <c r="Q20" s="151">
        <v>0</v>
      </c>
      <c r="R20" s="172">
        <v>0</v>
      </c>
    </row>
    <row r="21" spans="1:19">
      <c r="A21" s="99" t="s">
        <v>22</v>
      </c>
      <c r="B21" s="113">
        <f t="shared" ref="B21" si="22">(B22+B23+B24+B25+B26)</f>
        <v>12402140</v>
      </c>
      <c r="C21" s="113">
        <f t="shared" ref="C21:D21" si="23">(C22+C23+C24+C25+C26)</f>
        <v>26273280</v>
      </c>
      <c r="D21" s="113">
        <f t="shared" si="23"/>
        <v>51134051</v>
      </c>
      <c r="E21" s="113">
        <f t="shared" ref="E21" si="24">(E22+E23+E24+E25+E26)</f>
        <v>68749288</v>
      </c>
      <c r="F21" s="113">
        <f t="shared" ref="F21:P21" si="25">(F22+F23+F24+F25+F26)</f>
        <v>68749288</v>
      </c>
      <c r="G21" s="113">
        <f t="shared" si="25"/>
        <v>68749288</v>
      </c>
      <c r="H21" s="113">
        <f t="shared" si="25"/>
        <v>68749288</v>
      </c>
      <c r="I21" s="113">
        <f t="shared" si="25"/>
        <v>68749288</v>
      </c>
      <c r="J21" s="113">
        <f t="shared" si="25"/>
        <v>68749288</v>
      </c>
      <c r="K21" s="113">
        <f t="shared" si="25"/>
        <v>68749288</v>
      </c>
      <c r="L21" s="113">
        <f t="shared" si="25"/>
        <v>68749288</v>
      </c>
      <c r="M21" s="113">
        <f t="shared" si="25"/>
        <v>68749288</v>
      </c>
      <c r="N21" s="113">
        <f t="shared" si="25"/>
        <v>68749288</v>
      </c>
      <c r="O21" s="113">
        <f t="shared" si="25"/>
        <v>68749288</v>
      </c>
      <c r="P21" s="113">
        <f t="shared" si="25"/>
        <v>68749288</v>
      </c>
      <c r="Q21" s="113">
        <f t="shared" ref="Q21:S21" si="26">(Q22+Q23+Q24+Q25+Q26)</f>
        <v>566866653</v>
      </c>
      <c r="R21" s="113">
        <f t="shared" si="26"/>
        <v>584627855.14999998</v>
      </c>
      <c r="S21" s="113">
        <f t="shared" si="26"/>
        <v>0</v>
      </c>
    </row>
    <row r="22" spans="1:19">
      <c r="A22" s="100" t="s">
        <v>23</v>
      </c>
      <c r="B22" s="133"/>
      <c r="C22" s="132">
        <v>1000000</v>
      </c>
      <c r="D22" s="130">
        <v>1000000</v>
      </c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71">
        <v>375718791.82999998</v>
      </c>
    </row>
    <row r="23" spans="1:19" ht="13.5" customHeight="1">
      <c r="A23" s="100" t="s">
        <v>24</v>
      </c>
      <c r="B23" s="134">
        <v>10067211</v>
      </c>
      <c r="C23" s="132">
        <v>9366513</v>
      </c>
      <c r="D23" s="130">
        <v>8550088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>
        <f>27609942+350796340</f>
        <v>378406282</v>
      </c>
      <c r="R23" s="173">
        <v>27401521.93</v>
      </c>
    </row>
    <row r="24" spans="1:19">
      <c r="A24" s="100" t="s">
        <v>25</v>
      </c>
      <c r="B24" s="133"/>
      <c r="C24" s="132"/>
      <c r="D24" s="130"/>
      <c r="E24" s="151">
        <v>58874493</v>
      </c>
      <c r="F24" s="151">
        <v>58874493</v>
      </c>
      <c r="G24" s="151">
        <v>58874493</v>
      </c>
      <c r="H24" s="151">
        <v>58874493</v>
      </c>
      <c r="I24" s="151">
        <v>58874493</v>
      </c>
      <c r="J24" s="151">
        <v>58874493</v>
      </c>
      <c r="K24" s="151">
        <v>58874493</v>
      </c>
      <c r="L24" s="151">
        <v>58874493</v>
      </c>
      <c r="M24" s="151">
        <v>58874493</v>
      </c>
      <c r="N24" s="151">
        <v>58874493</v>
      </c>
      <c r="O24" s="151">
        <v>58874493</v>
      </c>
      <c r="P24" s="151">
        <v>58874493</v>
      </c>
      <c r="Q24" s="151">
        <v>41708474</v>
      </c>
      <c r="R24" s="173">
        <v>30389121.879999999</v>
      </c>
    </row>
    <row r="25" spans="1:19">
      <c r="A25" s="100" t="s">
        <v>26</v>
      </c>
      <c r="B25" s="134">
        <v>2334929</v>
      </c>
      <c r="C25" s="132">
        <v>1111966</v>
      </c>
      <c r="D25" s="130">
        <v>112832</v>
      </c>
      <c r="E25" s="151">
        <v>58645</v>
      </c>
      <c r="F25" s="151">
        <v>58645</v>
      </c>
      <c r="G25" s="151">
        <v>58645</v>
      </c>
      <c r="H25" s="151">
        <v>58645</v>
      </c>
      <c r="I25" s="151">
        <v>58645</v>
      </c>
      <c r="J25" s="151">
        <v>58645</v>
      </c>
      <c r="K25" s="151">
        <v>58645</v>
      </c>
      <c r="L25" s="151">
        <v>58645</v>
      </c>
      <c r="M25" s="151">
        <v>58645</v>
      </c>
      <c r="N25" s="151">
        <v>58645</v>
      </c>
      <c r="O25" s="151">
        <v>58645</v>
      </c>
      <c r="P25" s="151">
        <v>58645</v>
      </c>
      <c r="Q25" s="151">
        <v>52542674</v>
      </c>
      <c r="R25" s="173">
        <v>45740734.439999998</v>
      </c>
    </row>
    <row r="26" spans="1:19">
      <c r="A26" s="100" t="s">
        <v>27</v>
      </c>
      <c r="B26" s="134"/>
      <c r="C26" s="132">
        <v>14794801</v>
      </c>
      <c r="D26" s="130">
        <v>41471131</v>
      </c>
      <c r="E26" s="151">
        <f>9816150</f>
        <v>9816150</v>
      </c>
      <c r="F26" s="151">
        <f t="shared" ref="F26:P26" si="27">9816150</f>
        <v>9816150</v>
      </c>
      <c r="G26" s="151">
        <f t="shared" si="27"/>
        <v>9816150</v>
      </c>
      <c r="H26" s="151">
        <f t="shared" si="27"/>
        <v>9816150</v>
      </c>
      <c r="I26" s="151">
        <f t="shared" si="27"/>
        <v>9816150</v>
      </c>
      <c r="J26" s="151">
        <f t="shared" si="27"/>
        <v>9816150</v>
      </c>
      <c r="K26" s="151">
        <f t="shared" si="27"/>
        <v>9816150</v>
      </c>
      <c r="L26" s="151">
        <f t="shared" si="27"/>
        <v>9816150</v>
      </c>
      <c r="M26" s="151">
        <f t="shared" si="27"/>
        <v>9816150</v>
      </c>
      <c r="N26" s="151">
        <f t="shared" si="27"/>
        <v>9816150</v>
      </c>
      <c r="O26" s="151">
        <f t="shared" si="27"/>
        <v>9816150</v>
      </c>
      <c r="P26" s="151">
        <f t="shared" si="27"/>
        <v>9816150</v>
      </c>
      <c r="Q26" s="151">
        <v>94209223</v>
      </c>
      <c r="R26" s="173">
        <v>105377685.06999999</v>
      </c>
    </row>
    <row r="27" spans="1:19" ht="15.75">
      <c r="A27" s="99" t="s">
        <v>28</v>
      </c>
      <c r="B27" s="111">
        <f t="shared" ref="B27" si="28">(B21+B17+B14+B8+B7+B4)</f>
        <v>12197688843</v>
      </c>
      <c r="C27" s="111">
        <f>(C21+C17+C14+C8+C7+C4)</f>
        <v>12867644756</v>
      </c>
      <c r="D27" s="111">
        <f t="shared" ref="D27" si="29">(D21+D17+D14+D8+D7+D4)</f>
        <v>14083966198</v>
      </c>
      <c r="E27" s="111">
        <f t="shared" ref="E27" si="30">(E21+E17+E14+E8+E7+E4)</f>
        <v>15152783404</v>
      </c>
      <c r="F27" s="111">
        <f t="shared" ref="F27:P27" si="31">(F21+F17+F14+F8+F7+F4)</f>
        <v>15152783405</v>
      </c>
      <c r="G27" s="111">
        <f t="shared" si="31"/>
        <v>15152783406</v>
      </c>
      <c r="H27" s="111">
        <f t="shared" si="31"/>
        <v>15152783407</v>
      </c>
      <c r="I27" s="111">
        <f t="shared" si="31"/>
        <v>15152783408</v>
      </c>
      <c r="J27" s="111">
        <f t="shared" si="31"/>
        <v>15152783409</v>
      </c>
      <c r="K27" s="111">
        <f t="shared" si="31"/>
        <v>15152783410</v>
      </c>
      <c r="L27" s="111">
        <f t="shared" si="31"/>
        <v>15152783411</v>
      </c>
      <c r="M27" s="111">
        <f t="shared" si="31"/>
        <v>15152783412</v>
      </c>
      <c r="N27" s="111">
        <f t="shared" si="31"/>
        <v>15152783413</v>
      </c>
      <c r="O27" s="111">
        <f t="shared" si="31"/>
        <v>15152783414</v>
      </c>
      <c r="P27" s="111">
        <f t="shared" si="31"/>
        <v>15152783415</v>
      </c>
      <c r="Q27" s="111">
        <f t="shared" ref="Q27:S27" si="32">(Q21+Q17+Q14+Q8+Q7+Q4)</f>
        <v>16702176084</v>
      </c>
      <c r="R27" s="111">
        <f t="shared" si="32"/>
        <v>17148695769.52</v>
      </c>
      <c r="S27" s="111">
        <f t="shared" si="32"/>
        <v>0</v>
      </c>
    </row>
    <row r="28" spans="1:19">
      <c r="A28" s="100" t="s">
        <v>29</v>
      </c>
      <c r="B28" s="134">
        <v>669387541</v>
      </c>
      <c r="C28" s="132">
        <v>8936866630</v>
      </c>
      <c r="D28" s="130">
        <v>9738071329</v>
      </c>
      <c r="E28" s="152">
        <v>955717508</v>
      </c>
      <c r="F28" s="141">
        <v>820074833.37</v>
      </c>
      <c r="G28" s="162">
        <v>848829257.38</v>
      </c>
      <c r="H28" s="162">
        <v>1385317749.28</v>
      </c>
      <c r="I28" s="162">
        <v>1209543749.8800001</v>
      </c>
      <c r="J28" s="162">
        <v>1057739670.33</v>
      </c>
      <c r="K28" s="162">
        <v>1043893329.53</v>
      </c>
      <c r="L28" s="162">
        <v>942494303.30999994</v>
      </c>
      <c r="M28" s="162">
        <v>955284278.48000002</v>
      </c>
      <c r="N28" s="162">
        <v>930690200.92999995</v>
      </c>
      <c r="O28" s="162">
        <v>881392791.37</v>
      </c>
      <c r="P28" s="162">
        <v>789223874.45000005</v>
      </c>
      <c r="Q28" s="165">
        <v>977454308</v>
      </c>
      <c r="R28" s="171">
        <v>1085612195.0699999</v>
      </c>
    </row>
    <row r="29" spans="1:19">
      <c r="A29" s="100" t="s">
        <v>30</v>
      </c>
      <c r="B29" s="134">
        <v>37030746</v>
      </c>
      <c r="C29" s="132">
        <v>44689618</v>
      </c>
      <c r="D29" s="130">
        <v>55179722</v>
      </c>
      <c r="E29" s="151">
        <v>35020812</v>
      </c>
      <c r="F29" s="143">
        <v>151419114.50999999</v>
      </c>
      <c r="G29" s="164">
        <v>159924175.88999999</v>
      </c>
      <c r="H29" s="164">
        <v>172258504.78</v>
      </c>
      <c r="I29" s="164">
        <v>171329387.63</v>
      </c>
      <c r="J29" s="164">
        <v>185136010.83000001</v>
      </c>
      <c r="K29" s="164">
        <v>183549218</v>
      </c>
      <c r="L29" s="164">
        <v>178599566.59999999</v>
      </c>
      <c r="M29" s="164">
        <v>188373678.66</v>
      </c>
      <c r="N29" s="164">
        <v>177464969.38</v>
      </c>
      <c r="O29" s="164">
        <v>178879352.13</v>
      </c>
      <c r="P29" s="164">
        <v>169849817.08000001</v>
      </c>
      <c r="Q29" s="165">
        <v>51428193</v>
      </c>
      <c r="R29" s="173">
        <v>79920311.060000002</v>
      </c>
    </row>
    <row r="30" spans="1:19">
      <c r="A30" s="100" t="s">
        <v>31</v>
      </c>
      <c r="B30" s="134">
        <v>8601823903</v>
      </c>
      <c r="C30" s="132">
        <v>716184437</v>
      </c>
      <c r="D30" s="130">
        <v>921136038</v>
      </c>
      <c r="E30" s="151">
        <v>10447124598</v>
      </c>
      <c r="F30" s="143">
        <v>10493304826.27</v>
      </c>
      <c r="G30" s="164">
        <v>10588786868.49</v>
      </c>
      <c r="H30" s="164">
        <v>10713083537.4</v>
      </c>
      <c r="I30" s="164">
        <v>10781779215.719999</v>
      </c>
      <c r="J30" s="164">
        <v>10880497057.290001</v>
      </c>
      <c r="K30" s="164">
        <v>10981808219.42</v>
      </c>
      <c r="L30" s="164">
        <v>11082491684.82</v>
      </c>
      <c r="M30" s="164">
        <v>11188046319.709999</v>
      </c>
      <c r="N30" s="164">
        <v>11270513830.23</v>
      </c>
      <c r="O30" s="164">
        <v>11330423694.889999</v>
      </c>
      <c r="P30" s="164">
        <v>11401787203.59</v>
      </c>
      <c r="Q30" s="165">
        <v>11531580790</v>
      </c>
      <c r="R30" s="173">
        <v>12243745488.049999</v>
      </c>
    </row>
    <row r="31" spans="1:19">
      <c r="A31" s="99" t="s">
        <v>32</v>
      </c>
      <c r="B31" s="113">
        <f t="shared" ref="B31" si="33">SUM(B28:B30)</f>
        <v>9308242190</v>
      </c>
      <c r="C31" s="113">
        <f t="shared" ref="C31:D31" si="34">SUM(C28:C30)</f>
        <v>9697740685</v>
      </c>
      <c r="D31" s="113">
        <f t="shared" si="34"/>
        <v>10714387089</v>
      </c>
      <c r="E31" s="113">
        <f t="shared" ref="E31" si="35">SUM(E28:E30)</f>
        <v>11437862918</v>
      </c>
      <c r="F31" s="113">
        <f t="shared" ref="F31:P31" si="36">SUM(F28:F30)</f>
        <v>11464798774.15</v>
      </c>
      <c r="G31" s="113">
        <f t="shared" si="36"/>
        <v>11597540301.76</v>
      </c>
      <c r="H31" s="113">
        <f t="shared" si="36"/>
        <v>12270659791.459999</v>
      </c>
      <c r="I31" s="113">
        <f t="shared" si="36"/>
        <v>12162652353.23</v>
      </c>
      <c r="J31" s="113">
        <f t="shared" si="36"/>
        <v>12123372738.450001</v>
      </c>
      <c r="K31" s="113">
        <f t="shared" si="36"/>
        <v>12209250766.950001</v>
      </c>
      <c r="L31" s="113">
        <f t="shared" si="36"/>
        <v>12203585554.73</v>
      </c>
      <c r="M31" s="113">
        <f t="shared" si="36"/>
        <v>12331704276.849998</v>
      </c>
      <c r="N31" s="113">
        <f t="shared" si="36"/>
        <v>12378669000.539999</v>
      </c>
      <c r="O31" s="113">
        <f t="shared" si="36"/>
        <v>12390695838.389999</v>
      </c>
      <c r="P31" s="113">
        <f t="shared" si="36"/>
        <v>12360860895.120001</v>
      </c>
      <c r="Q31" s="113">
        <f t="shared" ref="Q31:S31" si="37">SUM(Q28:Q30)</f>
        <v>12560463291</v>
      </c>
      <c r="R31" s="113">
        <f t="shared" si="37"/>
        <v>13409277994.179998</v>
      </c>
      <c r="S31" s="113">
        <f t="shared" si="37"/>
        <v>0</v>
      </c>
    </row>
    <row r="32" spans="1:19">
      <c r="A32" s="100" t="s">
        <v>33</v>
      </c>
      <c r="B32" s="134">
        <v>13412873</v>
      </c>
      <c r="C32" s="132">
        <v>6790930</v>
      </c>
      <c r="D32" s="130">
        <v>9238767</v>
      </c>
      <c r="E32" s="152">
        <v>7010097</v>
      </c>
      <c r="F32" s="140">
        <v>0</v>
      </c>
      <c r="G32" s="161">
        <v>0</v>
      </c>
      <c r="H32" s="161">
        <v>0</v>
      </c>
      <c r="I32" s="161">
        <v>0</v>
      </c>
      <c r="J32" s="161">
        <v>0</v>
      </c>
      <c r="K32" s="161">
        <v>0</v>
      </c>
      <c r="L32" s="161">
        <v>0</v>
      </c>
      <c r="M32" s="161">
        <v>0</v>
      </c>
      <c r="N32" s="161">
        <v>0</v>
      </c>
      <c r="O32" s="161">
        <v>0</v>
      </c>
      <c r="P32" s="161">
        <v>0</v>
      </c>
      <c r="Q32" s="165">
        <v>14633980</v>
      </c>
      <c r="R32" s="170">
        <v>0</v>
      </c>
    </row>
    <row r="33" spans="1:19">
      <c r="A33" s="100" t="s">
        <v>34</v>
      </c>
      <c r="B33" s="134">
        <v>753948943</v>
      </c>
      <c r="C33" s="132">
        <v>871105917</v>
      </c>
      <c r="D33" s="130">
        <v>935280520</v>
      </c>
      <c r="E33" s="151">
        <v>1053233129</v>
      </c>
      <c r="F33" s="142">
        <v>0</v>
      </c>
      <c r="G33" s="163">
        <v>0</v>
      </c>
      <c r="H33" s="163">
        <v>0</v>
      </c>
      <c r="I33" s="163">
        <v>0</v>
      </c>
      <c r="J33" s="163">
        <v>0</v>
      </c>
      <c r="K33" s="163">
        <v>0</v>
      </c>
      <c r="L33" s="163">
        <v>0</v>
      </c>
      <c r="M33" s="163">
        <v>0</v>
      </c>
      <c r="N33" s="163">
        <v>0</v>
      </c>
      <c r="O33" s="163">
        <v>0</v>
      </c>
      <c r="P33" s="163">
        <v>0</v>
      </c>
      <c r="Q33" s="165">
        <f>1147653622</f>
        <v>1147653622</v>
      </c>
      <c r="R33" s="172">
        <v>0</v>
      </c>
    </row>
    <row r="34" spans="1:19">
      <c r="A34" s="100" t="s">
        <v>35</v>
      </c>
      <c r="B34" s="133"/>
      <c r="C34" s="132"/>
      <c r="D34" s="130"/>
      <c r="E34" s="151"/>
      <c r="F34" s="142">
        <v>0</v>
      </c>
      <c r="G34" s="163">
        <v>0</v>
      </c>
      <c r="H34" s="163">
        <v>0</v>
      </c>
      <c r="I34" s="163">
        <v>0</v>
      </c>
      <c r="J34" s="163">
        <v>0</v>
      </c>
      <c r="K34" s="163">
        <v>0</v>
      </c>
      <c r="L34" s="163">
        <v>0</v>
      </c>
      <c r="M34" s="163">
        <v>0</v>
      </c>
      <c r="N34" s="163">
        <v>0</v>
      </c>
      <c r="O34" s="163">
        <v>0</v>
      </c>
      <c r="P34" s="163">
        <v>0</v>
      </c>
      <c r="Q34" s="165"/>
      <c r="R34" s="172">
        <v>0</v>
      </c>
    </row>
    <row r="35" spans="1:19">
      <c r="A35" s="100" t="s">
        <v>36</v>
      </c>
      <c r="B35" s="133"/>
      <c r="C35" s="132"/>
      <c r="D35" s="130"/>
      <c r="E35" s="151"/>
      <c r="F35" s="142">
        <v>0</v>
      </c>
      <c r="G35" s="163">
        <v>0</v>
      </c>
      <c r="H35" s="163">
        <v>0</v>
      </c>
      <c r="I35" s="163">
        <v>0</v>
      </c>
      <c r="J35" s="163">
        <v>0</v>
      </c>
      <c r="K35" s="163">
        <v>0</v>
      </c>
      <c r="L35" s="163">
        <v>0</v>
      </c>
      <c r="M35" s="163">
        <v>0</v>
      </c>
      <c r="N35" s="163">
        <v>0</v>
      </c>
      <c r="O35" s="163">
        <v>0</v>
      </c>
      <c r="P35" s="163">
        <v>0</v>
      </c>
      <c r="Q35" s="165"/>
      <c r="R35" s="172">
        <v>0</v>
      </c>
    </row>
    <row r="36" spans="1:19">
      <c r="A36" s="100" t="s">
        <v>37</v>
      </c>
      <c r="B36" s="134">
        <v>108916861</v>
      </c>
      <c r="C36" s="132">
        <f>118731668+16987099</f>
        <v>135718767</v>
      </c>
      <c r="D36" s="130">
        <f>53319087+43355476</f>
        <v>96674563</v>
      </c>
      <c r="E36" s="151">
        <f>67853413+62347109</f>
        <v>130200522</v>
      </c>
      <c r="F36" s="143">
        <v>1266396974.51</v>
      </c>
      <c r="G36" s="164">
        <v>1358676316.3099999</v>
      </c>
      <c r="H36" s="164">
        <v>460497072.19999999</v>
      </c>
      <c r="I36" s="164">
        <v>488289797.89999998</v>
      </c>
      <c r="J36" s="164">
        <v>583943556.20000005</v>
      </c>
      <c r="K36" s="164">
        <v>686974513.13999999</v>
      </c>
      <c r="L36" s="164">
        <v>781415696.50999999</v>
      </c>
      <c r="M36" s="164">
        <v>880507608.64999998</v>
      </c>
      <c r="N36" s="164">
        <v>879306664.38999999</v>
      </c>
      <c r="O36" s="164">
        <v>1072021291.52</v>
      </c>
      <c r="P36" s="164">
        <v>1201890050.72</v>
      </c>
      <c r="Q36" s="165">
        <f>182014292-9877853+46923520</f>
        <v>219059959</v>
      </c>
      <c r="R36" s="173">
        <v>1040923251.4400001</v>
      </c>
    </row>
    <row r="37" spans="1:19">
      <c r="A37" s="100" t="s">
        <v>38</v>
      </c>
      <c r="B37" s="133"/>
      <c r="C37" s="139"/>
      <c r="D37" s="123"/>
      <c r="E37" s="151"/>
      <c r="F37" s="142">
        <v>0</v>
      </c>
      <c r="G37" s="163">
        <v>0</v>
      </c>
      <c r="H37" s="163">
        <v>0</v>
      </c>
      <c r="I37" s="163">
        <v>0</v>
      </c>
      <c r="J37" s="163">
        <v>0</v>
      </c>
      <c r="K37" s="163">
        <v>0</v>
      </c>
      <c r="L37" s="163">
        <v>0</v>
      </c>
      <c r="M37" s="163">
        <v>0</v>
      </c>
      <c r="N37" s="163">
        <v>0</v>
      </c>
      <c r="O37" s="163">
        <v>0</v>
      </c>
      <c r="P37" s="163">
        <v>0</v>
      </c>
      <c r="Q37" s="165">
        <v>9877853</v>
      </c>
      <c r="R37" s="172">
        <v>0</v>
      </c>
    </row>
    <row r="38" spans="1:19">
      <c r="A38" s="99" t="s">
        <v>39</v>
      </c>
      <c r="B38" s="113">
        <f t="shared" ref="B38" si="38">SUM(B31:B37)</f>
        <v>10184520867</v>
      </c>
      <c r="C38" s="113">
        <f t="shared" ref="C38:D38" si="39">SUM(C31:C37)</f>
        <v>10711356299</v>
      </c>
      <c r="D38" s="113">
        <f t="shared" si="39"/>
        <v>11755580939</v>
      </c>
      <c r="E38" s="113">
        <f t="shared" ref="E38" si="40">SUM(E31:E37)</f>
        <v>12628306666</v>
      </c>
      <c r="F38" s="113">
        <f t="shared" ref="F38:P38" si="41">SUM(F31:F37)</f>
        <v>12731195748.66</v>
      </c>
      <c r="G38" s="113">
        <f t="shared" si="41"/>
        <v>12956216618.07</v>
      </c>
      <c r="H38" s="113">
        <f t="shared" si="41"/>
        <v>12731156863.66</v>
      </c>
      <c r="I38" s="113">
        <f t="shared" si="41"/>
        <v>12650942151.129999</v>
      </c>
      <c r="J38" s="113">
        <f t="shared" si="41"/>
        <v>12707316294.650002</v>
      </c>
      <c r="K38" s="113">
        <f t="shared" si="41"/>
        <v>12896225280.09</v>
      </c>
      <c r="L38" s="113">
        <f t="shared" si="41"/>
        <v>12985001251.24</v>
      </c>
      <c r="M38" s="113">
        <f t="shared" si="41"/>
        <v>13212211885.499998</v>
      </c>
      <c r="N38" s="113">
        <f t="shared" si="41"/>
        <v>13257975664.929998</v>
      </c>
      <c r="O38" s="113">
        <f t="shared" si="41"/>
        <v>13462717129.91</v>
      </c>
      <c r="P38" s="113">
        <f t="shared" si="41"/>
        <v>13562750945.84</v>
      </c>
      <c r="Q38" s="113">
        <f t="shared" ref="Q38:S38" si="42">SUM(Q31:Q37)</f>
        <v>13951688705</v>
      </c>
      <c r="R38" s="113">
        <f t="shared" si="42"/>
        <v>14450201245.619999</v>
      </c>
      <c r="S38" s="113">
        <f t="shared" si="42"/>
        <v>0</v>
      </c>
    </row>
    <row r="39" spans="1:19">
      <c r="A39" s="100" t="s">
        <v>40</v>
      </c>
      <c r="B39" s="134">
        <v>888741501</v>
      </c>
      <c r="C39" s="132">
        <v>937694856</v>
      </c>
      <c r="D39" s="130">
        <v>985832180</v>
      </c>
      <c r="E39" s="152">
        <v>1023469537</v>
      </c>
      <c r="F39" s="141">
        <v>1025568356.77</v>
      </c>
      <c r="G39" s="162">
        <v>1027518154.48</v>
      </c>
      <c r="H39" s="162">
        <v>1033948386.55</v>
      </c>
      <c r="I39" s="162">
        <v>1045039883.76</v>
      </c>
      <c r="J39" s="162">
        <v>1048618694.71</v>
      </c>
      <c r="K39" s="162">
        <v>1052390813.95</v>
      </c>
      <c r="L39" s="162">
        <v>1056559058.9400001</v>
      </c>
      <c r="M39" s="162">
        <v>1059721603.63</v>
      </c>
      <c r="N39" s="162">
        <v>1063647008.1900001</v>
      </c>
      <c r="O39" s="162">
        <v>1072526568.76</v>
      </c>
      <c r="P39" s="162">
        <v>1081433449.5</v>
      </c>
      <c r="Q39" s="165">
        <v>1131426707</v>
      </c>
      <c r="R39" s="171">
        <v>1178811220.26</v>
      </c>
    </row>
    <row r="40" spans="1:19">
      <c r="A40" s="100" t="s">
        <v>41</v>
      </c>
      <c r="B40" s="133"/>
      <c r="C40" s="132">
        <v>0</v>
      </c>
      <c r="D40" s="130">
        <v>0</v>
      </c>
      <c r="E40" s="151"/>
      <c r="F40" s="142">
        <v>0</v>
      </c>
      <c r="G40" s="163">
        <v>0</v>
      </c>
      <c r="H40" s="163">
        <v>0</v>
      </c>
      <c r="I40" s="163">
        <v>0</v>
      </c>
      <c r="J40" s="163">
        <v>0</v>
      </c>
      <c r="K40" s="163">
        <v>0</v>
      </c>
      <c r="L40" s="163">
        <v>0</v>
      </c>
      <c r="M40" s="163">
        <v>0</v>
      </c>
      <c r="N40" s="163">
        <v>0</v>
      </c>
      <c r="O40" s="163">
        <v>0</v>
      </c>
      <c r="P40" s="163">
        <v>0</v>
      </c>
      <c r="Q40" s="165"/>
      <c r="R40" s="172">
        <v>0</v>
      </c>
    </row>
    <row r="41" spans="1:19">
      <c r="A41" s="100" t="s">
        <v>42</v>
      </c>
      <c r="B41" s="134">
        <v>452216551</v>
      </c>
      <c r="C41" s="132">
        <f>549784126-204601235</f>
        <v>345182891</v>
      </c>
      <c r="D41" s="130">
        <v>549784126</v>
      </c>
      <c r="E41" s="151">
        <v>701193835</v>
      </c>
      <c r="F41" s="143">
        <v>740920976.23000002</v>
      </c>
      <c r="G41" s="164">
        <v>740920976.23000002</v>
      </c>
      <c r="H41" s="164">
        <v>721362025.88</v>
      </c>
      <c r="I41" s="164">
        <v>721789498.88</v>
      </c>
      <c r="J41" s="164">
        <v>721789498.88</v>
      </c>
      <c r="K41" s="164">
        <v>721777018.88</v>
      </c>
      <c r="L41" s="164">
        <v>721777018.88</v>
      </c>
      <c r="M41" s="164">
        <v>721770518.88</v>
      </c>
      <c r="N41" s="164">
        <v>721770518.88</v>
      </c>
      <c r="O41" s="164">
        <v>721770518.88</v>
      </c>
      <c r="P41" s="164">
        <v>721770518.88</v>
      </c>
      <c r="Q41" s="165">
        <v>743034807</v>
      </c>
      <c r="R41" s="173">
        <v>795755629.25999999</v>
      </c>
    </row>
    <row r="42" spans="1:19">
      <c r="A42" s="100" t="s">
        <v>43</v>
      </c>
      <c r="B42" s="130">
        <v>178836162</v>
      </c>
      <c r="C42" s="132">
        <v>204601235</v>
      </c>
      <c r="D42" s="130">
        <f>237873427-47574685+77281934+3592442-118299662</f>
        <v>152873456</v>
      </c>
      <c r="E42" s="151">
        <f>282162157-84872599+5547798+2929260-131538561-32387083</f>
        <v>41840972</v>
      </c>
      <c r="F42" s="143">
        <v>-22872669.960000001</v>
      </c>
      <c r="G42" s="164">
        <v>34487572.380000003</v>
      </c>
      <c r="H42" s="164">
        <v>58026055.399999999</v>
      </c>
      <c r="I42" s="164">
        <v>73172849.359999999</v>
      </c>
      <c r="J42" s="164">
        <v>79585356.950000003</v>
      </c>
      <c r="K42" s="164">
        <v>113936961.34999999</v>
      </c>
      <c r="L42" s="164">
        <v>142385197.69999999</v>
      </c>
      <c r="M42" s="164">
        <v>175672359.49000001</v>
      </c>
      <c r="N42" s="164">
        <v>293380627.81</v>
      </c>
      <c r="O42" s="164">
        <v>262956869.90000001</v>
      </c>
      <c r="P42" s="164">
        <v>293008945.52999997</v>
      </c>
      <c r="Q42" s="165">
        <f>268824654-363355-75767647+64056798+431521-147085472-53542-19610412</f>
        <v>90432545</v>
      </c>
      <c r="R42" s="173">
        <v>85419637.760000005</v>
      </c>
    </row>
    <row r="43" spans="1:19">
      <c r="A43" s="100" t="s">
        <v>44</v>
      </c>
      <c r="B43" s="134">
        <v>376882310</v>
      </c>
      <c r="C43" s="132">
        <v>417802557</v>
      </c>
      <c r="D43" s="130">
        <v>465377242</v>
      </c>
      <c r="E43" s="151">
        <v>554487703</v>
      </c>
      <c r="F43" s="143">
        <v>554487703.13999999</v>
      </c>
      <c r="G43" s="164">
        <v>554487703.13999999</v>
      </c>
      <c r="H43" s="164">
        <v>554487703.13999999</v>
      </c>
      <c r="I43" s="164">
        <v>554487703.13999999</v>
      </c>
      <c r="J43" s="164">
        <v>554487703.13999999</v>
      </c>
      <c r="K43" s="164">
        <v>554487703.13999999</v>
      </c>
      <c r="L43" s="164">
        <v>554487703.13999999</v>
      </c>
      <c r="M43" s="164">
        <v>554487703.13999999</v>
      </c>
      <c r="N43" s="164">
        <v>554487703.13999999</v>
      </c>
      <c r="O43" s="164">
        <v>554487703.13999999</v>
      </c>
      <c r="P43" s="164">
        <v>554487703.13999999</v>
      </c>
      <c r="Q43" s="165">
        <v>630255350</v>
      </c>
      <c r="R43" s="173">
        <v>630255350.32000005</v>
      </c>
    </row>
    <row r="44" spans="1:19">
      <c r="A44" s="100" t="s">
        <v>45</v>
      </c>
      <c r="B44" s="130">
        <v>116491451</v>
      </c>
      <c r="C44" s="132">
        <v>132187847</v>
      </c>
      <c r="D44" s="130">
        <v>54905913</v>
      </c>
      <c r="E44" s="151">
        <f>70547427</f>
        <v>70547427</v>
      </c>
      <c r="F44" s="143">
        <v>71946129</v>
      </c>
      <c r="G44" s="164">
        <v>71946129</v>
      </c>
      <c r="H44" s="164">
        <v>71946129</v>
      </c>
      <c r="I44" s="164">
        <v>71946129</v>
      </c>
      <c r="J44" s="164">
        <v>71946129</v>
      </c>
      <c r="K44" s="164">
        <v>71946129</v>
      </c>
      <c r="L44" s="164">
        <v>71946129.459999993</v>
      </c>
      <c r="M44" s="164">
        <v>71946129</v>
      </c>
      <c r="N44" s="164">
        <v>71946129</v>
      </c>
      <c r="O44" s="164">
        <v>71946129</v>
      </c>
      <c r="P44" s="164">
        <v>71946129</v>
      </c>
      <c r="Q44" s="165">
        <v>6490628</v>
      </c>
      <c r="R44" s="173">
        <v>8252686.2999999998</v>
      </c>
    </row>
    <row r="45" spans="1:19">
      <c r="A45" s="100" t="s">
        <v>46</v>
      </c>
      <c r="B45" s="133"/>
      <c r="C45" s="132">
        <v>-3081261</v>
      </c>
      <c r="D45" s="130">
        <v>1312680</v>
      </c>
      <c r="E45" s="151">
        <v>1398704</v>
      </c>
      <c r="F45" s="142">
        <v>0</v>
      </c>
      <c r="G45" s="163">
        <v>0</v>
      </c>
      <c r="H45" s="163">
        <v>0</v>
      </c>
      <c r="I45" s="163">
        <v>0</v>
      </c>
      <c r="J45" s="163">
        <v>0</v>
      </c>
      <c r="K45" s="163">
        <v>0</v>
      </c>
      <c r="L45" s="163">
        <v>0</v>
      </c>
      <c r="M45" s="163">
        <v>0</v>
      </c>
      <c r="N45" s="163">
        <v>0</v>
      </c>
      <c r="O45" s="163">
        <v>0</v>
      </c>
      <c r="P45" s="163">
        <v>0</v>
      </c>
      <c r="Q45" s="165">
        <v>1762059</v>
      </c>
      <c r="R45" s="172">
        <v>0</v>
      </c>
    </row>
    <row r="46" spans="1:19">
      <c r="A46" s="100" t="s">
        <v>47</v>
      </c>
      <c r="B46" s="133"/>
      <c r="C46" s="132">
        <v>121900331</v>
      </c>
      <c r="D46" s="130">
        <v>118299862</v>
      </c>
      <c r="E46" s="151">
        <v>131538561</v>
      </c>
      <c r="F46" s="142">
        <v>131538561</v>
      </c>
      <c r="G46" s="163">
        <v>131538561</v>
      </c>
      <c r="H46" s="163">
        <v>0</v>
      </c>
      <c r="I46" s="163">
        <v>0</v>
      </c>
      <c r="J46" s="163">
        <v>0</v>
      </c>
      <c r="K46" s="163">
        <v>0</v>
      </c>
      <c r="L46" s="163">
        <v>0</v>
      </c>
      <c r="M46" s="163">
        <v>0</v>
      </c>
      <c r="N46" s="163">
        <v>0</v>
      </c>
      <c r="O46" s="163">
        <v>0</v>
      </c>
      <c r="P46" s="163">
        <v>0</v>
      </c>
      <c r="Q46" s="165">
        <f>147085472</f>
        <v>147085472</v>
      </c>
      <c r="R46" s="172">
        <v>0</v>
      </c>
    </row>
    <row r="47" spans="1:19">
      <c r="A47" s="100" t="s">
        <v>48</v>
      </c>
      <c r="B47" s="133"/>
      <c r="C47" s="117"/>
      <c r="D47" s="124"/>
      <c r="E47" s="151"/>
      <c r="F47" s="142">
        <v>0</v>
      </c>
      <c r="G47" s="163">
        <v>0</v>
      </c>
      <c r="H47" s="163">
        <v>0</v>
      </c>
      <c r="I47" s="163">
        <v>0</v>
      </c>
      <c r="J47" s="163">
        <v>0</v>
      </c>
      <c r="K47" s="163">
        <v>0</v>
      </c>
      <c r="L47" s="163">
        <v>0</v>
      </c>
      <c r="M47" s="163">
        <v>0</v>
      </c>
      <c r="N47" s="163">
        <v>0</v>
      </c>
      <c r="O47" s="163">
        <v>0</v>
      </c>
      <c r="P47" s="163">
        <v>0</v>
      </c>
      <c r="Q47" s="165"/>
      <c r="R47" s="172">
        <v>0</v>
      </c>
    </row>
    <row r="48" spans="1:19">
      <c r="A48" s="99" t="s">
        <v>49</v>
      </c>
      <c r="B48" s="113">
        <f t="shared" ref="B48" si="43">SUM(B39:B47)</f>
        <v>2013167975</v>
      </c>
      <c r="C48" s="113">
        <f t="shared" ref="C48:D48" si="44">SUM(C39:C47)</f>
        <v>2156288456</v>
      </c>
      <c r="D48" s="113">
        <f t="shared" si="44"/>
        <v>2328385459</v>
      </c>
      <c r="E48" s="113">
        <f t="shared" ref="E48" si="45">SUM(E39:E47)</f>
        <v>2524476739</v>
      </c>
      <c r="F48" s="113">
        <f t="shared" ref="F48:P48" si="46">SUM(F39:F47)</f>
        <v>2501589056.1799998</v>
      </c>
      <c r="G48" s="113">
        <f t="shared" si="46"/>
        <v>2560899096.23</v>
      </c>
      <c r="H48" s="113">
        <f t="shared" si="46"/>
        <v>2439770299.9699998</v>
      </c>
      <c r="I48" s="113">
        <f t="shared" si="46"/>
        <v>2466436064.1399999</v>
      </c>
      <c r="J48" s="113">
        <f t="shared" si="46"/>
        <v>2476427382.6800003</v>
      </c>
      <c r="K48" s="113">
        <f t="shared" si="46"/>
        <v>2514538626.3199997</v>
      </c>
      <c r="L48" s="113">
        <f t="shared" si="46"/>
        <v>2547155108.1200004</v>
      </c>
      <c r="M48" s="113">
        <f t="shared" si="46"/>
        <v>2583598314.1399999</v>
      </c>
      <c r="N48" s="113">
        <f t="shared" si="46"/>
        <v>2705231987.02</v>
      </c>
      <c r="O48" s="113">
        <f t="shared" si="46"/>
        <v>2683687789.6799998</v>
      </c>
      <c r="P48" s="113">
        <f t="shared" si="46"/>
        <v>2722646746.0500002</v>
      </c>
      <c r="Q48" s="113">
        <f t="shared" ref="Q48" si="47">SUM(Q39:Q47)</f>
        <v>2750487568</v>
      </c>
      <c r="R48" s="113">
        <f t="shared" ref="R48:S48" si="48">SUM(R39:R47)</f>
        <v>2698494523.9000001</v>
      </c>
      <c r="S48" s="113">
        <f t="shared" si="48"/>
        <v>0</v>
      </c>
    </row>
    <row r="49" spans="1:19">
      <c r="A49" s="99" t="s">
        <v>50</v>
      </c>
      <c r="B49" s="113">
        <f t="shared" ref="B49" si="49">SUM(B48+B38)</f>
        <v>12197688842</v>
      </c>
      <c r="C49" s="113">
        <f t="shared" ref="C49:D49" si="50">SUM(C48+C38)</f>
        <v>12867644755</v>
      </c>
      <c r="D49" s="113">
        <f t="shared" si="50"/>
        <v>14083966398</v>
      </c>
      <c r="E49" s="113">
        <f t="shared" ref="E49" si="51">SUM(E48+E38)</f>
        <v>15152783405</v>
      </c>
      <c r="F49" s="113">
        <f t="shared" ref="F49:P49" si="52">SUM(F48+F38)</f>
        <v>15232784804.84</v>
      </c>
      <c r="G49" s="113">
        <f t="shared" si="52"/>
        <v>15517115714.299999</v>
      </c>
      <c r="H49" s="113">
        <f t="shared" si="52"/>
        <v>15170927163.629999</v>
      </c>
      <c r="I49" s="113">
        <f t="shared" si="52"/>
        <v>15117378215.269999</v>
      </c>
      <c r="J49" s="113">
        <f t="shared" si="52"/>
        <v>15183743677.330002</v>
      </c>
      <c r="K49" s="113">
        <f t="shared" si="52"/>
        <v>15410763906.41</v>
      </c>
      <c r="L49" s="113">
        <f t="shared" si="52"/>
        <v>15532156359.360001</v>
      </c>
      <c r="M49" s="113">
        <f t="shared" si="52"/>
        <v>15795810199.639997</v>
      </c>
      <c r="N49" s="113">
        <f t="shared" si="52"/>
        <v>15963207651.949999</v>
      </c>
      <c r="O49" s="113">
        <f t="shared" si="52"/>
        <v>16146404919.59</v>
      </c>
      <c r="P49" s="113">
        <f t="shared" si="52"/>
        <v>16285397691.889999</v>
      </c>
      <c r="Q49" s="113">
        <f t="shared" ref="Q49" si="53">SUM(Q48+Q38)</f>
        <v>16702176273</v>
      </c>
      <c r="R49" s="113">
        <f t="shared" ref="R49:S49" si="54">SUM(R48+R38)</f>
        <v>17148695769.519999</v>
      </c>
      <c r="S49" s="113">
        <f t="shared" si="54"/>
        <v>0</v>
      </c>
    </row>
    <row r="50" spans="1:19">
      <c r="A50" s="101"/>
      <c r="B50" s="114"/>
      <c r="C50" s="114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</row>
    <row r="51" spans="1:19">
      <c r="A51" s="101"/>
      <c r="B51" s="115">
        <f t="shared" ref="B51" si="55">B49-B27</f>
        <v>-1</v>
      </c>
      <c r="C51" s="115">
        <f>C49-C27</f>
        <v>-1</v>
      </c>
      <c r="D51" s="115">
        <f t="shared" ref="D51" si="56">D49-D27</f>
        <v>200</v>
      </c>
      <c r="E51" s="153">
        <f t="shared" ref="E51" si="57">E49-E27</f>
        <v>1</v>
      </c>
      <c r="F51" s="153">
        <f t="shared" ref="F51:P51" si="58">F49-F27</f>
        <v>80001399.840000153</v>
      </c>
      <c r="G51" s="153">
        <f t="shared" si="58"/>
        <v>364332308.29999924</v>
      </c>
      <c r="H51" s="153">
        <f t="shared" si="58"/>
        <v>18143756.629999161</v>
      </c>
      <c r="I51" s="153">
        <f t="shared" si="58"/>
        <v>-35405192.73000145</v>
      </c>
      <c r="J51" s="153">
        <f t="shared" si="58"/>
        <v>30960268.330001831</v>
      </c>
      <c r="K51" s="153">
        <f t="shared" si="58"/>
        <v>257980496.40999985</v>
      </c>
      <c r="L51" s="153">
        <f t="shared" si="58"/>
        <v>379372948.36000061</v>
      </c>
      <c r="M51" s="153">
        <f t="shared" si="58"/>
        <v>643026787.63999748</v>
      </c>
      <c r="N51" s="153">
        <f t="shared" si="58"/>
        <v>810424238.94999886</v>
      </c>
      <c r="O51" s="153">
        <f t="shared" si="58"/>
        <v>993621505.59000015</v>
      </c>
      <c r="P51" s="153">
        <f t="shared" si="58"/>
        <v>1132614276.8899994</v>
      </c>
      <c r="Q51" s="153">
        <f>Q49-Q27</f>
        <v>189</v>
      </c>
      <c r="R51" s="153">
        <f t="shared" ref="R51:S51" si="59">R49-R27</f>
        <v>0</v>
      </c>
      <c r="S51" s="153">
        <f t="shared" si="59"/>
        <v>0</v>
      </c>
    </row>
  </sheetData>
  <phoneticPr fontId="3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"/>
  <sheetViews>
    <sheetView workbookViewId="0">
      <pane xSplit="1" topLeftCell="B1" activePane="topRight" state="frozen"/>
      <selection pane="topRight" activeCell="U3" sqref="U3"/>
      <selection activeCell="A3" sqref="A3"/>
    </sheetView>
  </sheetViews>
  <sheetFormatPr defaultRowHeight="15" customHeight="1"/>
  <cols>
    <col min="1" max="1" width="41" customWidth="1"/>
    <col min="2" max="3" width="21.7109375" style="120" customWidth="1"/>
    <col min="4" max="4" width="21.28515625" bestFit="1" customWidth="1"/>
    <col min="5" max="5" width="20.42578125" bestFit="1" customWidth="1"/>
    <col min="6" max="6" width="21" hidden="1" customWidth="1"/>
    <col min="7" max="7" width="22.85546875" hidden="1" customWidth="1"/>
    <col min="8" max="8" width="29.140625" hidden="1" customWidth="1"/>
    <col min="9" max="9" width="27.85546875" hidden="1" customWidth="1"/>
    <col min="10" max="10" width="22.28515625" hidden="1" customWidth="1"/>
    <col min="11" max="11" width="25.7109375" hidden="1" customWidth="1"/>
    <col min="12" max="12" width="25.85546875" hidden="1" customWidth="1"/>
    <col min="13" max="13" width="28.28515625" hidden="1" customWidth="1"/>
    <col min="14" max="14" width="19.85546875" hidden="1" customWidth="1"/>
    <col min="15" max="15" width="30.28515625" hidden="1" customWidth="1"/>
    <col min="16" max="16" width="28.7109375" hidden="1" customWidth="1"/>
    <col min="17" max="17" width="21.42578125" customWidth="1"/>
    <col min="18" max="18" width="20.5703125" customWidth="1"/>
  </cols>
  <sheetData>
    <row r="1" spans="1:19" ht="15" customHeight="1">
      <c r="A1" s="128"/>
    </row>
    <row r="2" spans="1:19" ht="27.95" customHeight="1">
      <c r="A2" s="102"/>
      <c r="B2" s="136" t="s">
        <v>0</v>
      </c>
      <c r="C2" s="136" t="s">
        <v>1</v>
      </c>
      <c r="D2" s="110" t="s">
        <v>2</v>
      </c>
      <c r="E2" s="110" t="s">
        <v>3</v>
      </c>
      <c r="F2" s="110">
        <v>44562</v>
      </c>
      <c r="G2" s="110">
        <v>44593</v>
      </c>
      <c r="H2" s="110">
        <v>44621</v>
      </c>
      <c r="I2" s="110">
        <v>44652</v>
      </c>
      <c r="J2" s="110">
        <v>44682</v>
      </c>
      <c r="K2" s="110">
        <v>44713</v>
      </c>
      <c r="L2" s="110">
        <v>44743</v>
      </c>
      <c r="M2" s="110">
        <v>44774</v>
      </c>
      <c r="N2" s="110">
        <v>44805</v>
      </c>
      <c r="O2" s="110">
        <v>44835</v>
      </c>
      <c r="P2" s="110">
        <v>44866</v>
      </c>
      <c r="Q2" s="168" t="s">
        <v>51</v>
      </c>
      <c r="R2" s="169">
        <v>45139</v>
      </c>
      <c r="S2" s="169">
        <v>45170</v>
      </c>
    </row>
    <row r="3" spans="1:19" ht="20.45" customHeight="1">
      <c r="A3" s="103" t="s">
        <v>52</v>
      </c>
      <c r="B3" s="111">
        <f>B4+B7</f>
        <v>1382591516</v>
      </c>
      <c r="C3" s="111">
        <f t="shared" ref="C3:D3" si="0">C4+C7</f>
        <v>1519207861</v>
      </c>
      <c r="D3" s="111">
        <f t="shared" si="0"/>
        <v>1612162599</v>
      </c>
      <c r="E3" s="111">
        <f t="shared" ref="E3" si="1">E4+E7</f>
        <v>1732727468</v>
      </c>
      <c r="F3" s="111">
        <f t="shared" ref="F3:P3" si="2">F4+F7</f>
        <v>62269618.149999999</v>
      </c>
      <c r="G3" s="111">
        <f t="shared" si="2"/>
        <v>124453499.60000001</v>
      </c>
      <c r="H3" s="111">
        <f t="shared" si="2"/>
        <v>183678832.41999999</v>
      </c>
      <c r="I3" s="111">
        <f t="shared" si="2"/>
        <v>247568740.60999995</v>
      </c>
      <c r="J3" s="111">
        <f t="shared" si="2"/>
        <v>307279785.12</v>
      </c>
      <c r="K3" s="111">
        <f t="shared" si="2"/>
        <v>451346505.51999998</v>
      </c>
      <c r="L3" s="111">
        <f t="shared" si="2"/>
        <v>517823431.08000004</v>
      </c>
      <c r="M3" s="111">
        <f t="shared" si="2"/>
        <v>581666238.55999994</v>
      </c>
      <c r="N3" s="111">
        <f t="shared" si="2"/>
        <v>643732844.67999995</v>
      </c>
      <c r="O3" s="111">
        <f t="shared" si="2"/>
        <v>707966592.11000001</v>
      </c>
      <c r="P3" s="111">
        <f t="shared" si="2"/>
        <v>775514816.79999995</v>
      </c>
      <c r="Q3" s="111">
        <f t="shared" ref="Q3" si="3">Q4+Q7</f>
        <v>2039453936</v>
      </c>
      <c r="R3" s="111">
        <f t="shared" ref="R3:S3" si="4">R4+R7</f>
        <v>1391449971.27</v>
      </c>
      <c r="S3" s="111">
        <f t="shared" si="4"/>
        <v>0</v>
      </c>
    </row>
    <row r="4" spans="1:19" ht="15.75">
      <c r="A4" s="103" t="s">
        <v>53</v>
      </c>
      <c r="B4" s="111">
        <f>SUM(B5:B6)</f>
        <v>1100100081</v>
      </c>
      <c r="C4" s="111">
        <f t="shared" ref="C4:D4" si="5">SUM(C5:C6)</f>
        <v>1159274700</v>
      </c>
      <c r="D4" s="111">
        <f t="shared" si="5"/>
        <v>1143786806</v>
      </c>
      <c r="E4" s="111">
        <f t="shared" ref="E4" si="6">SUM(E5:E6)</f>
        <v>1185431762</v>
      </c>
      <c r="F4" s="111">
        <f t="shared" ref="F4:P4" si="7">SUM(F5:F6)</f>
        <v>49722340.890000001</v>
      </c>
      <c r="G4" s="111">
        <f t="shared" si="7"/>
        <v>100390389.85000001</v>
      </c>
      <c r="H4" s="111">
        <f t="shared" si="7"/>
        <v>147630111.66</v>
      </c>
      <c r="I4" s="111">
        <f t="shared" si="7"/>
        <v>197461375.33999997</v>
      </c>
      <c r="J4" s="111">
        <f t="shared" si="7"/>
        <v>244984616.28</v>
      </c>
      <c r="K4" s="111">
        <f t="shared" si="7"/>
        <v>295510655.66000003</v>
      </c>
      <c r="L4" s="111">
        <f t="shared" si="7"/>
        <v>348325415.34000003</v>
      </c>
      <c r="M4" s="111">
        <f t="shared" si="7"/>
        <v>400248996.44999999</v>
      </c>
      <c r="N4" s="111">
        <f t="shared" si="7"/>
        <v>450523086.28999996</v>
      </c>
      <c r="O4" s="111">
        <f t="shared" si="7"/>
        <v>503303968.75</v>
      </c>
      <c r="P4" s="111">
        <f t="shared" si="7"/>
        <v>556883023.54999995</v>
      </c>
      <c r="Q4" s="111">
        <f t="shared" ref="Q4" si="8">SUM(Q5:Q6)</f>
        <v>1319035009</v>
      </c>
      <c r="R4" s="111">
        <f t="shared" ref="R4:S4" si="9">SUM(R5:R6)</f>
        <v>937444577.73000002</v>
      </c>
      <c r="S4" s="111">
        <f t="shared" si="9"/>
        <v>0</v>
      </c>
    </row>
    <row r="5" spans="1:19">
      <c r="A5" s="104" t="s">
        <v>54</v>
      </c>
      <c r="B5" s="130">
        <v>1091195937</v>
      </c>
      <c r="C5" s="137">
        <v>1149461775</v>
      </c>
      <c r="D5" s="130">
        <v>1133667494</v>
      </c>
      <c r="E5" s="145">
        <v>1172851375</v>
      </c>
      <c r="F5" s="145">
        <v>46083977.75</v>
      </c>
      <c r="G5" s="155">
        <v>93927488.930000007</v>
      </c>
      <c r="H5" s="155">
        <v>137635158.5</v>
      </c>
      <c r="I5" s="155">
        <v>184773909.72999999</v>
      </c>
      <c r="J5" s="155">
        <v>229987468.88</v>
      </c>
      <c r="K5" s="155">
        <v>277910716.23000002</v>
      </c>
      <c r="L5" s="155">
        <v>325695829.85000002</v>
      </c>
      <c r="M5" s="155">
        <v>373957551.88999999</v>
      </c>
      <c r="N5" s="155">
        <v>421761258.25999999</v>
      </c>
      <c r="O5" s="155">
        <v>470684648.63</v>
      </c>
      <c r="P5" s="155">
        <v>521372619.38999999</v>
      </c>
      <c r="Q5" s="155">
        <v>1319035009</v>
      </c>
      <c r="R5" s="175">
        <v>937444577.73000002</v>
      </c>
    </row>
    <row r="6" spans="1:19">
      <c r="A6" s="104" t="s">
        <v>55</v>
      </c>
      <c r="B6" s="134">
        <v>8904144</v>
      </c>
      <c r="C6" s="137">
        <v>9812925</v>
      </c>
      <c r="D6" s="130">
        <v>10119312</v>
      </c>
      <c r="E6" s="147">
        <v>12580387</v>
      </c>
      <c r="F6" s="147">
        <v>3638363.14</v>
      </c>
      <c r="G6" s="157">
        <v>6462900.9199999999</v>
      </c>
      <c r="H6" s="157">
        <v>9994953.1600000001</v>
      </c>
      <c r="I6" s="157">
        <v>12687465.609999999</v>
      </c>
      <c r="J6" s="157">
        <v>14997147.4</v>
      </c>
      <c r="K6" s="157">
        <v>17599939.43</v>
      </c>
      <c r="L6" s="157">
        <v>22629585.489999998</v>
      </c>
      <c r="M6" s="157">
        <v>26291444.559999999</v>
      </c>
      <c r="N6" s="157">
        <v>28761828.030000001</v>
      </c>
      <c r="O6" s="157">
        <v>32619320.120000001</v>
      </c>
      <c r="P6" s="157">
        <v>35510404.159999996</v>
      </c>
      <c r="Q6" s="157"/>
      <c r="R6" s="176">
        <v>0</v>
      </c>
    </row>
    <row r="7" spans="1:19" ht="15.75">
      <c r="A7" s="103" t="s">
        <v>56</v>
      </c>
      <c r="B7" s="111">
        <f t="shared" ref="B7:C7" si="10">SUM(B8:B11)</f>
        <v>282491435</v>
      </c>
      <c r="C7" s="111">
        <f t="shared" si="10"/>
        <v>359933161</v>
      </c>
      <c r="D7" s="111">
        <f t="shared" ref="D7" si="11">SUM(D8:D11)</f>
        <v>468375793</v>
      </c>
      <c r="E7" s="111">
        <f t="shared" ref="E7" si="12">SUM(E8:E11)</f>
        <v>547295706</v>
      </c>
      <c r="F7" s="111">
        <f t="shared" ref="F7:P7" si="13">SUM(F8:F11)</f>
        <v>12547277.26</v>
      </c>
      <c r="G7" s="111">
        <f t="shared" si="13"/>
        <v>24063109.75</v>
      </c>
      <c r="H7" s="111">
        <f t="shared" si="13"/>
        <v>36048720.759999998</v>
      </c>
      <c r="I7" s="111">
        <f t="shared" si="13"/>
        <v>50107365.269999996</v>
      </c>
      <c r="J7" s="111">
        <f t="shared" si="13"/>
        <v>62295168.840000004</v>
      </c>
      <c r="K7" s="111">
        <f t="shared" si="13"/>
        <v>155835849.85999998</v>
      </c>
      <c r="L7" s="111">
        <f t="shared" si="13"/>
        <v>169498015.74000001</v>
      </c>
      <c r="M7" s="111">
        <f t="shared" si="13"/>
        <v>181417242.11000001</v>
      </c>
      <c r="N7" s="111">
        <f t="shared" si="13"/>
        <v>193209758.38999999</v>
      </c>
      <c r="O7" s="111">
        <f t="shared" si="13"/>
        <v>204662623.36000001</v>
      </c>
      <c r="P7" s="111">
        <f t="shared" si="13"/>
        <v>218631793.25</v>
      </c>
      <c r="Q7" s="111">
        <f t="shared" ref="Q7:S7" si="14">SUM(Q8:Q11)</f>
        <v>720418927</v>
      </c>
      <c r="R7" s="111">
        <f t="shared" si="14"/>
        <v>454005393.54000002</v>
      </c>
      <c r="S7" s="111">
        <f t="shared" si="14"/>
        <v>0</v>
      </c>
    </row>
    <row r="8" spans="1:19">
      <c r="A8" s="104" t="s">
        <v>57</v>
      </c>
      <c r="B8" s="133"/>
      <c r="C8" s="137"/>
      <c r="D8" s="130"/>
      <c r="E8" s="144"/>
      <c r="F8" s="145">
        <v>2244360.2400000002</v>
      </c>
      <c r="G8" s="155">
        <v>4508530.1399999997</v>
      </c>
      <c r="H8" s="155">
        <v>6733080.7199999997</v>
      </c>
      <c r="I8" s="155">
        <v>8977440.0600000005</v>
      </c>
      <c r="J8" s="155">
        <v>11241609.960000001</v>
      </c>
      <c r="K8" s="155">
        <v>12444303.6</v>
      </c>
      <c r="L8" s="155">
        <v>13646997.24</v>
      </c>
      <c r="M8" s="155">
        <v>14849690.880000001</v>
      </c>
      <c r="N8" s="155">
        <v>16052384.52</v>
      </c>
      <c r="O8" s="155">
        <v>17255077.260000002</v>
      </c>
      <c r="P8" s="155">
        <v>18449597.379999999</v>
      </c>
      <c r="Q8" s="155"/>
      <c r="R8" s="175">
        <v>96541212.930000007</v>
      </c>
    </row>
    <row r="9" spans="1:19">
      <c r="A9" s="104" t="s">
        <v>58</v>
      </c>
      <c r="B9" s="134">
        <v>261527907</v>
      </c>
      <c r="C9" s="137">
        <v>338021618</v>
      </c>
      <c r="D9" s="130">
        <v>420560697</v>
      </c>
      <c r="E9" s="147">
        <v>493222076</v>
      </c>
      <c r="F9" s="147">
        <v>1571471.42</v>
      </c>
      <c r="G9" s="157">
        <v>2255863.09</v>
      </c>
      <c r="H9" s="157">
        <v>2952545.02</v>
      </c>
      <c r="I9" s="157">
        <v>5802776.7400000002</v>
      </c>
      <c r="J9" s="157">
        <v>7240307.9400000004</v>
      </c>
      <c r="K9" s="157">
        <v>9902181.9399999995</v>
      </c>
      <c r="L9" s="157">
        <v>13172311.939999999</v>
      </c>
      <c r="M9" s="157">
        <v>15317304.880000001</v>
      </c>
      <c r="N9" s="157">
        <v>17262844.859999999</v>
      </c>
      <c r="O9" s="157">
        <v>18874194.280000001</v>
      </c>
      <c r="P9" s="157">
        <v>22150244.52</v>
      </c>
      <c r="Q9" s="157">
        <f>589388439</f>
        <v>589388439</v>
      </c>
      <c r="R9" s="177">
        <v>333913904.25999999</v>
      </c>
    </row>
    <row r="10" spans="1:19">
      <c r="A10" s="104" t="s">
        <v>59</v>
      </c>
      <c r="B10" s="133"/>
      <c r="C10" s="137"/>
      <c r="D10" s="130"/>
      <c r="E10" s="145">
        <v>980416</v>
      </c>
      <c r="F10" s="145">
        <v>980416</v>
      </c>
      <c r="G10" s="155">
        <v>1960832</v>
      </c>
      <c r="H10" s="155">
        <v>3898930</v>
      </c>
      <c r="I10" s="155">
        <v>4879346</v>
      </c>
      <c r="J10" s="155">
        <v>5859762</v>
      </c>
      <c r="K10" s="155">
        <v>88001316</v>
      </c>
      <c r="L10" s="155">
        <v>88981732</v>
      </c>
      <c r="M10" s="155">
        <v>90299279.25</v>
      </c>
      <c r="N10" s="155">
        <v>91279695.25</v>
      </c>
      <c r="O10" s="155">
        <v>92260111.25</v>
      </c>
      <c r="P10" s="155">
        <v>93864805.25</v>
      </c>
      <c r="Q10" s="155"/>
      <c r="R10" s="177">
        <v>10381.120000000001</v>
      </c>
    </row>
    <row r="11" spans="1:19" s="7" customFormat="1">
      <c r="A11" s="103" t="s">
        <v>60</v>
      </c>
      <c r="B11" s="135">
        <v>20963528</v>
      </c>
      <c r="C11" s="137">
        <v>21911543</v>
      </c>
      <c r="D11" s="131">
        <v>47815096</v>
      </c>
      <c r="E11" s="148">
        <f>43132854+9960360</f>
        <v>53093214</v>
      </c>
      <c r="F11" s="158">
        <v>7751029.5999999996</v>
      </c>
      <c r="G11" s="159">
        <v>15337884.52</v>
      </c>
      <c r="H11" s="159">
        <v>22464165.02</v>
      </c>
      <c r="I11" s="159">
        <v>30447802.469999999</v>
      </c>
      <c r="J11" s="159">
        <v>37953488.939999998</v>
      </c>
      <c r="K11" s="159">
        <v>45488048.32</v>
      </c>
      <c r="L11" s="159">
        <v>53696974.560000002</v>
      </c>
      <c r="M11" s="159">
        <v>60950967.100000001</v>
      </c>
      <c r="N11" s="159">
        <v>68614833.760000005</v>
      </c>
      <c r="O11" s="159">
        <v>76273240.569999993</v>
      </c>
      <c r="P11" s="159">
        <v>84167146.099999994</v>
      </c>
      <c r="Q11" s="159">
        <f>13064462+117966026</f>
        <v>131030488</v>
      </c>
      <c r="R11" s="179">
        <v>23539895.23</v>
      </c>
    </row>
    <row r="12" spans="1:19" ht="15.75">
      <c r="A12" s="103" t="s">
        <v>61</v>
      </c>
      <c r="B12" s="111">
        <f t="shared" ref="B12:C12" si="15">SUM(B13:B18)</f>
        <v>843953446</v>
      </c>
      <c r="C12" s="111">
        <f t="shared" si="15"/>
        <v>958406856</v>
      </c>
      <c r="D12" s="111">
        <f t="shared" ref="D12" si="16">SUM(D13:D18)</f>
        <v>977959024</v>
      </c>
      <c r="E12" s="111">
        <f t="shared" ref="E12" si="17">SUM(E13:E18)</f>
        <v>1073121422</v>
      </c>
      <c r="F12" s="111">
        <f t="shared" ref="F12:P12" si="18">SUM(F13:F18)</f>
        <v>9483463.1999999993</v>
      </c>
      <c r="G12" s="111">
        <f t="shared" si="18"/>
        <v>18638196.289999999</v>
      </c>
      <c r="H12" s="111">
        <f t="shared" si="18"/>
        <v>29421078.130000003</v>
      </c>
      <c r="I12" s="111">
        <f t="shared" si="18"/>
        <v>40254495.769999996</v>
      </c>
      <c r="J12" s="111">
        <f t="shared" si="18"/>
        <v>51383078.260000005</v>
      </c>
      <c r="K12" s="111">
        <f t="shared" si="18"/>
        <v>65613221.619999997</v>
      </c>
      <c r="L12" s="111">
        <f t="shared" si="18"/>
        <v>77389169.760000005</v>
      </c>
      <c r="M12" s="111">
        <f t="shared" si="18"/>
        <v>89107241.980000004</v>
      </c>
      <c r="N12" s="111">
        <f t="shared" si="18"/>
        <v>100611658.11</v>
      </c>
      <c r="O12" s="111">
        <f t="shared" si="18"/>
        <v>112741776.68000001</v>
      </c>
      <c r="P12" s="111">
        <f t="shared" si="18"/>
        <v>124649253.16</v>
      </c>
      <c r="Q12" s="111">
        <f t="shared" ref="Q12:S12" si="19">SUM(Q13:Q18)</f>
        <v>1169211689</v>
      </c>
      <c r="R12" s="111">
        <f t="shared" si="19"/>
        <v>937266629.63999999</v>
      </c>
      <c r="S12" s="111">
        <f t="shared" si="19"/>
        <v>0</v>
      </c>
    </row>
    <row r="13" spans="1:19">
      <c r="A13" s="104" t="s">
        <v>62</v>
      </c>
      <c r="B13" s="134">
        <v>753948946</v>
      </c>
      <c r="C13" s="137">
        <v>901581980</v>
      </c>
      <c r="D13" s="130">
        <v>973128864</v>
      </c>
      <c r="E13" s="145">
        <v>1073121422</v>
      </c>
      <c r="F13" s="145">
        <v>8094950.2800000003</v>
      </c>
      <c r="G13" s="155">
        <v>15691200.5</v>
      </c>
      <c r="H13" s="155">
        <v>24144198.280000001</v>
      </c>
      <c r="I13" s="155">
        <v>32447057.879999999</v>
      </c>
      <c r="J13" s="155">
        <v>41002068.600000001</v>
      </c>
      <c r="K13" s="155">
        <v>49618864.909999996</v>
      </c>
      <c r="L13" s="155">
        <v>58787500.75</v>
      </c>
      <c r="M13" s="155">
        <v>68098225.640000001</v>
      </c>
      <c r="N13" s="155">
        <v>77149835.140000001</v>
      </c>
      <c r="O13" s="155">
        <v>86658820.219999999</v>
      </c>
      <c r="P13" s="155">
        <v>96015043.260000005</v>
      </c>
      <c r="Q13" s="155">
        <v>1169211689</v>
      </c>
      <c r="R13" s="175">
        <v>937266629.63999999</v>
      </c>
    </row>
    <row r="14" spans="1:19">
      <c r="A14" s="104" t="s">
        <v>63</v>
      </c>
      <c r="B14" s="133"/>
      <c r="C14" s="137">
        <v>0</v>
      </c>
      <c r="D14" s="130">
        <v>0</v>
      </c>
      <c r="E14" s="146"/>
      <c r="F14" s="146">
        <v>0</v>
      </c>
      <c r="G14" s="156">
        <v>0</v>
      </c>
      <c r="H14" s="156">
        <v>0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/>
      <c r="R14" s="176">
        <v>0</v>
      </c>
    </row>
    <row r="15" spans="1:19">
      <c r="A15" s="104" t="s">
        <v>64</v>
      </c>
      <c r="B15" s="133"/>
      <c r="C15" s="138"/>
      <c r="D15" s="130"/>
      <c r="E15" s="146"/>
      <c r="F15" s="146">
        <v>0</v>
      </c>
      <c r="G15" s="156">
        <v>0</v>
      </c>
      <c r="H15" s="156">
        <v>0</v>
      </c>
      <c r="I15" s="156">
        <v>0</v>
      </c>
      <c r="J15" s="156">
        <v>0</v>
      </c>
      <c r="K15" s="156">
        <v>0</v>
      </c>
      <c r="L15" s="156">
        <v>0</v>
      </c>
      <c r="M15" s="156">
        <v>0</v>
      </c>
      <c r="N15" s="156">
        <v>0</v>
      </c>
      <c r="O15" s="156">
        <v>0</v>
      </c>
      <c r="P15" s="156">
        <v>0</v>
      </c>
      <c r="Q15" s="156"/>
      <c r="R15" s="176">
        <v>0</v>
      </c>
    </row>
    <row r="16" spans="1:19">
      <c r="A16" s="104" t="s">
        <v>65</v>
      </c>
      <c r="B16" s="134">
        <v>13048759</v>
      </c>
      <c r="C16" s="137">
        <v>56330097</v>
      </c>
      <c r="D16" s="130">
        <v>4830160</v>
      </c>
      <c r="E16" s="147"/>
      <c r="F16" s="146">
        <v>0</v>
      </c>
      <c r="G16" s="156">
        <v>0</v>
      </c>
      <c r="H16" s="156">
        <v>0</v>
      </c>
      <c r="I16" s="156">
        <v>0</v>
      </c>
      <c r="J16" s="156">
        <v>0</v>
      </c>
      <c r="K16" s="156">
        <v>0</v>
      </c>
      <c r="L16" s="156">
        <v>0</v>
      </c>
      <c r="M16" s="156">
        <v>0</v>
      </c>
      <c r="N16" s="156">
        <v>0</v>
      </c>
      <c r="O16" s="156">
        <v>0</v>
      </c>
      <c r="P16" s="156">
        <v>0</v>
      </c>
      <c r="Q16" s="156"/>
      <c r="R16" s="176">
        <v>0</v>
      </c>
    </row>
    <row r="17" spans="1:19">
      <c r="A17" s="104" t="s">
        <v>66</v>
      </c>
      <c r="B17" s="133"/>
      <c r="C17" s="137"/>
      <c r="D17" s="129"/>
      <c r="E17" s="146"/>
      <c r="F17" s="147">
        <v>1376472.92</v>
      </c>
      <c r="G17" s="157">
        <v>2924815.79</v>
      </c>
      <c r="H17" s="157">
        <v>5243139.8499999996</v>
      </c>
      <c r="I17" s="157">
        <v>7764907.8899999997</v>
      </c>
      <c r="J17" s="157">
        <v>10315879.66</v>
      </c>
      <c r="K17" s="157">
        <v>15894036.710000001</v>
      </c>
      <c r="L17" s="157">
        <v>18447299.010000002</v>
      </c>
      <c r="M17" s="157">
        <v>20752996.34</v>
      </c>
      <c r="N17" s="157">
        <v>23190292.969999999</v>
      </c>
      <c r="O17" s="157">
        <v>25795836.460000001</v>
      </c>
      <c r="P17" s="157">
        <v>28327969.899999999</v>
      </c>
      <c r="Q17" s="157"/>
      <c r="R17" s="176">
        <v>0</v>
      </c>
    </row>
    <row r="18" spans="1:19">
      <c r="A18" s="104" t="s">
        <v>67</v>
      </c>
      <c r="B18" s="134">
        <v>76955741</v>
      </c>
      <c r="C18" s="137">
        <v>494779</v>
      </c>
      <c r="D18" s="129"/>
      <c r="E18" s="146"/>
      <c r="F18" s="147">
        <v>12040</v>
      </c>
      <c r="G18" s="157">
        <v>22180</v>
      </c>
      <c r="H18" s="157">
        <v>33740</v>
      </c>
      <c r="I18" s="157">
        <v>42530</v>
      </c>
      <c r="J18" s="157">
        <v>65130</v>
      </c>
      <c r="K18" s="157">
        <v>100320</v>
      </c>
      <c r="L18" s="157">
        <v>154370</v>
      </c>
      <c r="M18" s="157">
        <v>256020</v>
      </c>
      <c r="N18" s="157">
        <v>271530</v>
      </c>
      <c r="O18" s="157">
        <v>287120</v>
      </c>
      <c r="P18" s="157">
        <v>306240</v>
      </c>
      <c r="Q18" s="157"/>
      <c r="R18" s="176">
        <v>0</v>
      </c>
    </row>
    <row r="19" spans="1:19" ht="15.75">
      <c r="A19" s="103" t="s">
        <v>68</v>
      </c>
      <c r="B19" s="111">
        <f>B3-B12</f>
        <v>538638070</v>
      </c>
      <c r="C19" s="111">
        <f t="shared" ref="C19:D19" si="20">C3-C12</f>
        <v>560801005</v>
      </c>
      <c r="D19" s="111">
        <f t="shared" si="20"/>
        <v>634203575</v>
      </c>
      <c r="E19" s="111">
        <f t="shared" ref="E19" si="21">E3-E12</f>
        <v>659606046</v>
      </c>
      <c r="F19" s="111">
        <f t="shared" ref="F19:P19" si="22">F3-F12</f>
        <v>52786154.950000003</v>
      </c>
      <c r="G19" s="111">
        <f t="shared" si="22"/>
        <v>105815303.31</v>
      </c>
      <c r="H19" s="111">
        <f t="shared" si="22"/>
        <v>154257754.28999999</v>
      </c>
      <c r="I19" s="111">
        <f t="shared" si="22"/>
        <v>207314244.83999997</v>
      </c>
      <c r="J19" s="111">
        <f t="shared" si="22"/>
        <v>255896706.86000001</v>
      </c>
      <c r="K19" s="111">
        <f t="shared" si="22"/>
        <v>385733283.89999998</v>
      </c>
      <c r="L19" s="111">
        <f t="shared" si="22"/>
        <v>440434261.32000005</v>
      </c>
      <c r="M19" s="111">
        <f t="shared" si="22"/>
        <v>492558996.57999992</v>
      </c>
      <c r="N19" s="111">
        <f t="shared" si="22"/>
        <v>543121186.56999993</v>
      </c>
      <c r="O19" s="111">
        <f t="shared" si="22"/>
        <v>595224815.43000007</v>
      </c>
      <c r="P19" s="111">
        <f t="shared" si="22"/>
        <v>650865563.63999999</v>
      </c>
      <c r="Q19" s="111">
        <f t="shared" ref="Q19" si="23">Q3-Q12</f>
        <v>870242247</v>
      </c>
      <c r="R19" s="111">
        <f t="shared" ref="R19:S19" si="24">R3-R12</f>
        <v>454183341.63</v>
      </c>
      <c r="S19" s="111">
        <f t="shared" si="24"/>
        <v>0</v>
      </c>
    </row>
    <row r="20" spans="1:19" ht="15.75">
      <c r="A20" s="103" t="s">
        <v>69</v>
      </c>
      <c r="B20" s="111">
        <f>B21-B22</f>
        <v>10794159</v>
      </c>
      <c r="C20" s="111">
        <f t="shared" ref="C20:D20" si="25">C21-C22</f>
        <v>77619068</v>
      </c>
      <c r="D20" s="111">
        <f t="shared" si="25"/>
        <v>82224569</v>
      </c>
      <c r="E20" s="111">
        <f t="shared" ref="E20" si="26">E21-E22</f>
        <v>-12028880</v>
      </c>
      <c r="F20" s="111">
        <f t="shared" ref="F20:P20" si="27">F21-F22</f>
        <v>5922516.6500000004</v>
      </c>
      <c r="G20" s="111">
        <f t="shared" si="27"/>
        <v>12573578.73</v>
      </c>
      <c r="H20" s="111">
        <f t="shared" si="27"/>
        <v>12633946.609999999</v>
      </c>
      <c r="I20" s="111">
        <f t="shared" si="27"/>
        <v>16809753.920000002</v>
      </c>
      <c r="J20" s="111">
        <f t="shared" si="27"/>
        <v>23086593.510000002</v>
      </c>
      <c r="K20" s="111">
        <f t="shared" si="27"/>
        <v>20258445.370000001</v>
      </c>
      <c r="L20" s="111">
        <f t="shared" si="27"/>
        <v>29026559.91</v>
      </c>
      <c r="M20" s="111">
        <f t="shared" si="27"/>
        <v>37649611.649999999</v>
      </c>
      <c r="N20" s="111">
        <f t="shared" si="27"/>
        <v>38729577.280000001</v>
      </c>
      <c r="O20" s="111">
        <f t="shared" si="27"/>
        <v>42090850.289999999</v>
      </c>
      <c r="P20" s="111">
        <f t="shared" si="27"/>
        <v>24115849.309999999</v>
      </c>
      <c r="Q20" s="111">
        <f t="shared" ref="Q20" si="28">Q21-Q22</f>
        <v>75242089</v>
      </c>
      <c r="R20" s="111">
        <f t="shared" ref="R20:S20" si="29">R21-R22</f>
        <v>92292443.700000003</v>
      </c>
      <c r="S20" s="111">
        <f t="shared" si="29"/>
        <v>0</v>
      </c>
    </row>
    <row r="21" spans="1:19">
      <c r="A21" s="104" t="s">
        <v>70</v>
      </c>
      <c r="B21" s="134">
        <v>10794159</v>
      </c>
      <c r="C21" s="137">
        <v>77619068</v>
      </c>
      <c r="D21" s="130">
        <f>76927858+5296711</f>
        <v>82224569</v>
      </c>
      <c r="E21" s="145"/>
      <c r="F21" s="145">
        <v>5922516.6500000004</v>
      </c>
      <c r="G21" s="155">
        <v>12573578.73</v>
      </c>
      <c r="H21" s="155">
        <v>12633946.609999999</v>
      </c>
      <c r="I21" s="155">
        <v>16809753.920000002</v>
      </c>
      <c r="J21" s="155">
        <v>23086593.510000002</v>
      </c>
      <c r="K21" s="155">
        <v>20258445.370000001</v>
      </c>
      <c r="L21" s="155">
        <v>29026559.91</v>
      </c>
      <c r="M21" s="155">
        <v>37649611.649999999</v>
      </c>
      <c r="N21" s="155">
        <v>38729577.280000001</v>
      </c>
      <c r="O21" s="155">
        <v>42090850.289999999</v>
      </c>
      <c r="P21" s="155">
        <v>24115849.309999999</v>
      </c>
      <c r="Q21" s="155">
        <v>75242089</v>
      </c>
      <c r="R21" s="175">
        <v>92292443.700000003</v>
      </c>
    </row>
    <row r="22" spans="1:19">
      <c r="A22" s="104" t="s">
        <v>71</v>
      </c>
      <c r="B22" s="133"/>
      <c r="C22" s="137"/>
      <c r="D22" s="129"/>
      <c r="E22" s="146">
        <v>12028880</v>
      </c>
      <c r="F22" s="146">
        <v>0</v>
      </c>
      <c r="G22" s="156">
        <v>0</v>
      </c>
      <c r="H22" s="156">
        <v>0</v>
      </c>
      <c r="I22" s="156">
        <v>0</v>
      </c>
      <c r="J22" s="156">
        <v>0</v>
      </c>
      <c r="K22" s="156">
        <v>0</v>
      </c>
      <c r="L22" s="156">
        <v>0</v>
      </c>
      <c r="M22" s="156">
        <v>0</v>
      </c>
      <c r="N22" s="156">
        <v>0</v>
      </c>
      <c r="O22" s="156">
        <v>0</v>
      </c>
      <c r="P22" s="156">
        <v>0</v>
      </c>
      <c r="Q22" s="156"/>
      <c r="R22" s="176">
        <v>0</v>
      </c>
    </row>
    <row r="23" spans="1:19" ht="15.75">
      <c r="A23" s="103" t="s">
        <v>72</v>
      </c>
      <c r="B23" s="111">
        <f t="shared" ref="B23:C23" si="30">SUM(B24:B28)</f>
        <v>256052185</v>
      </c>
      <c r="C23" s="111">
        <f t="shared" si="30"/>
        <v>225515632</v>
      </c>
      <c r="D23" s="111">
        <f t="shared" ref="D23" si="31">SUM(D24:D28)</f>
        <v>246706882</v>
      </c>
      <c r="E23" s="111">
        <f t="shared" ref="E23" si="32">SUM(E24:E28)</f>
        <v>283394414</v>
      </c>
      <c r="F23" s="111">
        <f t="shared" ref="F23:P23" si="33">SUM(F24:F28)</f>
        <v>35026107.409999996</v>
      </c>
      <c r="G23" s="111">
        <f t="shared" si="33"/>
        <v>69256069.900000006</v>
      </c>
      <c r="H23" s="111">
        <f t="shared" si="33"/>
        <v>103991132.88</v>
      </c>
      <c r="I23" s="111">
        <f t="shared" si="33"/>
        <v>140610362.54999998</v>
      </c>
      <c r="J23" s="111">
        <f t="shared" si="33"/>
        <v>174947270.83000001</v>
      </c>
      <c r="K23" s="111">
        <f t="shared" si="33"/>
        <v>211936241.78999999</v>
      </c>
      <c r="L23" s="111">
        <f t="shared" si="33"/>
        <v>247116122.59999999</v>
      </c>
      <c r="M23" s="111">
        <f t="shared" si="33"/>
        <v>281983219.38999999</v>
      </c>
      <c r="N23" s="111">
        <f t="shared" si="33"/>
        <v>325593446.89999998</v>
      </c>
      <c r="O23" s="111">
        <f t="shared" si="33"/>
        <v>363677855.16000003</v>
      </c>
      <c r="P23" s="111">
        <f t="shared" si="33"/>
        <v>402649861.5</v>
      </c>
      <c r="Q23" s="111">
        <f t="shared" ref="Q23:S23" si="34">SUM(Q24:Q28)</f>
        <v>433229952</v>
      </c>
      <c r="R23" s="111">
        <f t="shared" si="34"/>
        <v>276471260.16000003</v>
      </c>
      <c r="S23" s="111">
        <f t="shared" si="34"/>
        <v>0</v>
      </c>
    </row>
    <row r="24" spans="1:19">
      <c r="A24" s="104" t="s">
        <v>73</v>
      </c>
      <c r="B24" s="134">
        <v>116310633</v>
      </c>
      <c r="C24" s="137">
        <v>141612202</v>
      </c>
      <c r="D24" s="130">
        <v>131142601</v>
      </c>
      <c r="E24" s="145">
        <v>139929140</v>
      </c>
      <c r="F24" s="145">
        <v>19252022.890000001</v>
      </c>
      <c r="G24" s="155">
        <v>40059700.329999998</v>
      </c>
      <c r="H24" s="155">
        <v>60733588.530000001</v>
      </c>
      <c r="I24" s="155">
        <v>80581384.280000001</v>
      </c>
      <c r="J24" s="155">
        <v>100551828.17</v>
      </c>
      <c r="K24" s="155">
        <v>121074600.12</v>
      </c>
      <c r="L24" s="155">
        <v>141626250.41</v>
      </c>
      <c r="M24" s="155">
        <v>161697891.94999999</v>
      </c>
      <c r="N24" s="155">
        <v>187311753.75999999</v>
      </c>
      <c r="O24" s="155">
        <v>210106493.05000001</v>
      </c>
      <c r="P24" s="155">
        <v>232242376.18000001</v>
      </c>
      <c r="Q24" s="155">
        <v>180726290</v>
      </c>
      <c r="R24" s="175">
        <v>129255811.2</v>
      </c>
    </row>
    <row r="25" spans="1:19">
      <c r="A25" s="104" t="s">
        <v>74</v>
      </c>
      <c r="B25" s="134">
        <f>27447551+8911264</f>
        <v>36358815</v>
      </c>
      <c r="C25" s="138">
        <v>52063562</v>
      </c>
      <c r="D25" s="130">
        <v>28484915</v>
      </c>
      <c r="E25" s="147">
        <v>54936479</v>
      </c>
      <c r="F25" s="147">
        <v>2879549.05</v>
      </c>
      <c r="G25" s="157">
        <v>5297205.7699999996</v>
      </c>
      <c r="H25" s="157">
        <v>9879450.7699999996</v>
      </c>
      <c r="I25" s="157">
        <v>13273930.32</v>
      </c>
      <c r="J25" s="157">
        <v>15472656.869999999</v>
      </c>
      <c r="K25" s="157">
        <v>20133789.34</v>
      </c>
      <c r="L25" s="157">
        <v>23422474.809999999</v>
      </c>
      <c r="M25" s="157">
        <v>26308012.73</v>
      </c>
      <c r="N25" s="157">
        <v>31672495.100000001</v>
      </c>
      <c r="O25" s="157">
        <v>34381656.18</v>
      </c>
      <c r="P25" s="157">
        <v>38231085.840000004</v>
      </c>
      <c r="Q25" s="157">
        <v>77402061</v>
      </c>
      <c r="R25" s="177">
        <v>49487708.829999998</v>
      </c>
    </row>
    <row r="26" spans="1:19">
      <c r="A26" s="104" t="s">
        <v>75</v>
      </c>
      <c r="B26" s="130">
        <v>4949334</v>
      </c>
      <c r="C26" s="137">
        <v>5857222</v>
      </c>
      <c r="D26" s="130">
        <v>1004033</v>
      </c>
      <c r="E26" s="147">
        <f>209280+997132</f>
        <v>1206412</v>
      </c>
      <c r="F26" s="147">
        <v>1196345</v>
      </c>
      <c r="G26" s="157">
        <v>1485437</v>
      </c>
      <c r="H26" s="157">
        <v>1694127</v>
      </c>
      <c r="I26" s="157">
        <v>1803415</v>
      </c>
      <c r="J26" s="157">
        <v>2297725</v>
      </c>
      <c r="K26" s="157">
        <v>2700414.2</v>
      </c>
      <c r="L26" s="157">
        <v>2830302.2</v>
      </c>
      <c r="M26" s="157">
        <v>2864202.2</v>
      </c>
      <c r="N26" s="157">
        <v>3145138.2</v>
      </c>
      <c r="O26" s="157">
        <v>3783126.8</v>
      </c>
      <c r="P26" s="157">
        <v>4878726.8</v>
      </c>
      <c r="Q26" s="157"/>
      <c r="R26" s="177">
        <v>4997081.28</v>
      </c>
    </row>
    <row r="27" spans="1:19">
      <c r="A27" s="104" t="s">
        <v>76</v>
      </c>
      <c r="B27" s="130">
        <f>6686832+1385960</f>
        <v>8072792</v>
      </c>
      <c r="C27" s="137"/>
      <c r="D27" s="130">
        <f>10460179+3228985</f>
        <v>13689164</v>
      </c>
      <c r="E27" s="147">
        <f>2512705+11601121+54187</f>
        <v>14168013</v>
      </c>
      <c r="F27" s="147">
        <v>1115954.6499999999</v>
      </c>
      <c r="G27" s="157">
        <v>2239030.34</v>
      </c>
      <c r="H27" s="157">
        <v>3409782.95</v>
      </c>
      <c r="I27" s="157">
        <v>4560826.22</v>
      </c>
      <c r="J27" s="157">
        <v>5929143.5599999996</v>
      </c>
      <c r="K27" s="157">
        <v>7106195.1500000004</v>
      </c>
      <c r="L27" s="157">
        <v>8283246.7400000002</v>
      </c>
      <c r="M27" s="157">
        <v>9460298.3300000001</v>
      </c>
      <c r="N27" s="157">
        <v>10654793.92</v>
      </c>
      <c r="O27" s="157">
        <v>11953029.18</v>
      </c>
      <c r="P27" s="157">
        <v>13114603.41</v>
      </c>
      <c r="Q27" s="157">
        <f>3532739+17166019</f>
        <v>20698758</v>
      </c>
      <c r="R27" s="177">
        <v>24110446.460000001</v>
      </c>
    </row>
    <row r="28" spans="1:19">
      <c r="A28" s="104" t="s">
        <v>77</v>
      </c>
      <c r="B28" s="134">
        <f>23652930+14163845+901520+19361211+841673+1425058+10000000+294500+4339934+1697975+3906699+9775266</f>
        <v>90360611</v>
      </c>
      <c r="C28" s="137">
        <f>31839868-5857222</f>
        <v>25982646</v>
      </c>
      <c r="D28" s="130">
        <f>24317261-1004033+62762105-13689164</f>
        <v>72386169</v>
      </c>
      <c r="E28" s="147">
        <f>31546034+56982761-E27-E26</f>
        <v>73154370</v>
      </c>
      <c r="F28" s="147">
        <v>10582235.82</v>
      </c>
      <c r="G28" s="157">
        <v>20174696.460000001</v>
      </c>
      <c r="H28" s="157">
        <v>28274183.629999999</v>
      </c>
      <c r="I28" s="157">
        <v>40390806.729999997</v>
      </c>
      <c r="J28" s="157">
        <v>50695917.229999997</v>
      </c>
      <c r="K28" s="157">
        <v>60921242.979999997</v>
      </c>
      <c r="L28" s="157">
        <v>70953848.439999998</v>
      </c>
      <c r="M28" s="157">
        <v>81652814.180000007</v>
      </c>
      <c r="N28" s="157">
        <v>92809265.920000002</v>
      </c>
      <c r="O28" s="157">
        <v>103453549.95</v>
      </c>
      <c r="P28" s="157">
        <v>114183069.27</v>
      </c>
      <c r="Q28" s="157">
        <f>-25873262+119382944+3506637+9998561+2833407+179407+858834+32172064+1294251+10050000</f>
        <v>154402843</v>
      </c>
      <c r="R28" s="177">
        <v>68620212.390000001</v>
      </c>
    </row>
    <row r="29" spans="1:19" ht="15.75">
      <c r="A29" s="103" t="s">
        <v>78</v>
      </c>
      <c r="B29" s="111">
        <f>B19-B20-B23</f>
        <v>271791726</v>
      </c>
      <c r="C29" s="111">
        <f t="shared" ref="C29:D29" si="35">C19-C20-C23</f>
        <v>257666305</v>
      </c>
      <c r="D29" s="111">
        <f t="shared" si="35"/>
        <v>305272124</v>
      </c>
      <c r="E29" s="111">
        <f t="shared" ref="E29" si="36">E19-E20-E23</f>
        <v>388240512</v>
      </c>
      <c r="F29" s="111">
        <f t="shared" ref="F29:P29" si="37">F19-F20-F23</f>
        <v>11837530.890000008</v>
      </c>
      <c r="G29" s="111">
        <f t="shared" si="37"/>
        <v>23985654.679999992</v>
      </c>
      <c r="H29" s="111">
        <f t="shared" si="37"/>
        <v>37632674.800000012</v>
      </c>
      <c r="I29" s="111">
        <f t="shared" si="37"/>
        <v>49894128.369999975</v>
      </c>
      <c r="J29" s="111">
        <f t="shared" si="37"/>
        <v>57862842.520000011</v>
      </c>
      <c r="K29" s="111">
        <f t="shared" si="37"/>
        <v>153538596.73999998</v>
      </c>
      <c r="L29" s="111">
        <f t="shared" si="37"/>
        <v>164291578.81000003</v>
      </c>
      <c r="M29" s="111">
        <f t="shared" si="37"/>
        <v>172926165.53999996</v>
      </c>
      <c r="N29" s="111">
        <f t="shared" si="37"/>
        <v>178798162.38999999</v>
      </c>
      <c r="O29" s="111">
        <f t="shared" si="37"/>
        <v>189456109.98000008</v>
      </c>
      <c r="P29" s="111">
        <f t="shared" si="37"/>
        <v>224099852.83000004</v>
      </c>
      <c r="Q29" s="111">
        <f t="shared" ref="Q29" si="38">Q19-Q20-Q23</f>
        <v>361770206</v>
      </c>
      <c r="R29" s="111">
        <f t="shared" ref="R29:S29" si="39">R19-R20-R23</f>
        <v>85419637.769999981</v>
      </c>
      <c r="S29" s="111">
        <f t="shared" si="39"/>
        <v>0</v>
      </c>
    </row>
    <row r="30" spans="1:19" ht="15.75">
      <c r="A30" s="103" t="s">
        <v>79</v>
      </c>
      <c r="B30" s="111">
        <f>B31-B32</f>
        <v>0</v>
      </c>
      <c r="C30" s="111">
        <f t="shared" ref="C30:D30" si="40">C31-C32</f>
        <v>0</v>
      </c>
      <c r="D30" s="111">
        <f t="shared" si="40"/>
        <v>0</v>
      </c>
      <c r="E30" s="111">
        <f t="shared" ref="E30" si="41">E31-E32</f>
        <v>0</v>
      </c>
      <c r="F30" s="111">
        <f t="shared" ref="F30:P30" si="42">F31-F32</f>
        <v>3278852.95</v>
      </c>
      <c r="G30" s="111">
        <f t="shared" si="42"/>
        <v>5933775.79</v>
      </c>
      <c r="H30" s="111">
        <f t="shared" si="42"/>
        <v>10156526.24</v>
      </c>
      <c r="I30" s="111">
        <f t="shared" si="42"/>
        <v>13749493.310000001</v>
      </c>
      <c r="J30" s="111">
        <f t="shared" si="42"/>
        <v>16590839.719999999</v>
      </c>
      <c r="K30" s="111">
        <f t="shared" si="42"/>
        <v>19177597.34</v>
      </c>
      <c r="L30" s="111">
        <f t="shared" si="42"/>
        <v>21833188.050000001</v>
      </c>
      <c r="M30" s="111">
        <f t="shared" si="42"/>
        <v>25812080.27</v>
      </c>
      <c r="N30" s="111">
        <f t="shared" si="42"/>
        <v>28881854.300000001</v>
      </c>
      <c r="O30" s="111">
        <f t="shared" si="42"/>
        <v>32239021.370000001</v>
      </c>
      <c r="P30" s="111">
        <f t="shared" si="42"/>
        <v>36515772.75</v>
      </c>
      <c r="Q30" s="111">
        <f t="shared" ref="Q30" si="43">Q31-Q32</f>
        <v>0</v>
      </c>
      <c r="R30" s="111">
        <f t="shared" ref="R30:S30" si="44">R31-R32</f>
        <v>0</v>
      </c>
      <c r="S30" s="111">
        <f t="shared" si="44"/>
        <v>0</v>
      </c>
    </row>
    <row r="31" spans="1:19">
      <c r="A31" s="104" t="s">
        <v>80</v>
      </c>
      <c r="B31" s="133"/>
      <c r="C31" s="137"/>
      <c r="D31" s="129"/>
      <c r="E31" s="144">
        <v>0</v>
      </c>
      <c r="F31" s="145">
        <v>3928411.06</v>
      </c>
      <c r="G31" s="155">
        <v>6880814.6699999999</v>
      </c>
      <c r="H31" s="155">
        <v>11458403.57</v>
      </c>
      <c r="I31" s="155">
        <v>15330562.75</v>
      </c>
      <c r="J31" s="155">
        <v>18552042.27</v>
      </c>
      <c r="K31" s="155">
        <v>21497966.98</v>
      </c>
      <c r="L31" s="155">
        <v>24474093.800000001</v>
      </c>
      <c r="M31" s="155">
        <v>29111587.710000001</v>
      </c>
      <c r="N31" s="155">
        <v>32666452.850000001</v>
      </c>
      <c r="O31" s="155">
        <v>36467262.030000001</v>
      </c>
      <c r="P31" s="155">
        <v>41334288.520000003</v>
      </c>
      <c r="Q31" s="155"/>
      <c r="R31" s="174">
        <v>0</v>
      </c>
    </row>
    <row r="32" spans="1:19">
      <c r="A32" s="104" t="s">
        <v>81</v>
      </c>
      <c r="B32" s="133"/>
      <c r="C32" s="137"/>
      <c r="D32" s="129"/>
      <c r="E32" s="146">
        <v>0</v>
      </c>
      <c r="F32" s="147">
        <v>649558.11</v>
      </c>
      <c r="G32" s="157">
        <v>947038.88</v>
      </c>
      <c r="H32" s="157">
        <v>1301877.33</v>
      </c>
      <c r="I32" s="157">
        <v>1581069.44</v>
      </c>
      <c r="J32" s="157">
        <v>1961202.55</v>
      </c>
      <c r="K32" s="157">
        <v>2320369.64</v>
      </c>
      <c r="L32" s="157">
        <v>2640905.75</v>
      </c>
      <c r="M32" s="157">
        <v>3299507.44</v>
      </c>
      <c r="N32" s="157">
        <v>3784598.55</v>
      </c>
      <c r="O32" s="157">
        <v>4228240.66</v>
      </c>
      <c r="P32" s="157">
        <v>4818515.7699999996</v>
      </c>
      <c r="Q32" s="157"/>
      <c r="R32" s="176">
        <v>0</v>
      </c>
    </row>
    <row r="33" spans="1:19" ht="15.75">
      <c r="A33" s="105" t="s">
        <v>82</v>
      </c>
      <c r="B33" s="116">
        <f>B29+B30</f>
        <v>271791726</v>
      </c>
      <c r="C33" s="116">
        <f t="shared" ref="C33" si="45">C29+C30</f>
        <v>257666305</v>
      </c>
      <c r="D33" s="116">
        <f t="shared" ref="D33" si="46">D29+D30</f>
        <v>305272124</v>
      </c>
      <c r="E33" s="116">
        <f t="shared" ref="E33" si="47">E29+E30</f>
        <v>388240512</v>
      </c>
      <c r="F33" s="116">
        <f t="shared" ref="F33:P33" si="48">F29+F30</f>
        <v>15116383.840000007</v>
      </c>
      <c r="G33" s="116">
        <f t="shared" si="48"/>
        <v>29919430.469999991</v>
      </c>
      <c r="H33" s="116">
        <f t="shared" si="48"/>
        <v>47789201.040000014</v>
      </c>
      <c r="I33" s="116">
        <f t="shared" si="48"/>
        <v>63643621.679999977</v>
      </c>
      <c r="J33" s="116">
        <f t="shared" si="48"/>
        <v>74453682.24000001</v>
      </c>
      <c r="K33" s="116">
        <f t="shared" si="48"/>
        <v>172716194.07999998</v>
      </c>
      <c r="L33" s="116">
        <f t="shared" si="48"/>
        <v>186124766.86000004</v>
      </c>
      <c r="M33" s="116">
        <f t="shared" si="48"/>
        <v>198738245.80999997</v>
      </c>
      <c r="N33" s="116">
        <f t="shared" si="48"/>
        <v>207680016.69</v>
      </c>
      <c r="O33" s="116">
        <f t="shared" si="48"/>
        <v>221695131.35000008</v>
      </c>
      <c r="P33" s="116">
        <f t="shared" si="48"/>
        <v>260615625.58000004</v>
      </c>
      <c r="Q33" s="116">
        <f t="shared" ref="Q33:S33" si="49">Q29+Q30</f>
        <v>361770206</v>
      </c>
      <c r="R33" s="116">
        <f t="shared" si="49"/>
        <v>85419637.769999981</v>
      </c>
      <c r="S33" s="116">
        <f t="shared" si="49"/>
        <v>0</v>
      </c>
    </row>
    <row r="34" spans="1:19">
      <c r="A34" s="104" t="s">
        <v>83</v>
      </c>
      <c r="B34" s="133"/>
      <c r="C34" s="137">
        <v>54054628</v>
      </c>
      <c r="D34" s="130">
        <v>67398695</v>
      </c>
      <c r="E34" s="145"/>
      <c r="F34" s="144">
        <v>0</v>
      </c>
      <c r="G34" s="154">
        <v>0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92945552</v>
      </c>
      <c r="R34" s="174">
        <v>0</v>
      </c>
    </row>
    <row r="35" spans="1:19" ht="15.75">
      <c r="A35" s="103" t="s">
        <v>84</v>
      </c>
      <c r="B35" s="111">
        <f>B33-B34</f>
        <v>271791726</v>
      </c>
      <c r="C35" s="111">
        <f t="shared" ref="C35:D35" si="50">C33-C34</f>
        <v>203611677</v>
      </c>
      <c r="D35" s="111">
        <f t="shared" si="50"/>
        <v>237873429</v>
      </c>
      <c r="E35" s="111">
        <f t="shared" ref="E35" si="51">E33-E34</f>
        <v>388240512</v>
      </c>
      <c r="F35" s="111">
        <f t="shared" ref="F35:P35" si="52">F33-F34</f>
        <v>15116383.840000007</v>
      </c>
      <c r="G35" s="111">
        <f t="shared" si="52"/>
        <v>29919430.469999991</v>
      </c>
      <c r="H35" s="111">
        <f t="shared" si="52"/>
        <v>47789201.040000014</v>
      </c>
      <c r="I35" s="111">
        <f t="shared" si="52"/>
        <v>63643621.679999977</v>
      </c>
      <c r="J35" s="111">
        <f t="shared" si="52"/>
        <v>74453682.24000001</v>
      </c>
      <c r="K35" s="111">
        <f t="shared" si="52"/>
        <v>172716194.07999998</v>
      </c>
      <c r="L35" s="111">
        <f t="shared" si="52"/>
        <v>186124766.86000004</v>
      </c>
      <c r="M35" s="111">
        <f t="shared" si="52"/>
        <v>198738245.80999997</v>
      </c>
      <c r="N35" s="111">
        <f t="shared" si="52"/>
        <v>207680016.69</v>
      </c>
      <c r="O35" s="111">
        <f t="shared" si="52"/>
        <v>221695131.35000008</v>
      </c>
      <c r="P35" s="111">
        <f t="shared" si="52"/>
        <v>260615625.58000004</v>
      </c>
      <c r="Q35" s="111">
        <f t="shared" ref="Q35:S35" si="53">Q33-Q34</f>
        <v>268824654</v>
      </c>
      <c r="R35" s="111">
        <f t="shared" si="53"/>
        <v>85419637.769999981</v>
      </c>
      <c r="S35" s="111">
        <f t="shared" si="53"/>
        <v>0</v>
      </c>
    </row>
    <row r="36" spans="1:19">
      <c r="A36" s="104" t="s">
        <v>85</v>
      </c>
      <c r="B36" s="133"/>
      <c r="C36" s="138"/>
      <c r="D36" s="129"/>
      <c r="E36" s="144">
        <v>83908629</v>
      </c>
      <c r="F36" s="144">
        <v>0</v>
      </c>
      <c r="G36" s="154">
        <v>0</v>
      </c>
      <c r="H36" s="154">
        <v>0</v>
      </c>
      <c r="I36" s="154">
        <v>0</v>
      </c>
      <c r="J36" s="154">
        <v>0</v>
      </c>
      <c r="K36" s="154">
        <v>0</v>
      </c>
      <c r="L36" s="154">
        <v>0</v>
      </c>
      <c r="M36" s="154">
        <v>0</v>
      </c>
      <c r="N36" s="154">
        <v>0</v>
      </c>
      <c r="O36" s="154">
        <v>0</v>
      </c>
      <c r="P36" s="154">
        <v>0</v>
      </c>
      <c r="Q36" s="154"/>
      <c r="R36" s="174">
        <v>0</v>
      </c>
    </row>
    <row r="37" spans="1:19" ht="15.75">
      <c r="A37" s="103" t="s">
        <v>86</v>
      </c>
      <c r="B37" s="111">
        <f>B35-B36</f>
        <v>271791726</v>
      </c>
      <c r="C37" s="111">
        <f t="shared" ref="C37:D37" si="54">C35-C36</f>
        <v>203611677</v>
      </c>
      <c r="D37" s="111">
        <f t="shared" si="54"/>
        <v>237873429</v>
      </c>
      <c r="E37" s="111">
        <f t="shared" ref="E37" si="55">E35-E36</f>
        <v>304331883</v>
      </c>
      <c r="F37" s="111">
        <f t="shared" ref="F37:P37" si="56">F35-F36</f>
        <v>15116383.840000007</v>
      </c>
      <c r="G37" s="111">
        <f t="shared" si="56"/>
        <v>29919430.469999991</v>
      </c>
      <c r="H37" s="111">
        <f t="shared" si="56"/>
        <v>47789201.040000014</v>
      </c>
      <c r="I37" s="111">
        <f t="shared" si="56"/>
        <v>63643621.679999977</v>
      </c>
      <c r="J37" s="111">
        <f t="shared" si="56"/>
        <v>74453682.24000001</v>
      </c>
      <c r="K37" s="111">
        <f t="shared" si="56"/>
        <v>172716194.07999998</v>
      </c>
      <c r="L37" s="111">
        <f t="shared" si="56"/>
        <v>186124766.86000004</v>
      </c>
      <c r="M37" s="111">
        <f t="shared" si="56"/>
        <v>198738245.80999997</v>
      </c>
      <c r="N37" s="111">
        <f t="shared" si="56"/>
        <v>207680016.69</v>
      </c>
      <c r="O37" s="111">
        <f t="shared" si="56"/>
        <v>221695131.35000008</v>
      </c>
      <c r="P37" s="111">
        <f t="shared" si="56"/>
        <v>260615625.58000004</v>
      </c>
      <c r="Q37" s="111">
        <f t="shared" ref="Q37:S37" si="57">Q35-Q36</f>
        <v>268824654</v>
      </c>
      <c r="R37" s="111">
        <f t="shared" si="57"/>
        <v>85419637.769999981</v>
      </c>
      <c r="S37" s="111">
        <f t="shared" si="57"/>
        <v>0</v>
      </c>
    </row>
    <row r="38" spans="1:19"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</row>
    <row r="39" spans="1:19" ht="15.75">
      <c r="A39" t="s">
        <v>87</v>
      </c>
      <c r="B39" s="119">
        <f>B12+B23</f>
        <v>1100005631</v>
      </c>
      <c r="C39" s="119">
        <f t="shared" ref="C39" si="58">C12+C23</f>
        <v>1183922488</v>
      </c>
      <c r="D39" s="119">
        <f t="shared" ref="D39" si="59">D12+D23</f>
        <v>1224665906</v>
      </c>
      <c r="E39" s="119">
        <f t="shared" ref="E39" si="60">E12+E23</f>
        <v>1356515836</v>
      </c>
      <c r="F39" s="119">
        <f t="shared" ref="F39:P39" si="61">F12+F23</f>
        <v>44509570.609999999</v>
      </c>
      <c r="G39" s="119">
        <f t="shared" si="61"/>
        <v>87894266.189999998</v>
      </c>
      <c r="H39" s="119">
        <f t="shared" si="61"/>
        <v>133412211.00999999</v>
      </c>
      <c r="I39" s="119">
        <f t="shared" si="61"/>
        <v>180864858.31999999</v>
      </c>
      <c r="J39" s="119">
        <f t="shared" si="61"/>
        <v>226330349.09000003</v>
      </c>
      <c r="K39" s="119">
        <f t="shared" si="61"/>
        <v>277549463.40999997</v>
      </c>
      <c r="L39" s="119">
        <f t="shared" si="61"/>
        <v>324505292.36000001</v>
      </c>
      <c r="M39" s="119">
        <f t="shared" si="61"/>
        <v>371090461.37</v>
      </c>
      <c r="N39" s="119">
        <f t="shared" si="61"/>
        <v>426205105.00999999</v>
      </c>
      <c r="O39" s="119">
        <f t="shared" si="61"/>
        <v>476419631.84000003</v>
      </c>
      <c r="P39" s="119">
        <f t="shared" si="61"/>
        <v>527299114.65999997</v>
      </c>
      <c r="Q39" s="119">
        <f t="shared" ref="Q39:S39" si="62">Q12+Q23</f>
        <v>1602441641</v>
      </c>
      <c r="R39" s="119">
        <f t="shared" si="62"/>
        <v>1213737889.8</v>
      </c>
      <c r="S39" s="119">
        <f t="shared" si="62"/>
        <v>0</v>
      </c>
    </row>
    <row r="44" spans="1:19"/>
  </sheetData>
  <phoneticPr fontId="3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1"/>
  <sheetViews>
    <sheetView tabSelected="1" workbookViewId="0">
      <pane xSplit="3" ySplit="2" topLeftCell="AT3" activePane="bottomRight" state="frozen"/>
      <selection pane="bottomRight" activeCell="BE7" sqref="BE7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4" max="7" width="12.5703125" hidden="1" customWidth="1"/>
    <col min="8" max="16" width="9.5703125" hidden="1" customWidth="1"/>
    <col min="17" max="17" width="10.42578125" hidden="1" customWidth="1"/>
    <col min="18" max="19" width="9.5703125" hidden="1" customWidth="1"/>
    <col min="20" max="20" width="13.7109375" hidden="1" customWidth="1"/>
    <col min="21" max="27" width="9.5703125" hidden="1" customWidth="1"/>
    <col min="28" max="45" width="0" hidden="1" customWidth="1"/>
    <col min="46" max="46" width="12.140625" bestFit="1" customWidth="1"/>
    <col min="55" max="55" width="9.85546875" customWidth="1"/>
  </cols>
  <sheetData>
    <row r="1" spans="1:55" ht="18.600000000000001" thickBot="1">
      <c r="A1" s="183" t="s">
        <v>88</v>
      </c>
      <c r="B1" s="183"/>
    </row>
    <row r="2" spans="1:55">
      <c r="A2" s="27"/>
      <c r="B2" s="28"/>
      <c r="C2" s="28"/>
      <c r="D2" s="29" t="s">
        <v>89</v>
      </c>
      <c r="E2" s="29" t="s">
        <v>90</v>
      </c>
      <c r="F2" s="29" t="s">
        <v>91</v>
      </c>
      <c r="G2" s="29" t="s">
        <v>92</v>
      </c>
      <c r="H2" s="29">
        <v>42736</v>
      </c>
      <c r="I2" s="29">
        <v>42767</v>
      </c>
      <c r="J2" s="29">
        <v>42795</v>
      </c>
      <c r="K2" s="29">
        <v>42826</v>
      </c>
      <c r="L2" s="29">
        <v>42856</v>
      </c>
      <c r="M2" s="29">
        <v>42887</v>
      </c>
      <c r="N2" s="29">
        <v>42917</v>
      </c>
      <c r="O2" s="29">
        <v>42948</v>
      </c>
      <c r="P2" s="29">
        <v>42979</v>
      </c>
      <c r="Q2" s="29">
        <v>43009</v>
      </c>
      <c r="R2" s="29">
        <v>43040</v>
      </c>
      <c r="S2" s="29">
        <v>43070</v>
      </c>
      <c r="T2" s="29" t="s">
        <v>93</v>
      </c>
      <c r="U2" s="29">
        <v>43101</v>
      </c>
      <c r="V2" s="29">
        <v>43132</v>
      </c>
      <c r="W2" s="29">
        <v>43160</v>
      </c>
      <c r="X2" s="29">
        <v>43191</v>
      </c>
      <c r="Y2" s="29">
        <v>43221</v>
      </c>
      <c r="Z2" s="29">
        <v>43252</v>
      </c>
      <c r="AA2" s="29">
        <v>43282</v>
      </c>
      <c r="AB2" s="29">
        <v>43313</v>
      </c>
      <c r="AC2" s="29">
        <v>43344</v>
      </c>
      <c r="AD2" s="29">
        <v>43374</v>
      </c>
      <c r="AE2" s="29">
        <v>43405</v>
      </c>
      <c r="AF2" s="29">
        <v>43435</v>
      </c>
      <c r="AG2" s="29" t="s">
        <v>94</v>
      </c>
      <c r="AH2" s="29">
        <v>43466</v>
      </c>
      <c r="AI2" s="29">
        <v>43497</v>
      </c>
      <c r="AJ2" s="29">
        <v>43525</v>
      </c>
      <c r="AK2" s="29">
        <v>43556</v>
      </c>
      <c r="AL2" s="29">
        <v>43586</v>
      </c>
      <c r="AM2" s="29">
        <v>43617</v>
      </c>
      <c r="AN2" s="29">
        <v>43647</v>
      </c>
      <c r="AO2" s="29">
        <v>43678</v>
      </c>
      <c r="AP2" s="29">
        <v>43709</v>
      </c>
      <c r="AQ2" s="29">
        <v>43739</v>
      </c>
      <c r="AR2" s="29">
        <v>43770</v>
      </c>
      <c r="AS2" s="29">
        <v>43800</v>
      </c>
      <c r="AT2" s="29" t="s">
        <v>95</v>
      </c>
      <c r="AU2" s="29">
        <v>43831</v>
      </c>
      <c r="AV2" s="29">
        <v>43862</v>
      </c>
      <c r="AW2" s="29">
        <v>43891</v>
      </c>
      <c r="AX2" s="29">
        <v>43922</v>
      </c>
      <c r="AY2" s="29">
        <v>43952</v>
      </c>
      <c r="AZ2" s="29">
        <v>43983</v>
      </c>
      <c r="BA2" s="29">
        <v>44013</v>
      </c>
      <c r="BB2" s="29">
        <v>44044</v>
      </c>
      <c r="BC2" s="29">
        <v>44075</v>
      </c>
    </row>
    <row r="3" spans="1:55" ht="15">
      <c r="A3" s="184" t="s">
        <v>96</v>
      </c>
      <c r="B3" s="2" t="s">
        <v>97</v>
      </c>
      <c r="C3" s="5" t="s">
        <v>98</v>
      </c>
      <c r="D3" s="106" t="e">
        <f>(('Evolutive SFP'!#REF!+'Evolutive SFP'!#REF!+'Evolutive SFP'!#REF!+'Evolutive SFP'!#REF!+'Evolutive SFP'!#REF!+'Evolutive SFP'!#REF!)-'Evolutive SFP'!#REF!)/1000000</f>
        <v>#REF!</v>
      </c>
      <c r="E3" s="106" t="e">
        <f>(('Evolutive SFP'!#REF!+'Evolutive SFP'!#REF!+'Evolutive SFP'!#REF!+'Evolutive SFP'!#REF!+'Evolutive SFP'!#REF!+'Evolutive SFP'!#REF!)-'Evolutive SFP'!#REF!)/1000000</f>
        <v>#REF!</v>
      </c>
      <c r="F3" s="106" t="e">
        <f>(('Evolutive SFP'!#REF!+'Evolutive SFP'!#REF!+'Evolutive SFP'!#REF!+'Evolutive SFP'!#REF!+'Evolutive SFP'!#REF!+'Evolutive SFP'!#REF!)-'Evolutive SFP'!#REF!)/1000000</f>
        <v>#REF!</v>
      </c>
      <c r="G3" s="106" t="e">
        <f>(('Evolutive SFP'!#REF!+'Evolutive SFP'!#REF!+'Evolutive SFP'!#REF!+'Evolutive SFP'!#REF!+'Evolutive SFP'!#REF!+'Evolutive SFP'!#REF!)-'Evolutive SFP'!#REF!)/1000000</f>
        <v>#REF!</v>
      </c>
      <c r="H3" s="106" t="e">
        <f>(('Evolutive SFP'!#REF!+'Evolutive SFP'!#REF!+'Evolutive SFP'!#REF!+'Evolutive SFP'!#REF!+'Evolutive SFP'!#REF!+'Evolutive SFP'!#REF!)-'Evolutive SFP'!#REF!)/1000000</f>
        <v>#REF!</v>
      </c>
      <c r="I3" s="106" t="e">
        <f>(('Evolutive SFP'!#REF!+'Evolutive SFP'!#REF!+'Evolutive SFP'!#REF!+'Evolutive SFP'!#REF!+'Evolutive SFP'!#REF!+'Evolutive SFP'!#REF!)-'Evolutive SFP'!#REF!)/1000000</f>
        <v>#REF!</v>
      </c>
      <c r="J3" s="106" t="e">
        <f>(('Evolutive SFP'!#REF!+'Evolutive SFP'!#REF!+'Evolutive SFP'!#REF!+'Evolutive SFP'!#REF!+'Evolutive SFP'!#REF!+'Evolutive SFP'!#REF!)-'Evolutive SFP'!#REF!)/1000000</f>
        <v>#REF!</v>
      </c>
      <c r="K3" s="106" t="e">
        <f>(('Evolutive SFP'!#REF!+'Evolutive SFP'!#REF!+'Evolutive SFP'!#REF!+'Evolutive SFP'!#REF!+'Evolutive SFP'!#REF!+'Evolutive SFP'!#REF!)-'Evolutive SFP'!#REF!)/1000000</f>
        <v>#REF!</v>
      </c>
      <c r="L3" s="106" t="e">
        <f>(('Evolutive SFP'!#REF!+'Evolutive SFP'!#REF!+'Evolutive SFP'!#REF!+'Evolutive SFP'!#REF!+'Evolutive SFP'!#REF!+'Evolutive SFP'!#REF!)-'Evolutive SFP'!#REF!)/1000000</f>
        <v>#REF!</v>
      </c>
      <c r="M3" s="106" t="e">
        <f>(('Evolutive SFP'!#REF!+'Evolutive SFP'!#REF!+'Evolutive SFP'!#REF!+'Evolutive SFP'!#REF!+'Evolutive SFP'!#REF!+'Evolutive SFP'!#REF!)-'Evolutive SFP'!#REF!)/1000000</f>
        <v>#REF!</v>
      </c>
      <c r="N3" s="106" t="e">
        <f>(('Evolutive SFP'!#REF!+'Evolutive SFP'!#REF!+'Evolutive SFP'!#REF!+'Evolutive SFP'!#REF!+'Evolutive SFP'!#REF!+'Evolutive SFP'!#REF!)-'Evolutive SFP'!#REF!)/1000000</f>
        <v>#REF!</v>
      </c>
      <c r="O3" s="106" t="e">
        <f>(('Evolutive SFP'!#REF!+'Evolutive SFP'!#REF!+'Evolutive SFP'!#REF!+'Evolutive SFP'!#REF!+'Evolutive SFP'!#REF!+'Evolutive SFP'!#REF!)-'Evolutive SFP'!#REF!)/1000000</f>
        <v>#REF!</v>
      </c>
      <c r="P3" s="106" t="e">
        <f>(('Evolutive SFP'!#REF!+'Evolutive SFP'!#REF!+'Evolutive SFP'!#REF!+'Evolutive SFP'!#REF!+'Evolutive SFP'!#REF!+'Evolutive SFP'!#REF!)-'Evolutive SFP'!#REF!)/1000000</f>
        <v>#REF!</v>
      </c>
      <c r="Q3" s="106" t="e">
        <f>(('Evolutive SFP'!#REF!+'Evolutive SFP'!#REF!+'Evolutive SFP'!#REF!+'Evolutive SFP'!#REF!+'Evolutive SFP'!#REF!+'Evolutive SFP'!#REF!)-'Evolutive SFP'!#REF!)/1000000</f>
        <v>#REF!</v>
      </c>
      <c r="R3" s="106" t="e">
        <f>(('Evolutive SFP'!#REF!+'Evolutive SFP'!#REF!+'Evolutive SFP'!#REF!+'Evolutive SFP'!#REF!+'Evolutive SFP'!#REF!+'Evolutive SFP'!#REF!)-'Evolutive SFP'!#REF!)/1000000</f>
        <v>#REF!</v>
      </c>
      <c r="S3" s="106" t="e">
        <f>(('Evolutive SFP'!#REF!+'Evolutive SFP'!#REF!+'Evolutive SFP'!#REF!+'Evolutive SFP'!#REF!+'Evolutive SFP'!#REF!+'Evolutive SFP'!#REF!)-'Evolutive SFP'!#REF!)/1000000</f>
        <v>#REF!</v>
      </c>
      <c r="T3" s="106" t="e">
        <f>(('Evolutive SFP'!#REF!+'Evolutive SFP'!#REF!+'Evolutive SFP'!#REF!+'Evolutive SFP'!#REF!+'Evolutive SFP'!#REF!+'Evolutive SFP'!#REF!)-'Evolutive SFP'!#REF!)/1000000</f>
        <v>#REF!</v>
      </c>
      <c r="U3" s="106" t="e">
        <f>(('Evolutive SFP'!#REF!+'Evolutive SFP'!#REF!+'Evolutive SFP'!#REF!+'Evolutive SFP'!#REF!+'Evolutive SFP'!#REF!+'Evolutive SFP'!#REF!)-'Evolutive SFP'!#REF!)/1000000</f>
        <v>#REF!</v>
      </c>
      <c r="V3" s="106" t="e">
        <f>(('Evolutive SFP'!#REF!+'Evolutive SFP'!#REF!+'Evolutive SFP'!#REF!+'Evolutive SFP'!#REF!+'Evolutive SFP'!#REF!+'Evolutive SFP'!#REF!)-'Evolutive SFP'!#REF!)/1000000</f>
        <v>#REF!</v>
      </c>
      <c r="W3" s="106" t="e">
        <f>(('Evolutive SFP'!#REF!+'Evolutive SFP'!#REF!+'Evolutive SFP'!#REF!+'Evolutive SFP'!#REF!+'Evolutive SFP'!#REF!+'Evolutive SFP'!#REF!)-'Evolutive SFP'!#REF!)/1000000</f>
        <v>#REF!</v>
      </c>
      <c r="X3" s="106" t="e">
        <f>(('Evolutive SFP'!#REF!+'Evolutive SFP'!#REF!+'Evolutive SFP'!#REF!+'Evolutive SFP'!#REF!+'Evolutive SFP'!#REF!+'Evolutive SFP'!#REF!)-'Evolutive SFP'!#REF!)/1000000</f>
        <v>#REF!</v>
      </c>
      <c r="Y3" s="106" t="e">
        <f>(('Evolutive SFP'!#REF!+'Evolutive SFP'!#REF!+'Evolutive SFP'!#REF!+'Evolutive SFP'!#REF!+'Evolutive SFP'!#REF!+'Evolutive SFP'!#REF!)-'Evolutive SFP'!#REF!)/1000000</f>
        <v>#REF!</v>
      </c>
      <c r="Z3" s="106" t="e">
        <f>(('Evolutive SFP'!#REF!+'Evolutive SFP'!#REF!+'Evolutive SFP'!#REF!+'Evolutive SFP'!#REF!+'Evolutive SFP'!#REF!+'Evolutive SFP'!#REF!)-'Evolutive SFP'!#REF!)/1000000</f>
        <v>#REF!</v>
      </c>
      <c r="AA3" s="106" t="e">
        <f>(('Evolutive SFP'!#REF!+'Evolutive SFP'!#REF!+'Evolutive SFP'!#REF!+'Evolutive SFP'!#REF!+'Evolutive SFP'!#REF!+'Evolutive SFP'!#REF!)-'Evolutive SFP'!#REF!)/1000000</f>
        <v>#REF!</v>
      </c>
      <c r="AB3" s="106" t="e">
        <f>(('Evolutive SFP'!#REF!+'Evolutive SFP'!#REF!+'Evolutive SFP'!#REF!+'Evolutive SFP'!#REF!+'Evolutive SFP'!#REF!+'Evolutive SFP'!#REF!)-'Evolutive SFP'!#REF!)/1000000</f>
        <v>#REF!</v>
      </c>
      <c r="AC3" s="106" t="e">
        <f>(('Evolutive SFP'!#REF!+'Evolutive SFP'!#REF!+'Evolutive SFP'!#REF!+'Evolutive SFP'!#REF!+'Evolutive SFP'!#REF!+'Evolutive SFP'!#REF!)-'Evolutive SFP'!#REF!)/1000000</f>
        <v>#REF!</v>
      </c>
      <c r="AD3" s="106" t="e">
        <f>(('Evolutive SFP'!#REF!+'Evolutive SFP'!#REF!+'Evolutive SFP'!#REF!+'Evolutive SFP'!#REF!+'Evolutive SFP'!#REF!+'Evolutive SFP'!#REF!)-'Evolutive SFP'!#REF!)/1000000</f>
        <v>#REF!</v>
      </c>
      <c r="AE3" s="106" t="e">
        <f>(('Evolutive SFP'!#REF!+'Evolutive SFP'!#REF!+'Evolutive SFP'!#REF!+'Evolutive SFP'!#REF!+'Evolutive SFP'!#REF!+'Evolutive SFP'!#REF!)-'Evolutive SFP'!#REF!)/1000000</f>
        <v>#REF!</v>
      </c>
      <c r="AF3" s="106" t="e">
        <f>(('Evolutive SFP'!#REF!+'Evolutive SFP'!#REF!+'Evolutive SFP'!#REF!+'Evolutive SFP'!#REF!+'Evolutive SFP'!#REF!+'Evolutive SFP'!#REF!)-'Evolutive SFP'!#REF!)/1000000</f>
        <v>#REF!</v>
      </c>
      <c r="AG3" s="106" t="e">
        <f>(('Evolutive SFP'!#REF!+'Evolutive SFP'!#REF!+'Evolutive SFP'!#REF!+'Evolutive SFP'!#REF!+'Evolutive SFP'!#REF!+'Evolutive SFP'!#REF!)-'Evolutive SFP'!#REF!)/1000000</f>
        <v>#REF!</v>
      </c>
      <c r="AH3" s="106" t="e">
        <f>(('Evolutive SFP'!#REF!+'Evolutive SFP'!#REF!+'Evolutive SFP'!#REF!+'Evolutive SFP'!#REF!+'Evolutive SFP'!#REF!+'Evolutive SFP'!#REF!)-'Evolutive SFP'!#REF!)/1000000</f>
        <v>#REF!</v>
      </c>
      <c r="AI3" s="106" t="e">
        <f>(('Evolutive SFP'!#REF!+'Evolutive SFP'!#REF!+'Evolutive SFP'!#REF!+'Evolutive SFP'!#REF!+'Evolutive SFP'!#REF!+'Evolutive SFP'!#REF!)-'Evolutive SFP'!#REF!)/1000000</f>
        <v>#REF!</v>
      </c>
      <c r="AJ3" s="106" t="e">
        <f>(('Evolutive SFP'!#REF!+'Evolutive SFP'!#REF!+'Evolutive SFP'!#REF!+'Evolutive SFP'!#REF!+'Evolutive SFP'!#REF!+'Evolutive SFP'!#REF!)-'Evolutive SFP'!#REF!)/1000000</f>
        <v>#REF!</v>
      </c>
      <c r="AK3" s="106" t="e">
        <f>(('Evolutive SFP'!#REF!+'Evolutive SFP'!#REF!+'Evolutive SFP'!#REF!+'Evolutive SFP'!#REF!+'Evolutive SFP'!#REF!+'Evolutive SFP'!#REF!)-'Evolutive SFP'!#REF!)/1000000</f>
        <v>#REF!</v>
      </c>
      <c r="AL3" s="106" t="e">
        <f>(('Evolutive SFP'!#REF!+'Evolutive SFP'!#REF!+'Evolutive SFP'!#REF!+'Evolutive SFP'!#REF!+'Evolutive SFP'!#REF!+'Evolutive SFP'!#REF!)-'Evolutive SFP'!#REF!)/1000000</f>
        <v>#REF!</v>
      </c>
      <c r="AM3" s="106" t="e">
        <f>(('Evolutive SFP'!#REF!+'Evolutive SFP'!#REF!+'Evolutive SFP'!#REF!+'Evolutive SFP'!#REF!+'Evolutive SFP'!#REF!+'Evolutive SFP'!#REF!)-'Evolutive SFP'!#REF!)/1000000</f>
        <v>#REF!</v>
      </c>
      <c r="AN3" s="106" t="e">
        <f>(('Evolutive SFP'!#REF!+'Evolutive SFP'!#REF!+'Evolutive SFP'!#REF!+'Evolutive SFP'!#REF!+'Evolutive SFP'!#REF!+'Evolutive SFP'!#REF!)-'Evolutive SFP'!#REF!)/1000000</f>
        <v>#REF!</v>
      </c>
      <c r="AO3" s="106" t="e">
        <f>(('Evolutive SFP'!#REF!+'Evolutive SFP'!#REF!+'Evolutive SFP'!#REF!+'Evolutive SFP'!#REF!+'Evolutive SFP'!#REF!+'Evolutive SFP'!#REF!)-'Evolutive SFP'!#REF!)/1000000</f>
        <v>#REF!</v>
      </c>
      <c r="AP3" s="106" t="e">
        <f>(('Evolutive SFP'!#REF!+'Evolutive SFP'!#REF!+'Evolutive SFP'!#REF!+'Evolutive SFP'!#REF!+'Evolutive SFP'!#REF!+'Evolutive SFP'!#REF!)-'Evolutive SFP'!#REF!)/1000000</f>
        <v>#REF!</v>
      </c>
      <c r="AQ3" s="106" t="e">
        <f>(('Evolutive SFP'!#REF!+'Evolutive SFP'!#REF!+'Evolutive SFP'!#REF!+'Evolutive SFP'!#REF!+'Evolutive SFP'!#REF!+'Evolutive SFP'!#REF!)-'Evolutive SFP'!#REF!)/1000000</f>
        <v>#REF!</v>
      </c>
      <c r="AR3" s="106" t="e">
        <f>(('Evolutive SFP'!#REF!+'Evolutive SFP'!#REF!+'Evolutive SFP'!#REF!+'Evolutive SFP'!#REF!+'Evolutive SFP'!#REF!+'Evolutive SFP'!#REF!)-'Evolutive SFP'!#REF!)/1000000</f>
        <v>#REF!</v>
      </c>
      <c r="AS3" s="106" t="e">
        <f>(('Evolutive SFP'!#REF!+'Evolutive SFP'!#REF!+'Evolutive SFP'!#REF!+'Evolutive SFP'!#REF!+'Evolutive SFP'!#REF!+'Evolutive SFP'!#REF!)-'Evolutive SFP'!#REF!)/1000000</f>
        <v>#REF!</v>
      </c>
      <c r="AT3" s="106">
        <f>(('Evolutive SFP'!C39+'Evolutive SFP'!C40+'Evolutive SFP'!C41+'Evolutive SFP'!C42+'Evolutive SFP'!C43+'Evolutive SFP'!C44)-'Evolutive SFP'!C10)/1000000</f>
        <v>2037.469386</v>
      </c>
      <c r="AU3" s="106" t="e">
        <f>(('Evolutive SFP'!#REF!+'Evolutive SFP'!#REF!+'Evolutive SFP'!#REF!+'Evolutive SFP'!#REF!+'Evolutive SFP'!#REF!+'Evolutive SFP'!#REF!)-'Evolutive SFP'!#REF!)/1000000</f>
        <v>#REF!</v>
      </c>
      <c r="AV3" s="106" t="e">
        <f>(('Evolutive SFP'!#REF!+'Evolutive SFP'!#REF!+'Evolutive SFP'!#REF!+'Evolutive SFP'!#REF!+'Evolutive SFP'!#REF!+'Evolutive SFP'!#REF!)-'Evolutive SFP'!#REF!)/1000000</f>
        <v>#REF!</v>
      </c>
      <c r="AW3" s="106" t="e">
        <f>(('Evolutive SFP'!#REF!+'Evolutive SFP'!#REF!+'Evolutive SFP'!#REF!+'Evolutive SFP'!#REF!+'Evolutive SFP'!#REF!+'Evolutive SFP'!#REF!)-'Evolutive SFP'!#REF!)/1000000</f>
        <v>#REF!</v>
      </c>
      <c r="AX3" s="106" t="e">
        <f>(('Evolutive SFP'!#REF!+'Evolutive SFP'!#REF!+'Evolutive SFP'!#REF!+'Evolutive SFP'!#REF!+'Evolutive SFP'!#REF!+'Evolutive SFP'!#REF!)-'Evolutive SFP'!#REF!)/1000000</f>
        <v>#REF!</v>
      </c>
      <c r="AY3" s="106" t="e">
        <f>(('Evolutive SFP'!#REF!+'Evolutive SFP'!#REF!+'Evolutive SFP'!#REF!+'Evolutive SFP'!#REF!+'Evolutive SFP'!#REF!+'Evolutive SFP'!#REF!)-'Evolutive SFP'!#REF!)/1000000</f>
        <v>#REF!</v>
      </c>
      <c r="AZ3" s="106" t="e">
        <f>(('Evolutive SFP'!#REF!+'Evolutive SFP'!#REF!+'Evolutive SFP'!#REF!+'Evolutive SFP'!#REF!+'Evolutive SFP'!#REF!+'Evolutive SFP'!#REF!)-'Evolutive SFP'!#REF!)/1000000</f>
        <v>#REF!</v>
      </c>
      <c r="BA3" s="106" t="e">
        <f>(('Evolutive SFP'!#REF!+'Evolutive SFP'!#REF!+'Evolutive SFP'!#REF!+'Evolutive SFP'!#REF!+'Evolutive SFP'!#REF!+'Evolutive SFP'!#REF!)-'Evolutive SFP'!#REF!)/1000000</f>
        <v>#REF!</v>
      </c>
      <c r="BB3" s="106" t="e">
        <f>(('Evolutive SFP'!#REF!+'Evolutive SFP'!#REF!+'Evolutive SFP'!#REF!+'Evolutive SFP'!#REF!+'Evolutive SFP'!#REF!+'Evolutive SFP'!#REF!)-'Evolutive SFP'!#REF!)/1000000</f>
        <v>#REF!</v>
      </c>
      <c r="BC3" s="106" t="e">
        <f>(('Evolutive SFP'!#REF!+'Evolutive SFP'!#REF!+'Evolutive SFP'!#REF!+'Evolutive SFP'!#REF!+'Evolutive SFP'!#REF!+'Evolutive SFP'!#REF!)-'Evolutive SFP'!#REF!)/1000000</f>
        <v>#REF!</v>
      </c>
    </row>
    <row r="4" spans="1:55" ht="15">
      <c r="A4" s="184"/>
      <c r="B4" s="2" t="s">
        <v>99</v>
      </c>
      <c r="C4" s="5" t="s">
        <v>100</v>
      </c>
      <c r="D4" s="26" t="e">
        <f>D3/(('Evolutive SFP'!#REF!)/1000000)</f>
        <v>#REF!</v>
      </c>
      <c r="E4" s="26" t="e">
        <f>E3/(('Evolutive SFP'!#REF!)/1000000)</f>
        <v>#REF!</v>
      </c>
      <c r="F4" s="26" t="e">
        <f>F3/(('Evolutive SFP'!#REF!)/1000000)</f>
        <v>#REF!</v>
      </c>
      <c r="G4" s="26" t="e">
        <f>G3/(('Evolutive SFP'!#REF!)/1000000)</f>
        <v>#REF!</v>
      </c>
      <c r="H4" s="26" t="e">
        <f>H3/(('Evolutive SFP'!#REF!)/1000000)</f>
        <v>#REF!</v>
      </c>
      <c r="I4" s="26" t="e">
        <f>I3/(('Evolutive SFP'!#REF!)/1000000)</f>
        <v>#REF!</v>
      </c>
      <c r="J4" s="26" t="e">
        <f>J3/(('Evolutive SFP'!#REF!)/1000000)</f>
        <v>#REF!</v>
      </c>
      <c r="K4" s="26" t="e">
        <f>K3/(('Evolutive SFP'!#REF!)/1000000)</f>
        <v>#REF!</v>
      </c>
      <c r="L4" s="26" t="e">
        <f>L3/(('Evolutive SFP'!#REF!)/1000000)</f>
        <v>#REF!</v>
      </c>
      <c r="M4" s="26" t="e">
        <f>M3/(('Evolutive SFP'!#REF!)/1000000)</f>
        <v>#REF!</v>
      </c>
      <c r="N4" s="26" t="e">
        <f>N3/(('Evolutive SFP'!#REF!)/1000000)</f>
        <v>#REF!</v>
      </c>
      <c r="O4" s="26" t="e">
        <f>O3/(('Evolutive SFP'!#REF!)/1000000)</f>
        <v>#REF!</v>
      </c>
      <c r="P4" s="26" t="e">
        <f>P3/(('Evolutive SFP'!#REF!)/1000000)</f>
        <v>#REF!</v>
      </c>
      <c r="Q4" s="26" t="e">
        <f>Q3/(('Evolutive SFP'!#REF!)/1000000)</f>
        <v>#REF!</v>
      </c>
      <c r="R4" s="26" t="e">
        <f>R3/(('Evolutive SFP'!#REF!)/1000000)</f>
        <v>#REF!</v>
      </c>
      <c r="S4" s="30" t="e">
        <f>S3/(('Evolutive SFP'!#REF!)/1000000)</f>
        <v>#REF!</v>
      </c>
      <c r="T4" s="30" t="e">
        <f>T3/(('Evolutive SFP'!#REF!)/1000000)</f>
        <v>#REF!</v>
      </c>
      <c r="U4" s="30" t="e">
        <f>U3/(('Evolutive SFP'!#REF!)/1000000)</f>
        <v>#REF!</v>
      </c>
      <c r="V4" s="30" t="e">
        <f>V3/(('Evolutive SFP'!#REF!)/1000000)</f>
        <v>#REF!</v>
      </c>
      <c r="W4" s="30" t="e">
        <f>W3/(('Evolutive SFP'!#REF!)/1000000)</f>
        <v>#REF!</v>
      </c>
      <c r="X4" s="30" t="e">
        <f>X3/(('Evolutive SFP'!#REF!)/1000000)</f>
        <v>#REF!</v>
      </c>
      <c r="Y4" s="30" t="e">
        <f>Y3/(('Evolutive SFP'!#REF!)/1000000)</f>
        <v>#REF!</v>
      </c>
      <c r="Z4" s="30" t="e">
        <f>Z3/(('Evolutive SFP'!#REF!)/1000000)</f>
        <v>#REF!</v>
      </c>
      <c r="AA4" s="30" t="e">
        <f>AA3/(('Evolutive SFP'!#REF!)/1000000)</f>
        <v>#REF!</v>
      </c>
      <c r="AB4" s="30" t="e">
        <f>AB3/(('Evolutive SFP'!#REF!)/1000000)</f>
        <v>#REF!</v>
      </c>
      <c r="AC4" s="30" t="e">
        <f>AC3/(('Evolutive SFP'!#REF!)/1000000)</f>
        <v>#REF!</v>
      </c>
      <c r="AD4" s="30" t="e">
        <f>AD3/(('Evolutive SFP'!#REF!)/1000000)</f>
        <v>#REF!</v>
      </c>
      <c r="AE4" s="30" t="e">
        <f>AE3/(('Evolutive SFP'!#REF!)/1000000)</f>
        <v>#REF!</v>
      </c>
      <c r="AF4" s="30" t="e">
        <f>AF3/(('Evolutive SFP'!#REF!)/1000000)</f>
        <v>#REF!</v>
      </c>
      <c r="AG4" s="30" t="e">
        <f>AG3/(('Evolutive SFP'!#REF!)/1000000)</f>
        <v>#REF!</v>
      </c>
      <c r="AH4" s="30" t="e">
        <f>AH3/(('Evolutive SFP'!#REF!)/1000000)</f>
        <v>#REF!</v>
      </c>
      <c r="AI4" s="30" t="e">
        <f>AI3/(('Evolutive SFP'!#REF!)/1000000)</f>
        <v>#REF!</v>
      </c>
      <c r="AJ4" s="30" t="e">
        <f>AJ3/(('Evolutive SFP'!#REF!)/1000000)</f>
        <v>#REF!</v>
      </c>
      <c r="AK4" s="30" t="e">
        <f>AK3/(('Evolutive SFP'!#REF!)/1000000)</f>
        <v>#REF!</v>
      </c>
      <c r="AL4" s="30" t="e">
        <f>AL3/(('Evolutive SFP'!#REF!)/1000000)</f>
        <v>#REF!</v>
      </c>
      <c r="AM4" s="30" t="e">
        <f>AM3/(('Evolutive SFP'!#REF!)/1000000)</f>
        <v>#REF!</v>
      </c>
      <c r="AN4" s="30" t="e">
        <f>AN3/(('Evolutive SFP'!#REF!)/1000000)</f>
        <v>#REF!</v>
      </c>
      <c r="AO4" s="30" t="e">
        <f>AO3/(('Evolutive SFP'!#REF!)/1000000)</f>
        <v>#REF!</v>
      </c>
      <c r="AP4" s="30" t="e">
        <f>AP3/(('Evolutive SFP'!#REF!)/1000000)</f>
        <v>#REF!</v>
      </c>
      <c r="AQ4" s="30" t="e">
        <f>AQ3/(('Evolutive SFP'!#REF!)/1000000)</f>
        <v>#REF!</v>
      </c>
      <c r="AR4" s="30" t="e">
        <f>AR3/(('Evolutive SFP'!#REF!)/1000000)</f>
        <v>#REF!</v>
      </c>
      <c r="AS4" s="30" t="e">
        <f>AS3/(('Evolutive SFP'!#REF!)/1000000)</f>
        <v>#REF!</v>
      </c>
      <c r="AT4" s="30">
        <f>AT3/(('Evolutive SFP'!C27)/1000000)</f>
        <v>0.15834050633469321</v>
      </c>
      <c r="AU4" s="30" t="e">
        <f>AU3/(('Evolutive SFP'!#REF!)/1000000)</f>
        <v>#REF!</v>
      </c>
      <c r="AV4" s="30" t="e">
        <f>AV3/(('Evolutive SFP'!#REF!)/1000000)</f>
        <v>#REF!</v>
      </c>
      <c r="AW4" s="30" t="e">
        <f>AW3/(('Evolutive SFP'!#REF!)/1000000)</f>
        <v>#REF!</v>
      </c>
      <c r="AX4" s="30" t="e">
        <f>AX3/(('Evolutive SFP'!#REF!)/1000000)</f>
        <v>#REF!</v>
      </c>
      <c r="AY4" s="30" t="e">
        <f>AY3/(('Evolutive SFP'!#REF!)/1000000)</f>
        <v>#REF!</v>
      </c>
      <c r="AZ4" s="30" t="e">
        <f>AZ3/(('Evolutive SFP'!#REF!)/1000000)</f>
        <v>#REF!</v>
      </c>
      <c r="BA4" s="30" t="e">
        <f>BA3/(('Evolutive SFP'!#REF!)/1000000)</f>
        <v>#REF!</v>
      </c>
      <c r="BB4" s="30" t="e">
        <f>BB3/(('Evolutive SFP'!#REF!)/1000000)</f>
        <v>#REF!</v>
      </c>
      <c r="BC4" s="30" t="e">
        <f>BC3/(('Evolutive SFP'!#REF!)/1000000)</f>
        <v>#REF!</v>
      </c>
    </row>
    <row r="5" spans="1:55" ht="15">
      <c r="A5" s="184"/>
      <c r="B5" s="2" t="s">
        <v>101</v>
      </c>
      <c r="C5" s="5" t="s">
        <v>102</v>
      </c>
      <c r="D5" s="26" t="e">
        <f>D3/('Evolutive SFP'!#REF!/1000000)</f>
        <v>#REF!</v>
      </c>
      <c r="E5" s="26" t="e">
        <f>E3/('Evolutive SFP'!#REF!/1000000)</f>
        <v>#REF!</v>
      </c>
      <c r="F5" s="26" t="e">
        <f>F3/('Evolutive SFP'!#REF!/1000000)</f>
        <v>#REF!</v>
      </c>
      <c r="G5" s="26" t="e">
        <f>G3/('Evolutive SFP'!#REF!/1000000)</f>
        <v>#REF!</v>
      </c>
      <c r="H5" s="26" t="e">
        <f>H3/('Evolutive SFP'!#REF!/1000000)</f>
        <v>#REF!</v>
      </c>
      <c r="I5" s="26" t="e">
        <f>I3/('Evolutive SFP'!#REF!/1000000)</f>
        <v>#REF!</v>
      </c>
      <c r="J5" s="26" t="e">
        <f>J3/('Evolutive SFP'!#REF!/1000000)</f>
        <v>#REF!</v>
      </c>
      <c r="K5" s="26" t="e">
        <f>K3/('Evolutive SFP'!#REF!/1000000)</f>
        <v>#REF!</v>
      </c>
      <c r="L5" s="26" t="e">
        <f>L3/('Evolutive SFP'!#REF!/1000000)</f>
        <v>#REF!</v>
      </c>
      <c r="M5" s="26" t="e">
        <f>M3/('Evolutive SFP'!#REF!/1000000)</f>
        <v>#REF!</v>
      </c>
      <c r="N5" s="26" t="e">
        <f>N3/('Evolutive SFP'!#REF!/1000000)</f>
        <v>#REF!</v>
      </c>
      <c r="O5" s="26" t="e">
        <f>O3/('Evolutive SFP'!#REF!/1000000)</f>
        <v>#REF!</v>
      </c>
      <c r="P5" s="26" t="e">
        <f>P3/('Evolutive SFP'!#REF!/1000000)</f>
        <v>#REF!</v>
      </c>
      <c r="Q5" s="26" t="e">
        <f>Q3/('Evolutive SFP'!#REF!/1000000)</f>
        <v>#REF!</v>
      </c>
      <c r="R5" s="26" t="e">
        <f>R3/('Evolutive SFP'!#REF!/1000000)</f>
        <v>#REF!</v>
      </c>
      <c r="S5" s="30" t="e">
        <f>S3/('Evolutive SFP'!#REF!/1000000)</f>
        <v>#REF!</v>
      </c>
      <c r="T5" s="30" t="e">
        <f>T3/('Evolutive SFP'!#REF!/1000000)</f>
        <v>#REF!</v>
      </c>
      <c r="U5" s="30" t="e">
        <f>U3/('Evolutive SFP'!#REF!/1000000)</f>
        <v>#REF!</v>
      </c>
      <c r="V5" s="30" t="e">
        <f>V3/('Evolutive SFP'!#REF!/1000000)</f>
        <v>#REF!</v>
      </c>
      <c r="W5" s="30" t="e">
        <f>W3/('Evolutive SFP'!#REF!/1000000)</f>
        <v>#REF!</v>
      </c>
      <c r="X5" s="30" t="e">
        <f>X3/('Evolutive SFP'!#REF!/1000000)</f>
        <v>#REF!</v>
      </c>
      <c r="Y5" s="30" t="e">
        <f>Y3/('Evolutive SFP'!#REF!/1000000)</f>
        <v>#REF!</v>
      </c>
      <c r="Z5" s="30" t="e">
        <f>Z3/('Evolutive SFP'!#REF!/1000000)</f>
        <v>#REF!</v>
      </c>
      <c r="AA5" s="30" t="e">
        <f>AA3/('Evolutive SFP'!#REF!/1000000)</f>
        <v>#REF!</v>
      </c>
      <c r="AB5" s="30" t="e">
        <f>AB3/('Evolutive SFP'!#REF!/1000000)</f>
        <v>#REF!</v>
      </c>
      <c r="AC5" s="30" t="e">
        <f>AC3/('Evolutive SFP'!#REF!/1000000)</f>
        <v>#REF!</v>
      </c>
      <c r="AD5" s="30" t="e">
        <f>AD3/('Evolutive SFP'!#REF!/1000000)</f>
        <v>#REF!</v>
      </c>
      <c r="AE5" s="30" t="e">
        <f>AE3/('Evolutive SFP'!#REF!/1000000)</f>
        <v>#REF!</v>
      </c>
      <c r="AF5" s="30" t="e">
        <f>AF3/('Evolutive SFP'!#REF!/1000000)</f>
        <v>#REF!</v>
      </c>
      <c r="AG5" s="30" t="e">
        <f>AG3/('Evolutive SFP'!#REF!/1000000)</f>
        <v>#REF!</v>
      </c>
      <c r="AH5" s="30" t="e">
        <f>AH3/('Evolutive SFP'!#REF!/1000000)</f>
        <v>#REF!</v>
      </c>
      <c r="AI5" s="30" t="e">
        <f>AI3/('Evolutive SFP'!#REF!/1000000)</f>
        <v>#REF!</v>
      </c>
      <c r="AJ5" s="30" t="e">
        <f>AJ3/('Evolutive SFP'!#REF!/1000000)</f>
        <v>#REF!</v>
      </c>
      <c r="AK5" s="30" t="e">
        <f>AK3/('Evolutive SFP'!#REF!/1000000)</f>
        <v>#REF!</v>
      </c>
      <c r="AL5" s="30" t="e">
        <f>AL3/('Evolutive SFP'!#REF!/1000000)</f>
        <v>#REF!</v>
      </c>
      <c r="AM5" s="30" t="e">
        <f>AM3/('Evolutive SFP'!#REF!/1000000)</f>
        <v>#REF!</v>
      </c>
      <c r="AN5" s="30" t="e">
        <f>AN3/('Evolutive SFP'!#REF!/1000000)</f>
        <v>#REF!</v>
      </c>
      <c r="AO5" s="30" t="e">
        <f>AO3/('Evolutive SFP'!#REF!/1000000)</f>
        <v>#REF!</v>
      </c>
      <c r="AP5" s="30" t="e">
        <f>AP3/('Evolutive SFP'!#REF!/1000000)</f>
        <v>#REF!</v>
      </c>
      <c r="AQ5" s="30" t="e">
        <f>AQ3/('Evolutive SFP'!#REF!/1000000)</f>
        <v>#REF!</v>
      </c>
      <c r="AR5" s="30" t="e">
        <f>AR3/('Evolutive SFP'!#REF!/1000000)</f>
        <v>#REF!</v>
      </c>
      <c r="AS5" s="30" t="e">
        <f>AS3/('Evolutive SFP'!#REF!/1000000)</f>
        <v>#REF!</v>
      </c>
      <c r="AT5" s="30">
        <f>AT3/('Evolutive SFP'!C31/1000000)</f>
        <v>0.21009732598351075</v>
      </c>
      <c r="AU5" s="30" t="e">
        <f>AU3/('Evolutive SFP'!#REF!/1000000)</f>
        <v>#REF!</v>
      </c>
      <c r="AV5" s="30" t="e">
        <f>AV3/('Evolutive SFP'!#REF!/1000000)</f>
        <v>#REF!</v>
      </c>
      <c r="AW5" s="30" t="e">
        <f>AW3/('Evolutive SFP'!#REF!/1000000)</f>
        <v>#REF!</v>
      </c>
      <c r="AX5" s="30" t="e">
        <f>AX3/('Evolutive SFP'!#REF!/1000000)</f>
        <v>#REF!</v>
      </c>
      <c r="AY5" s="30" t="e">
        <f>AY3/('Evolutive SFP'!#REF!/1000000)</f>
        <v>#REF!</v>
      </c>
      <c r="AZ5" s="30" t="e">
        <f>AZ3/('Evolutive SFP'!#REF!/1000000)</f>
        <v>#REF!</v>
      </c>
      <c r="BA5" s="30" t="e">
        <f>BA3/('Evolutive SFP'!#REF!/1000000)</f>
        <v>#REF!</v>
      </c>
      <c r="BB5" s="30" t="e">
        <f>BB3/('Evolutive SFP'!#REF!/1000000)</f>
        <v>#REF!</v>
      </c>
      <c r="BC5" s="30" t="e">
        <f>BC3/('Evolutive SFP'!#REF!/1000000)</f>
        <v>#REF!</v>
      </c>
    </row>
    <row r="6" spans="1:55" ht="15">
      <c r="A6" s="184"/>
      <c r="B6" s="2" t="s">
        <v>103</v>
      </c>
      <c r="C6" s="5" t="s">
        <v>102</v>
      </c>
      <c r="D6" s="26" t="e">
        <f>((D3*1000000)-'Evolutive SFP'!#REF!)/'Evolutive SFP'!#REF!</f>
        <v>#REF!</v>
      </c>
      <c r="E6" s="26" t="e">
        <f>((E3*1000000)-'Evolutive SFP'!#REF!)/'Evolutive SFP'!#REF!</f>
        <v>#REF!</v>
      </c>
      <c r="F6" s="26" t="e">
        <f>((F3*1000000)-'Evolutive SFP'!#REF!)/'Evolutive SFP'!#REF!</f>
        <v>#REF!</v>
      </c>
      <c r="G6" s="26" t="e">
        <f>((G3*1000000)-'Evolutive SFP'!#REF!)/'Evolutive SFP'!#REF!</f>
        <v>#REF!</v>
      </c>
      <c r="H6" s="26" t="e">
        <f>((H3*1000000)-'Evolutive SFP'!#REF!)/'Evolutive SFP'!#REF!</f>
        <v>#REF!</v>
      </c>
      <c r="I6" s="26" t="e">
        <f>((I3*1000000)-'Evolutive SFP'!#REF!)/'Evolutive SFP'!#REF!</f>
        <v>#REF!</v>
      </c>
      <c r="J6" s="26" t="e">
        <f>((J3*1000000)-'Evolutive SFP'!#REF!)/'Evolutive SFP'!#REF!</f>
        <v>#REF!</v>
      </c>
      <c r="K6" s="26" t="e">
        <f>((K3*1000000)-'Evolutive SFP'!#REF!)/'Evolutive SFP'!#REF!</f>
        <v>#REF!</v>
      </c>
      <c r="L6" s="26" t="e">
        <f>((L3*1000000)-'Evolutive SFP'!#REF!)/'Evolutive SFP'!#REF!</f>
        <v>#REF!</v>
      </c>
      <c r="M6" s="26" t="e">
        <f>((M3*1000000)-'Evolutive SFP'!#REF!)/'Evolutive SFP'!#REF!</f>
        <v>#REF!</v>
      </c>
      <c r="N6" s="26" t="e">
        <f>((N3*1000000)-'Evolutive SFP'!#REF!)/'Evolutive SFP'!#REF!</f>
        <v>#REF!</v>
      </c>
      <c r="O6" s="26" t="e">
        <f>((O3*1000000)-'Evolutive SFP'!#REF!)/'Evolutive SFP'!#REF!</f>
        <v>#REF!</v>
      </c>
      <c r="P6" s="26" t="e">
        <f>((P3*1000000)-'Evolutive SFP'!#REF!)/'Evolutive SFP'!#REF!</f>
        <v>#REF!</v>
      </c>
      <c r="Q6" s="26" t="e">
        <f>((Q3*1000000)-'Evolutive SFP'!#REF!)/'Evolutive SFP'!#REF!</f>
        <v>#REF!</v>
      </c>
      <c r="R6" s="26" t="e">
        <f>((R3*1000000)-'Evolutive SFP'!#REF!)/'Evolutive SFP'!#REF!</f>
        <v>#REF!</v>
      </c>
      <c r="S6" s="30" t="e">
        <f>((S3*1000000)-'Evolutive SFP'!#REF!)/'Evolutive SFP'!#REF!</f>
        <v>#REF!</v>
      </c>
      <c r="T6" s="30" t="e">
        <f>((T3*1000000)-'Evolutive SFP'!#REF!)/'Evolutive SFP'!#REF!</f>
        <v>#REF!</v>
      </c>
      <c r="U6" s="30" t="e">
        <f>((U3*1000000)-'Evolutive SFP'!#REF!)/'Evolutive SFP'!#REF!</f>
        <v>#REF!</v>
      </c>
      <c r="V6" s="30" t="e">
        <f>((V3*1000000)-'Evolutive SFP'!#REF!)/'Evolutive SFP'!#REF!</f>
        <v>#REF!</v>
      </c>
      <c r="W6" s="30" t="e">
        <f>((W3*1000000)-'Evolutive SFP'!#REF!)/'Evolutive SFP'!#REF!</f>
        <v>#REF!</v>
      </c>
      <c r="X6" s="30" t="e">
        <f>((X3*1000000)-'Evolutive SFP'!#REF!)/'Evolutive SFP'!#REF!</f>
        <v>#REF!</v>
      </c>
      <c r="Y6" s="30" t="e">
        <f>((Y3*1000000)-'Evolutive SFP'!#REF!)/'Evolutive SFP'!#REF!</f>
        <v>#REF!</v>
      </c>
      <c r="Z6" s="30" t="e">
        <f>((Z3*1000000)-'Evolutive SFP'!#REF!)/'Evolutive SFP'!#REF!</f>
        <v>#REF!</v>
      </c>
      <c r="AA6" s="30" t="e">
        <f>((AA3*1000000)-'Evolutive SFP'!#REF!)/'Evolutive SFP'!#REF!</f>
        <v>#REF!</v>
      </c>
      <c r="AB6" s="30" t="e">
        <f>((AB3*1000000)-'Evolutive SFP'!#REF!)/'Evolutive SFP'!#REF!</f>
        <v>#REF!</v>
      </c>
      <c r="AC6" s="30" t="e">
        <f>((AC3*1000000)-'Evolutive SFP'!#REF!)/'Evolutive SFP'!#REF!</f>
        <v>#REF!</v>
      </c>
      <c r="AD6" s="30" t="e">
        <f>((AD3*1000000)-'Evolutive SFP'!#REF!)/'Evolutive SFP'!#REF!</f>
        <v>#REF!</v>
      </c>
      <c r="AE6" s="30" t="e">
        <f>((AE3*1000000)-'Evolutive SFP'!#REF!)/'Evolutive SFP'!#REF!</f>
        <v>#REF!</v>
      </c>
      <c r="AF6" s="30" t="e">
        <f>((AF3*1000000)-'Evolutive SFP'!#REF!)/'Evolutive SFP'!#REF!</f>
        <v>#REF!</v>
      </c>
      <c r="AG6" s="30" t="e">
        <f>((AG3*1000000)-'Evolutive SFP'!#REF!)/'Evolutive SFP'!#REF!</f>
        <v>#REF!</v>
      </c>
      <c r="AH6" s="30" t="e">
        <f>((AH3*1000000)-'Evolutive SFP'!#REF!)/'Evolutive SFP'!#REF!</f>
        <v>#REF!</v>
      </c>
      <c r="AI6" s="30" t="e">
        <f>((AI3*1000000)-'Evolutive SFP'!#REF!)/'Evolutive SFP'!#REF!</f>
        <v>#REF!</v>
      </c>
      <c r="AJ6" s="30" t="e">
        <f>((AJ3*1000000)-'Evolutive SFP'!#REF!)/'Evolutive SFP'!#REF!</f>
        <v>#REF!</v>
      </c>
      <c r="AK6" s="30" t="e">
        <f>((AK3*1000000)-'Evolutive SFP'!#REF!)/'Evolutive SFP'!#REF!</f>
        <v>#REF!</v>
      </c>
      <c r="AL6" s="30" t="e">
        <f>((AL3*1000000)-'Evolutive SFP'!#REF!)/'Evolutive SFP'!#REF!</f>
        <v>#REF!</v>
      </c>
      <c r="AM6" s="30" t="e">
        <f>((AM3*1000000)-'Evolutive SFP'!#REF!)/'Evolutive SFP'!#REF!</f>
        <v>#REF!</v>
      </c>
      <c r="AN6" s="30" t="e">
        <f>((AN3*1000000)-'Evolutive SFP'!#REF!)/'Evolutive SFP'!#REF!</f>
        <v>#REF!</v>
      </c>
      <c r="AO6" s="30" t="e">
        <f>((AO3*1000000)-'Evolutive SFP'!#REF!)/'Evolutive SFP'!#REF!</f>
        <v>#REF!</v>
      </c>
      <c r="AP6" s="30" t="e">
        <f>((AP3*1000000)-'Evolutive SFP'!#REF!)/'Evolutive SFP'!#REF!</f>
        <v>#REF!</v>
      </c>
      <c r="AQ6" s="30" t="e">
        <f>((AQ3*1000000)-'Evolutive SFP'!#REF!)/'Evolutive SFP'!#REF!</f>
        <v>#REF!</v>
      </c>
      <c r="AR6" s="30" t="e">
        <f>((AR3*1000000)-'Evolutive SFP'!#REF!)/'Evolutive SFP'!#REF!</f>
        <v>#REF!</v>
      </c>
      <c r="AS6" s="30" t="e">
        <f>((AS3*1000000)-'Evolutive SFP'!#REF!)/'Evolutive SFP'!#REF!</f>
        <v>#REF!</v>
      </c>
      <c r="AT6" s="30">
        <f>((AT3*1000000)-'Evolutive SFP'!C39)/'Evolutive SFP'!C27</f>
        <v>8.5468207341300034E-2</v>
      </c>
      <c r="AU6" s="30" t="e">
        <f>((AU3*1000000)-'Evolutive SFP'!#REF!)/'Evolutive SFP'!#REF!</f>
        <v>#REF!</v>
      </c>
      <c r="AV6" s="30" t="e">
        <f>((AV3*1000000)-'Evolutive SFP'!#REF!)/'Evolutive SFP'!#REF!</f>
        <v>#REF!</v>
      </c>
      <c r="AW6" s="30" t="e">
        <f>((AW3*1000000)-'Evolutive SFP'!#REF!)/'Evolutive SFP'!#REF!</f>
        <v>#REF!</v>
      </c>
      <c r="AX6" s="30" t="e">
        <f>((AX3*1000000)-'Evolutive SFP'!#REF!)/'Evolutive SFP'!#REF!</f>
        <v>#REF!</v>
      </c>
      <c r="AY6" s="30" t="e">
        <f>((AY3*1000000)-'Evolutive SFP'!#REF!)/'Evolutive SFP'!#REF!</f>
        <v>#REF!</v>
      </c>
      <c r="AZ6" s="30" t="e">
        <f>((AZ3*1000000)-'Evolutive SFP'!#REF!)/'Evolutive SFP'!#REF!</f>
        <v>#REF!</v>
      </c>
      <c r="BA6" s="30" t="e">
        <f>((BA3*1000000)-'Evolutive SFP'!#REF!)/'Evolutive SFP'!#REF!</f>
        <v>#REF!</v>
      </c>
      <c r="BB6" s="30" t="e">
        <f>((BB3*1000000)-'Evolutive SFP'!#REF!)/'Evolutive SFP'!#REF!</f>
        <v>#REF!</v>
      </c>
      <c r="BC6" s="30" t="e">
        <f>((BC3*1000000)-'Evolutive SFP'!#REF!)/'Evolutive SFP'!#REF!</f>
        <v>#REF!</v>
      </c>
    </row>
    <row r="7" spans="1:55" ht="15">
      <c r="A7" s="184" t="s">
        <v>104</v>
      </c>
      <c r="B7" s="2" t="s">
        <v>105</v>
      </c>
      <c r="C7" s="5"/>
      <c r="D7" s="5"/>
      <c r="E7" s="5"/>
      <c r="F7" s="45">
        <v>0.36</v>
      </c>
      <c r="G7" s="46">
        <v>0.52149976577094925</v>
      </c>
      <c r="H7" s="1"/>
      <c r="I7" s="1"/>
      <c r="J7" s="26" t="e">
        <f>'Evolutive SFP'!#REF!/(#REF!+#REF!+#REF!)</f>
        <v>#REF!</v>
      </c>
      <c r="K7" s="1"/>
      <c r="L7" s="1"/>
      <c r="M7" s="26" t="e">
        <f>'Evolutive SFP'!#REF!/(#REF!+#REF!+#REF!)</f>
        <v>#REF!</v>
      </c>
      <c r="N7" s="1"/>
      <c r="O7" s="1"/>
      <c r="P7" s="26" t="e">
        <f>'Evolutive SFP'!#REF!/(#REF!+#REF!+#REF!)</f>
        <v>#REF!</v>
      </c>
      <c r="Q7" s="1"/>
      <c r="R7" s="1"/>
      <c r="S7" s="30" t="e">
        <f>'Evolutive SFP'!#REF!/(#REF!+#REF!+#REF!)</f>
        <v>#REF!</v>
      </c>
      <c r="T7" s="30" t="e">
        <f>'Evolutive SFP'!#REF!/(#REF!+#REF!+#REF!)</f>
        <v>#REF!</v>
      </c>
      <c r="U7" s="30" t="e">
        <f>'Evolutive SFP'!#REF!/(#REF!+#REF!+#REF!)</f>
        <v>#REF!</v>
      </c>
      <c r="V7" s="30" t="e">
        <f>'Evolutive SFP'!#REF!/(#REF!+#REF!+#REF!)</f>
        <v>#REF!</v>
      </c>
      <c r="W7" s="30" t="e">
        <f>'Evolutive SFP'!#REF!/(#REF!+#REF!+#REF!)</f>
        <v>#REF!</v>
      </c>
      <c r="X7" s="30" t="e">
        <f>'Evolutive SFP'!#REF!/(#REF!+#REF!+#REF!)</f>
        <v>#REF!</v>
      </c>
      <c r="Y7" s="30" t="e">
        <f>'Evolutive SFP'!#REF!/(#REF!+#REF!+#REF!)</f>
        <v>#REF!</v>
      </c>
      <c r="Z7" s="30" t="e">
        <f>'Evolutive SFP'!#REF!/(#REF!+#REF!+#REF!)</f>
        <v>#REF!</v>
      </c>
      <c r="AA7" s="30" t="e">
        <f>'Evolutive SFP'!#REF!/(#REF!+#REF!+#REF!)</f>
        <v>#REF!</v>
      </c>
      <c r="AB7" s="30" t="e">
        <f>'Evolutive SFP'!#REF!/(#REF!+#REF!+#REF!)</f>
        <v>#REF!</v>
      </c>
      <c r="AC7" s="30" t="e">
        <f>'Evolutive SFP'!#REF!/(#REF!+#REF!+#REF!)</f>
        <v>#REF!</v>
      </c>
      <c r="AD7" s="30" t="e">
        <f>'Evolutive SFP'!#REF!/(#REF!+#REF!+#REF!)</f>
        <v>#REF!</v>
      </c>
      <c r="AE7" s="30" t="e">
        <f>'Evolutive SFP'!#REF!/(#REF!+#REF!+#REF!)</f>
        <v>#REF!</v>
      </c>
      <c r="AF7" s="30" t="e">
        <f>'Evolutive SFP'!#REF!/(#REF!+#REF!+#REF!)</f>
        <v>#REF!</v>
      </c>
      <c r="AG7" s="30" t="e">
        <f>'Evolutive SFP'!#REF!/(#REF!+#REF!+#REF!)</f>
        <v>#REF!</v>
      </c>
      <c r="AH7" s="30" t="e">
        <f>'Evolutive SFP'!#REF!/(#REF!+#REF!+#REF!)</f>
        <v>#REF!</v>
      </c>
      <c r="AI7" s="30" t="e">
        <f>'Evolutive SFP'!#REF!/(#REF!+#REF!+#REF!)</f>
        <v>#REF!</v>
      </c>
      <c r="AJ7" s="30" t="e">
        <f>'Evolutive SFP'!#REF!/(#REF!+#REF!+#REF!)</f>
        <v>#REF!</v>
      </c>
      <c r="AK7" s="30" t="e">
        <f>'Evolutive SFP'!#REF!/(#REF!+#REF!+#REF!)</f>
        <v>#REF!</v>
      </c>
      <c r="AL7" s="30" t="e">
        <f>'Evolutive SFP'!#REF!/(#REF!+#REF!+#REF!)</f>
        <v>#REF!</v>
      </c>
      <c r="AM7" s="30" t="e">
        <f>'Evolutive SFP'!#REF!/(#REF!+#REF!+#REF!)</f>
        <v>#REF!</v>
      </c>
      <c r="AN7" s="30" t="e">
        <f>'Evolutive SFP'!#REF!/(#REF!+#REF!+#REF!)</f>
        <v>#REF!</v>
      </c>
      <c r="AO7" s="30" t="e">
        <f>'Evolutive SFP'!#REF!/(#REF!+#REF!+#REF!)</f>
        <v>#REF!</v>
      </c>
      <c r="AP7" s="30" t="e">
        <f>'Evolutive SFP'!#REF!/(#REF!+#REF!+#REF!)</f>
        <v>#REF!</v>
      </c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</row>
    <row r="8" spans="1:55" ht="15">
      <c r="A8" s="184"/>
      <c r="B8" s="2" t="s">
        <v>106</v>
      </c>
      <c r="C8" s="5"/>
      <c r="D8" s="5"/>
      <c r="E8" s="5"/>
      <c r="F8" s="44">
        <v>0.02</v>
      </c>
      <c r="G8" s="46">
        <v>5.1294613851202153E-2</v>
      </c>
      <c r="H8" s="1"/>
      <c r="I8" s="1"/>
      <c r="J8" s="26" t="e">
        <f>(#REF!+#REF!+#REF!)/'Evolutive SFP'!#REF!</f>
        <v>#REF!</v>
      </c>
      <c r="K8" s="1"/>
      <c r="L8" s="1"/>
      <c r="M8" s="26" t="e">
        <f>(#REF!+#REF!+#REF!)/'Evolutive SFP'!#REF!</f>
        <v>#REF!</v>
      </c>
      <c r="N8" s="1"/>
      <c r="O8" s="1"/>
      <c r="P8" s="21" t="e">
        <f>(#REF!+#REF!+#REF!)/'Evolutive SFP'!#REF!</f>
        <v>#REF!</v>
      </c>
      <c r="Q8" s="1"/>
      <c r="R8" s="1"/>
      <c r="S8" s="32" t="e">
        <f>(#REF!+#REF!+#REF!)/'Evolutive SFP'!#REF!</f>
        <v>#REF!</v>
      </c>
      <c r="T8" s="32" t="e">
        <f>(#REF!+#REF!+#REF!)/'Evolutive SFP'!#REF!</f>
        <v>#REF!</v>
      </c>
      <c r="U8" s="32" t="e">
        <f>(#REF!+#REF!+#REF!)/'Evolutive SFP'!#REF!</f>
        <v>#REF!</v>
      </c>
      <c r="V8" s="32" t="e">
        <f>(#REF!+#REF!+#REF!)/'Evolutive SFP'!#REF!</f>
        <v>#REF!</v>
      </c>
      <c r="W8" s="32" t="e">
        <f>(#REF!+#REF!+#REF!)/'Evolutive SFP'!#REF!</f>
        <v>#REF!</v>
      </c>
      <c r="X8" s="32" t="e">
        <f>(#REF!+#REF!+#REF!)/'Evolutive SFP'!#REF!</f>
        <v>#REF!</v>
      </c>
      <c r="Y8" s="32" t="e">
        <f>(#REF!+#REF!+#REF!)/'Evolutive SFP'!#REF!</f>
        <v>#REF!</v>
      </c>
      <c r="Z8" s="32" t="e">
        <f>(#REF!+#REF!+#REF!)/'Evolutive SFP'!#REF!</f>
        <v>#REF!</v>
      </c>
      <c r="AA8" s="32" t="e">
        <f>(#REF!+#REF!+#REF!)/'Evolutive SFP'!#REF!</f>
        <v>#REF!</v>
      </c>
      <c r="AB8" s="32" t="e">
        <f>(#REF!+#REF!+#REF!)/'Evolutive SFP'!#REF!</f>
        <v>#REF!</v>
      </c>
      <c r="AC8" s="32" t="e">
        <f>(#REF!+#REF!+#REF!)/'Evolutive SFP'!#REF!</f>
        <v>#REF!</v>
      </c>
      <c r="AD8" s="32" t="e">
        <f>(#REF!+#REF!+#REF!)/'Evolutive SFP'!#REF!</f>
        <v>#REF!</v>
      </c>
      <c r="AE8" s="32" t="e">
        <f>(#REF!+#REF!+#REF!)/'Evolutive SFP'!#REF!</f>
        <v>#REF!</v>
      </c>
      <c r="AF8" s="32" t="e">
        <f>(#REF!+#REF!+#REF!)/'Evolutive SFP'!#REF!</f>
        <v>#REF!</v>
      </c>
      <c r="AG8" s="32" t="e">
        <f>(#REF!+#REF!+#REF!)/'Evolutive SFP'!#REF!</f>
        <v>#REF!</v>
      </c>
      <c r="AH8" s="32" t="e">
        <f>(#REF!+#REF!+#REF!)/'Evolutive SFP'!#REF!</f>
        <v>#REF!</v>
      </c>
      <c r="AI8" s="32" t="e">
        <f>(#REF!+#REF!+#REF!)/'Evolutive SFP'!#REF!</f>
        <v>#REF!</v>
      </c>
      <c r="AJ8" s="32" t="e">
        <f>(#REF!+#REF!+#REF!)/'Evolutive SFP'!#REF!</f>
        <v>#REF!</v>
      </c>
      <c r="AK8" s="32" t="e">
        <f>(#REF!+#REF!+#REF!)/'Evolutive SFP'!#REF!</f>
        <v>#REF!</v>
      </c>
      <c r="AL8" s="32" t="e">
        <f>(#REF!+#REF!+#REF!)/'Evolutive SFP'!#REF!</f>
        <v>#REF!</v>
      </c>
      <c r="AM8" s="32" t="e">
        <f>(#REF!+#REF!+#REF!)/'Evolutive SFP'!#REF!</f>
        <v>#REF!</v>
      </c>
      <c r="AN8" s="32" t="e">
        <f>(#REF!+#REF!+#REF!)/'Evolutive SFP'!#REF!</f>
        <v>#REF!</v>
      </c>
      <c r="AO8" s="32" t="e">
        <f>(#REF!+#REF!+#REF!)/'Evolutive SFP'!#REF!</f>
        <v>#REF!</v>
      </c>
      <c r="AP8" s="32" t="e">
        <f>(#REF!+#REF!+#REF!)/'Evolutive SFP'!#REF!</f>
        <v>#REF!</v>
      </c>
      <c r="AQ8" s="32" t="e">
        <f>(#REF!+#REF!+#REF!)/'Evolutive SFP'!#REF!</f>
        <v>#REF!</v>
      </c>
      <c r="AR8" s="32" t="e">
        <f>(#REF!+#REF!+#REF!)/'Evolutive SFP'!#REF!</f>
        <v>#REF!</v>
      </c>
      <c r="AS8" s="32" t="e">
        <f>(#REF!+#REF!+#REF!)/'Evolutive SFP'!#REF!</f>
        <v>#REF!</v>
      </c>
      <c r="AT8" s="32" t="e">
        <f>(#REF!+#REF!+#REF!)/'Evolutive SFP'!C15</f>
        <v>#REF!</v>
      </c>
      <c r="AU8" s="32" t="e">
        <f>(#REF!+#REF!+#REF!)/'Evolutive SFP'!#REF!</f>
        <v>#REF!</v>
      </c>
      <c r="AV8" s="32" t="e">
        <f>(#REF!+#REF!+#REF!)/'Evolutive SFP'!#REF!</f>
        <v>#REF!</v>
      </c>
      <c r="AW8" s="32" t="e">
        <f>(#REF!+#REF!+#REF!)/'Evolutive SFP'!#REF!</f>
        <v>#REF!</v>
      </c>
      <c r="AX8" s="32" t="e">
        <f>(#REF!+#REF!+#REF!)/'Evolutive SFP'!#REF!</f>
        <v>#REF!</v>
      </c>
      <c r="AY8" s="32" t="e">
        <f>(#REF!+#REF!+#REF!)/'Evolutive SFP'!#REF!</f>
        <v>#REF!</v>
      </c>
      <c r="AZ8" s="32" t="e">
        <f>(#REF!+#REF!+#REF!)/'Evolutive SFP'!#REF!</f>
        <v>#REF!</v>
      </c>
      <c r="BA8" s="32" t="e">
        <f>(#REF!+#REF!+#REF!)/'Evolutive SFP'!#REF!</f>
        <v>#REF!</v>
      </c>
      <c r="BB8" s="32" t="e">
        <f>(#REF!+#REF!+#REF!)/'Evolutive SFP'!#REF!</f>
        <v>#REF!</v>
      </c>
      <c r="BC8" s="32" t="e">
        <f>(#REF!+#REF!+#REF!)/'Evolutive SFP'!#REF!</f>
        <v>#REF!</v>
      </c>
    </row>
    <row r="9" spans="1:55" ht="15">
      <c r="A9" s="182" t="s">
        <v>107</v>
      </c>
      <c r="B9" s="2" t="s">
        <v>108</v>
      </c>
      <c r="C9" s="5"/>
      <c r="D9" s="5"/>
      <c r="E9" s="4" t="e">
        <f>'Evolutitve SCI'!#REF!/(('Evolutive SFP'!#REF!+'Evolutive SFP'!#REF!)/2)</f>
        <v>#REF!</v>
      </c>
      <c r="F9" s="4"/>
      <c r="G9" s="5"/>
      <c r="H9" s="4" t="e">
        <f>'Evolutitve SCI'!#REF!/(('Evolutive SFP'!#REF!+'Evolutive SFP'!#REF!)/2)</f>
        <v>#REF!</v>
      </c>
      <c r="I9" s="4" t="e">
        <f>'Evolutitve SCI'!#REF!/(('Evolutive SFP'!#REF!+'Evolutive SFP'!#REF!)/2)</f>
        <v>#REF!</v>
      </c>
      <c r="J9" s="4" t="e">
        <f>'Evolutitve SCI'!#REF!/(('Evolutive SFP'!#REF!+'Evolutive SFP'!#REF!)/2)</f>
        <v>#REF!</v>
      </c>
      <c r="K9" s="4" t="e">
        <f>'Evolutitve SCI'!#REF!/(('Evolutive SFP'!#REF!+'Evolutive SFP'!#REF!)/2)</f>
        <v>#REF!</v>
      </c>
      <c r="L9" s="4" t="e">
        <f>'Evolutitve SCI'!#REF!/(('Evolutive SFP'!#REF!+'Evolutive SFP'!#REF!)/2)</f>
        <v>#REF!</v>
      </c>
      <c r="M9" s="4" t="e">
        <f>'Evolutitve SCI'!#REF!/(('Evolutive SFP'!#REF!+'Evolutive SFP'!#REF!)/2)</f>
        <v>#REF!</v>
      </c>
      <c r="N9" s="4" t="e">
        <f>'Evolutitve SCI'!#REF!/(('Evolutive SFP'!#REF!+'Evolutive SFP'!#REF!)/2)</f>
        <v>#REF!</v>
      </c>
      <c r="O9" s="4" t="e">
        <f>'Evolutitve SCI'!#REF!/(('Evolutive SFP'!#REF!+'Evolutive SFP'!#REF!)/2)</f>
        <v>#REF!</v>
      </c>
      <c r="P9" s="4" t="e">
        <f>'Evolutitve SCI'!#REF!/(('Evolutive SFP'!#REF!+'Evolutive SFP'!#REF!)/2)</f>
        <v>#REF!</v>
      </c>
      <c r="Q9" s="4" t="e">
        <f>'Evolutitve SCI'!#REF!/(('Evolutive SFP'!#REF!+'Evolutive SFP'!#REF!)/2)</f>
        <v>#REF!</v>
      </c>
      <c r="R9" s="4" t="e">
        <f>'Evolutitve SCI'!#REF!/(('Evolutive SFP'!#REF!+'Evolutive SFP'!#REF!)/2)</f>
        <v>#REF!</v>
      </c>
      <c r="S9" s="33" t="e">
        <f>'Evolutitve SCI'!#REF!/(('Evolutive SFP'!#REF!+'Evolutive SFP'!#REF!)/2)</f>
        <v>#REF!</v>
      </c>
      <c r="T9" s="33" t="e">
        <f>'Evolutitve SCI'!#REF!/(('Evolutive SFP'!#REF!+'Evolutive SFP'!#REF!)/2)</f>
        <v>#REF!</v>
      </c>
      <c r="U9" s="33" t="e">
        <f>'Evolutitve SCI'!#REF!/(('Evolutive SFP'!#REF!+'Evolutive SFP'!#REF!)/2)</f>
        <v>#REF!</v>
      </c>
      <c r="V9" s="33" t="e">
        <f>'Evolutitve SCI'!#REF!/(('Evolutive SFP'!#REF!+'Evolutive SFP'!#REF!)/2)</f>
        <v>#REF!</v>
      </c>
      <c r="W9" s="33" t="e">
        <f>'Evolutitve SCI'!#REF!/(('Evolutive SFP'!#REF!+'Evolutive SFP'!#REF!)/2)</f>
        <v>#REF!</v>
      </c>
      <c r="X9" s="33" t="e">
        <f>'Evolutitve SCI'!#REF!/(('Evolutive SFP'!#REF!+'Evolutive SFP'!#REF!)/2)</f>
        <v>#REF!</v>
      </c>
      <c r="Y9" s="33" t="e">
        <f>'Evolutitve SCI'!#REF!/(('Evolutive SFP'!#REF!+'Evolutive SFP'!#REF!)/2)</f>
        <v>#REF!</v>
      </c>
      <c r="Z9" s="33" t="e">
        <f>'Evolutitve SCI'!#REF!/(('Evolutive SFP'!#REF!+'Evolutive SFP'!#REF!)/2)</f>
        <v>#REF!</v>
      </c>
      <c r="AA9" s="33" t="e">
        <f>'Evolutitve SCI'!#REF!/(('Evolutive SFP'!#REF!+'Evolutive SFP'!#REF!)/2)</f>
        <v>#REF!</v>
      </c>
      <c r="AB9" s="33" t="e">
        <f>'Evolutitve SCI'!#REF!/(('Evolutive SFP'!#REF!+'Evolutive SFP'!#REF!)/2)</f>
        <v>#REF!</v>
      </c>
      <c r="AC9" s="33" t="e">
        <f>'Evolutitve SCI'!#REF!/(('Evolutive SFP'!#REF!+'Evolutive SFP'!#REF!)/2)</f>
        <v>#REF!</v>
      </c>
      <c r="AD9" s="33" t="e">
        <f>'Evolutitve SCI'!#REF!/(('Evolutive SFP'!#REF!+'Evolutive SFP'!#REF!)/2)</f>
        <v>#REF!</v>
      </c>
      <c r="AE9" s="33" t="e">
        <f>'Evolutitve SCI'!#REF!/(('Evolutive SFP'!#REF!+'Evolutive SFP'!#REF!)/2)</f>
        <v>#REF!</v>
      </c>
      <c r="AF9" s="33" t="e">
        <f>'Evolutitve SCI'!#REF!/(('Evolutive SFP'!#REF!+'Evolutive SFP'!#REF!)/2)</f>
        <v>#REF!</v>
      </c>
      <c r="AG9" s="33" t="e">
        <f>'Evolutitve SCI'!#REF!/(('Evolutive SFP'!#REF!+'Evolutive SFP'!#REF!)/2)</f>
        <v>#REF!</v>
      </c>
      <c r="AH9" s="33" t="e">
        <f>'Evolutitve SCI'!#REF!/(('Evolutive SFP'!#REF!+'Evolutive SFP'!#REF!)/2)</f>
        <v>#REF!</v>
      </c>
      <c r="AI9" s="33" t="e">
        <f>'Evolutitve SCI'!#REF!/(('Evolutive SFP'!#REF!+'Evolutive SFP'!#REF!)/2)</f>
        <v>#REF!</v>
      </c>
      <c r="AJ9" s="33" t="e">
        <f>'Evolutitve SCI'!#REF!/(('Evolutive SFP'!#REF!+'Evolutive SFP'!#REF!)/2)</f>
        <v>#REF!</v>
      </c>
      <c r="AK9" s="33" t="e">
        <f>'Evolutitve SCI'!#REF!/(('Evolutive SFP'!#REF!+'Evolutive SFP'!#REF!)/2)</f>
        <v>#REF!</v>
      </c>
      <c r="AL9" s="33" t="e">
        <f>'Evolutitve SCI'!#REF!/(('Evolutive SFP'!#REF!+'Evolutive SFP'!#REF!)/2)</f>
        <v>#REF!</v>
      </c>
      <c r="AM9" s="33" t="e">
        <f>'Evolutitve SCI'!#REF!/(('Evolutive SFP'!#REF!+'Evolutive SFP'!#REF!)/2)</f>
        <v>#REF!</v>
      </c>
      <c r="AN9" s="33" t="e">
        <f>'Evolutitve SCI'!#REF!/(('Evolutive SFP'!#REF!+'Evolutive SFP'!#REF!)/2)</f>
        <v>#REF!</v>
      </c>
      <c r="AO9" s="33" t="e">
        <f>'Evolutitve SCI'!#REF!/(('Evolutive SFP'!#REF!+'Evolutive SFP'!#REF!)/2)</f>
        <v>#REF!</v>
      </c>
      <c r="AP9" s="33" t="e">
        <f>'Evolutitve SCI'!#REF!/(('Evolutive SFP'!#REF!+'Evolutive SFP'!#REF!)/2)</f>
        <v>#REF!</v>
      </c>
      <c r="AQ9" s="33" t="e">
        <f>'Evolutitve SCI'!#REF!/(('Evolutive SFP'!#REF!+'Evolutive SFP'!#REF!)/2)</f>
        <v>#REF!</v>
      </c>
      <c r="AR9" s="33" t="e">
        <f>'Evolutitve SCI'!#REF!/(('Evolutive SFP'!#REF!+'Evolutive SFP'!#REF!)/2)</f>
        <v>#REF!</v>
      </c>
      <c r="AS9" s="33" t="e">
        <f>'Evolutitve SCI'!#REF!/(('Evolutive SFP'!#REF!+'Evolutive SFP'!#REF!)/2)</f>
        <v>#REF!</v>
      </c>
      <c r="AT9" s="33" t="e">
        <f>'Evolutitve SCI'!#REF!/(('Evolutive SFP'!#REF!+'Evolutive SFP'!C27)/2)</f>
        <v>#REF!</v>
      </c>
      <c r="AU9" s="33" t="e">
        <f>'Evolutitve SCI'!#REF!/(('Evolutive SFP'!C27+'Evolutive SFP'!#REF!)/2)</f>
        <v>#REF!</v>
      </c>
      <c r="AV9" s="33" t="e">
        <f>'Evolutitve SCI'!#REF!/(('Evolutive SFP'!#REF!+'Evolutive SFP'!#REF!)/2)</f>
        <v>#REF!</v>
      </c>
      <c r="AW9" s="33" t="e">
        <f>'Evolutitve SCI'!#REF!/(('Evolutive SFP'!#REF!+'Evolutive SFP'!#REF!)/2)</f>
        <v>#REF!</v>
      </c>
      <c r="AX9" s="33" t="e">
        <f>'Evolutitve SCI'!#REF!/(('Evolutive SFP'!#REF!+'Evolutive SFP'!#REF!)/2)</f>
        <v>#REF!</v>
      </c>
      <c r="AY9" s="33" t="e">
        <f>'Evolutitve SCI'!#REF!/(('Evolutive SFP'!#REF!+'Evolutive SFP'!#REF!)/2)</f>
        <v>#REF!</v>
      </c>
      <c r="AZ9" s="33" t="e">
        <f>'Evolutitve SCI'!#REF!/(('Evolutive SFP'!#REF!+'Evolutive SFP'!#REF!)/2)</f>
        <v>#REF!</v>
      </c>
      <c r="BA9" s="33" t="e">
        <f>'Evolutitve SCI'!#REF!/(('Evolutive SFP'!#REF!+'Evolutive SFP'!#REF!)/2)</f>
        <v>#REF!</v>
      </c>
      <c r="BB9" s="33" t="e">
        <f>'Evolutitve SCI'!#REF!/(('Evolutive SFP'!#REF!+'Evolutive SFP'!#REF!)/2)</f>
        <v>#REF!</v>
      </c>
      <c r="BC9" s="33" t="e">
        <f>'Evolutitve SCI'!#REF!/(('Evolutive SFP'!#REF!+'Evolutive SFP'!#REF!)/2)</f>
        <v>#REF!</v>
      </c>
    </row>
    <row r="10" spans="1:55" ht="15">
      <c r="A10" s="182"/>
      <c r="B10" s="2" t="s">
        <v>109</v>
      </c>
      <c r="C10" s="5"/>
      <c r="D10" s="26" t="e">
        <f>'Evolutitve SCI'!#REF!/'Evolutitve SCI'!#REF!</f>
        <v>#REF!</v>
      </c>
      <c r="E10" s="26" t="e">
        <f>'Evolutitve SCI'!#REF!/'Evolutitve SCI'!#REF!</f>
        <v>#REF!</v>
      </c>
      <c r="F10" s="26" t="e">
        <f>'Evolutitve SCI'!#REF!/'Evolutitve SCI'!#REF!</f>
        <v>#REF!</v>
      </c>
      <c r="G10" s="26" t="e">
        <f>'Evolutitve SCI'!#REF!/'Evolutitve SCI'!#REF!</f>
        <v>#REF!</v>
      </c>
      <c r="H10" s="26" t="e">
        <f>'Evolutitve SCI'!#REF!/'Evolutitve SCI'!#REF!</f>
        <v>#REF!</v>
      </c>
      <c r="I10" s="26" t="e">
        <f>'Evolutitve SCI'!#REF!/'Evolutitve SCI'!#REF!</f>
        <v>#REF!</v>
      </c>
      <c r="J10" s="26" t="e">
        <f>'Evolutitve SCI'!#REF!/'Evolutitve SCI'!#REF!</f>
        <v>#REF!</v>
      </c>
      <c r="K10" s="26" t="e">
        <f>'Evolutitve SCI'!#REF!/'Evolutitve SCI'!#REF!</f>
        <v>#REF!</v>
      </c>
      <c r="L10" s="26" t="e">
        <f>'Evolutitve SCI'!#REF!/'Evolutitve SCI'!#REF!</f>
        <v>#REF!</v>
      </c>
      <c r="M10" s="26" t="e">
        <f>'Evolutitve SCI'!#REF!/'Evolutitve SCI'!#REF!</f>
        <v>#REF!</v>
      </c>
      <c r="N10" s="26" t="e">
        <f>'Evolutitve SCI'!#REF!/'Evolutitve SCI'!#REF!</f>
        <v>#REF!</v>
      </c>
      <c r="O10" s="26" t="e">
        <f>'Evolutitve SCI'!#REF!/'Evolutitve SCI'!#REF!</f>
        <v>#REF!</v>
      </c>
      <c r="P10" s="26" t="e">
        <f>'Evolutitve SCI'!#REF!/'Evolutitve SCI'!#REF!</f>
        <v>#REF!</v>
      </c>
      <c r="Q10" s="26" t="e">
        <f>'Evolutitve SCI'!#REF!/'Evolutitve SCI'!#REF!</f>
        <v>#REF!</v>
      </c>
      <c r="R10" s="26" t="e">
        <f>'Evolutitve SCI'!#REF!/'Evolutitve SCI'!#REF!</f>
        <v>#REF!</v>
      </c>
      <c r="S10" s="30" t="e">
        <f>'Evolutitve SCI'!#REF!/'Evolutitve SCI'!#REF!</f>
        <v>#REF!</v>
      </c>
      <c r="T10" s="30" t="e">
        <f>'Evolutitve SCI'!#REF!/'Evolutitve SCI'!#REF!</f>
        <v>#REF!</v>
      </c>
      <c r="U10" s="30" t="e">
        <f>'Evolutitve SCI'!#REF!/'Evolutitve SCI'!#REF!</f>
        <v>#REF!</v>
      </c>
      <c r="V10" s="30" t="e">
        <f>'Evolutitve SCI'!#REF!/'Evolutitve SCI'!#REF!</f>
        <v>#REF!</v>
      </c>
      <c r="W10" s="30" t="e">
        <f>'Evolutitve SCI'!#REF!/'Evolutitve SCI'!#REF!</f>
        <v>#REF!</v>
      </c>
      <c r="X10" s="30" t="e">
        <f>'Evolutitve SCI'!#REF!/'Evolutitve SCI'!#REF!</f>
        <v>#REF!</v>
      </c>
      <c r="Y10" s="30" t="e">
        <f>'Evolutitve SCI'!#REF!/'Evolutitve SCI'!#REF!</f>
        <v>#REF!</v>
      </c>
      <c r="Z10" s="30" t="e">
        <f>'Evolutitve SCI'!#REF!/'Evolutitve SCI'!#REF!</f>
        <v>#REF!</v>
      </c>
      <c r="AA10" s="30" t="e">
        <f>'Evolutitve SCI'!#REF!/'Evolutitve SCI'!#REF!</f>
        <v>#REF!</v>
      </c>
      <c r="AB10" s="30" t="e">
        <f>'Evolutitve SCI'!#REF!/'Evolutitve SCI'!#REF!</f>
        <v>#REF!</v>
      </c>
      <c r="AC10" s="30" t="e">
        <f>'Evolutitve SCI'!#REF!/'Evolutitve SCI'!#REF!</f>
        <v>#REF!</v>
      </c>
      <c r="AD10" s="30" t="e">
        <f>'Evolutitve SCI'!#REF!/'Evolutitve SCI'!#REF!</f>
        <v>#REF!</v>
      </c>
      <c r="AE10" s="30" t="e">
        <f>'Evolutitve SCI'!#REF!/'Evolutitve SCI'!#REF!</f>
        <v>#REF!</v>
      </c>
      <c r="AF10" s="30" t="e">
        <f>'Evolutitve SCI'!#REF!/'Evolutitve SCI'!#REF!</f>
        <v>#REF!</v>
      </c>
      <c r="AG10" s="30" t="e">
        <f>'Evolutitve SCI'!#REF!/'Evolutitve SCI'!#REF!</f>
        <v>#REF!</v>
      </c>
      <c r="AH10" s="30" t="e">
        <f>'Evolutitve SCI'!#REF!/'Evolutitve SCI'!#REF!</f>
        <v>#REF!</v>
      </c>
      <c r="AI10" s="30" t="e">
        <f>'Evolutitve SCI'!#REF!/'Evolutitve SCI'!#REF!</f>
        <v>#REF!</v>
      </c>
      <c r="AJ10" s="30" t="e">
        <f>'Evolutitve SCI'!#REF!/'Evolutitve SCI'!#REF!</f>
        <v>#REF!</v>
      </c>
      <c r="AK10" s="30" t="e">
        <f>'Evolutitve SCI'!#REF!/'Evolutitve SCI'!#REF!</f>
        <v>#REF!</v>
      </c>
      <c r="AL10" s="30" t="e">
        <f>'Evolutitve SCI'!#REF!/'Evolutitve SCI'!#REF!</f>
        <v>#REF!</v>
      </c>
      <c r="AM10" s="30" t="e">
        <f>'Evolutitve SCI'!#REF!/'Evolutitve SCI'!#REF!</f>
        <v>#REF!</v>
      </c>
      <c r="AN10" s="30" t="e">
        <f>'Evolutitve SCI'!#REF!/'Evolutitve SCI'!#REF!</f>
        <v>#REF!</v>
      </c>
      <c r="AO10" s="30" t="e">
        <f>'Evolutitve SCI'!#REF!/'Evolutitve SCI'!#REF!</f>
        <v>#REF!</v>
      </c>
      <c r="AP10" s="30" t="e">
        <f>'Evolutitve SCI'!#REF!/'Evolutitve SCI'!#REF!</f>
        <v>#REF!</v>
      </c>
      <c r="AQ10" s="30" t="e">
        <f>'Evolutitve SCI'!#REF!/'Evolutitve SCI'!#REF!</f>
        <v>#REF!</v>
      </c>
      <c r="AR10" s="30" t="e">
        <f>'Evolutitve SCI'!#REF!/'Evolutitve SCI'!#REF!</f>
        <v>#REF!</v>
      </c>
      <c r="AS10" s="30" t="e">
        <f>'Evolutitve SCI'!#REF!/'Evolutitve SCI'!#REF!</f>
        <v>#REF!</v>
      </c>
      <c r="AT10" s="30" t="e">
        <f>'Evolutitve SCI'!#REF!/'Evolutitve SCI'!#REF!</f>
        <v>#REF!</v>
      </c>
      <c r="AU10" s="30" t="e">
        <f>'Evolutitve SCI'!#REF!/'Evolutitve SCI'!#REF!</f>
        <v>#REF!</v>
      </c>
      <c r="AV10" s="30" t="e">
        <f>'Evolutitve SCI'!#REF!/'Evolutitve SCI'!#REF!</f>
        <v>#REF!</v>
      </c>
      <c r="AW10" s="30" t="e">
        <f>'Evolutitve SCI'!#REF!/'Evolutitve SCI'!#REF!</f>
        <v>#REF!</v>
      </c>
      <c r="AX10" s="30" t="e">
        <f>'Evolutitve SCI'!#REF!/'Evolutitve SCI'!#REF!</f>
        <v>#REF!</v>
      </c>
      <c r="AY10" s="30" t="e">
        <f>'Evolutitve SCI'!#REF!/'Evolutitve SCI'!#REF!</f>
        <v>#REF!</v>
      </c>
      <c r="AZ10" s="30" t="e">
        <f>'Evolutitve SCI'!#REF!/'Evolutitve SCI'!#REF!</f>
        <v>#REF!</v>
      </c>
      <c r="BA10" s="30" t="e">
        <f>'Evolutitve SCI'!#REF!/'Evolutitve SCI'!#REF!</f>
        <v>#REF!</v>
      </c>
      <c r="BB10" s="30" t="e">
        <f>'Evolutitve SCI'!#REF!/'Evolutitve SCI'!#REF!</f>
        <v>#REF!</v>
      </c>
      <c r="BC10" s="30" t="e">
        <f>'Evolutitve SCI'!#REF!/'Evolutitve SCI'!#REF!</f>
        <v>#REF!</v>
      </c>
    </row>
    <row r="11" spans="1:55" ht="18.75" customHeight="1">
      <c r="A11" s="182"/>
      <c r="B11" s="2" t="s">
        <v>110</v>
      </c>
      <c r="C11" s="5"/>
      <c r="D11" s="26" t="e">
        <f>('Evolutitve SCI'!#REF!+'Evolutitve SCI'!#REF!)/(('Evolutive SFP'!#REF!+'Evolutive SFP'!#REF!)/2)</f>
        <v>#REF!</v>
      </c>
      <c r="E11" s="26" t="e">
        <f>('Evolutitve SCI'!#REF!+'Evolutitve SCI'!#REF!)/(('Evolutive SFP'!#REF!+'Evolutive SFP'!#REF!)/2)</f>
        <v>#REF!</v>
      </c>
      <c r="F11" s="26" t="e">
        <f>('Evolutitve SCI'!#REF!+'Evolutitve SCI'!#REF!)/(('Evolutive SFP'!#REF!+'Evolutive SFP'!#REF!)/2)</f>
        <v>#REF!</v>
      </c>
      <c r="G11" s="26" t="e">
        <f>('Evolutitve SCI'!#REF!+'Evolutitve SCI'!#REF!)/(('Evolutive SFP'!#REF!+'Evolutive SFP'!#REF!)/2)</f>
        <v>#REF!</v>
      </c>
      <c r="H11" s="26" t="e">
        <f>('Evolutitve SCI'!#REF!+'Evolutitve SCI'!#REF!)/(('Evolutive SFP'!#REF!+'Evolutive SFP'!#REF!)/2)</f>
        <v>#REF!</v>
      </c>
      <c r="I11" s="26" t="e">
        <f>('Evolutitve SCI'!#REF!+'Evolutitve SCI'!#REF!)/(('Evolutive SFP'!#REF!+'Evolutive SFP'!#REF!)/2)</f>
        <v>#REF!</v>
      </c>
      <c r="J11" s="26" t="e">
        <f>('Evolutitve SCI'!#REF!+'Evolutitve SCI'!#REF!)/(('Evolutive SFP'!#REF!+'Evolutive SFP'!#REF!)/2)</f>
        <v>#REF!</v>
      </c>
      <c r="K11" s="26" t="e">
        <f>('Evolutitve SCI'!#REF!+'Evolutitve SCI'!#REF!)/(('Evolutive SFP'!#REF!+'Evolutive SFP'!#REF!)/2)</f>
        <v>#REF!</v>
      </c>
      <c r="L11" s="26" t="e">
        <f>('Evolutitve SCI'!#REF!+'Evolutitve SCI'!#REF!)/(('Evolutive SFP'!#REF!+'Evolutive SFP'!#REF!)/2)</f>
        <v>#REF!</v>
      </c>
      <c r="M11" s="26" t="e">
        <f>('Evolutitve SCI'!#REF!+'Evolutitve SCI'!#REF!)/(('Evolutive SFP'!#REF!+'Evolutive SFP'!#REF!)/2)</f>
        <v>#REF!</v>
      </c>
      <c r="N11" s="26" t="e">
        <f>('Evolutitve SCI'!#REF!+'Evolutitve SCI'!#REF!)/(('Evolutive SFP'!#REF!+'Evolutive SFP'!#REF!)/2)</f>
        <v>#REF!</v>
      </c>
      <c r="O11" s="26" t="e">
        <f>('Evolutitve SCI'!#REF!+'Evolutitve SCI'!#REF!)/(('Evolutive SFP'!#REF!+'Evolutive SFP'!#REF!)/2)</f>
        <v>#REF!</v>
      </c>
      <c r="P11" s="26" t="e">
        <f>('Evolutitve SCI'!#REF!+'Evolutitve SCI'!#REF!)/(('Evolutive SFP'!#REF!+'Evolutive SFP'!#REF!)/2)</f>
        <v>#REF!</v>
      </c>
      <c r="Q11" s="26" t="e">
        <f>('Evolutitve SCI'!#REF!+'Evolutitve SCI'!#REF!)/(('Evolutive SFP'!#REF!+'Evolutive SFP'!#REF!)/2)</f>
        <v>#REF!</v>
      </c>
      <c r="R11" s="26" t="e">
        <f>('Evolutitve SCI'!#REF!+'Evolutitve SCI'!#REF!)/(('Evolutive SFP'!#REF!+'Evolutive SFP'!#REF!)/2)</f>
        <v>#REF!</v>
      </c>
      <c r="S11" s="26" t="e">
        <f>('Evolutitve SCI'!#REF!+'Evolutitve SCI'!#REF!)/(('Evolutive SFP'!#REF!+'Evolutive SFP'!#REF!)/2)</f>
        <v>#REF!</v>
      </c>
      <c r="T11" s="26" t="e">
        <f>('Evolutitve SCI'!#REF!+'Evolutitve SCI'!#REF!)/(('Evolutive SFP'!#REF!+'Evolutive SFP'!#REF!)/2)</f>
        <v>#REF!</v>
      </c>
      <c r="U11" s="26" t="e">
        <f>('Evolutitve SCI'!#REF!+'Evolutitve SCI'!#REF!)/(('Evolutive SFP'!#REF!+'Evolutive SFP'!#REF!)/2)</f>
        <v>#REF!</v>
      </c>
      <c r="V11" s="26" t="e">
        <f>('Evolutitve SCI'!#REF!+'Evolutitve SCI'!#REF!)/(('Evolutive SFP'!#REF!+'Evolutive SFP'!#REF!)/2)</f>
        <v>#REF!</v>
      </c>
      <c r="W11" s="26" t="e">
        <f>('Evolutitve SCI'!#REF!+'Evolutitve SCI'!#REF!)/(('Evolutive SFP'!#REF!+'Evolutive SFP'!#REF!)/2)</f>
        <v>#REF!</v>
      </c>
      <c r="X11" s="26" t="e">
        <f>('Evolutitve SCI'!#REF!+'Evolutitve SCI'!#REF!)/(('Evolutive SFP'!#REF!+'Evolutive SFP'!#REF!)/2)</f>
        <v>#REF!</v>
      </c>
      <c r="Y11" s="26" t="e">
        <f>('Evolutitve SCI'!#REF!+'Evolutitve SCI'!#REF!)/(('Evolutive SFP'!#REF!+'Evolutive SFP'!#REF!)/2)</f>
        <v>#REF!</v>
      </c>
      <c r="Z11" s="26" t="e">
        <f>('Evolutitve SCI'!#REF!+'Evolutitve SCI'!#REF!)/(('Evolutive SFP'!#REF!+'Evolutive SFP'!#REF!)/2)</f>
        <v>#REF!</v>
      </c>
      <c r="AA11" s="26" t="e">
        <f>('Evolutitve SCI'!#REF!+'Evolutitve SCI'!#REF!)/(('Evolutive SFP'!#REF!+'Evolutive SFP'!#REF!)/2)</f>
        <v>#REF!</v>
      </c>
      <c r="AB11" s="26" t="e">
        <f>('Evolutitve SCI'!#REF!+'Evolutitve SCI'!#REF!)/(('Evolutive SFP'!#REF!+'Evolutive SFP'!#REF!)/2)</f>
        <v>#REF!</v>
      </c>
      <c r="AC11" s="26" t="e">
        <f>('Evolutitve SCI'!#REF!+'Evolutitve SCI'!#REF!)/(('Evolutive SFP'!#REF!+'Evolutive SFP'!#REF!)/2)</f>
        <v>#REF!</v>
      </c>
      <c r="AD11" s="26" t="e">
        <f>('Evolutitve SCI'!#REF!+'Evolutitve SCI'!#REF!)/(('Evolutive SFP'!#REF!+'Evolutive SFP'!#REF!)/2)</f>
        <v>#REF!</v>
      </c>
      <c r="AE11" s="26" t="e">
        <f>('Evolutitve SCI'!#REF!+'Evolutitve SCI'!#REF!)/(('Evolutive SFP'!#REF!+'Evolutive SFP'!#REF!)/2)</f>
        <v>#REF!</v>
      </c>
      <c r="AF11" s="26" t="e">
        <f>('Evolutitve SCI'!#REF!+'Evolutitve SCI'!#REF!)/(('Evolutive SFP'!#REF!+'Evolutive SFP'!#REF!)/2)</f>
        <v>#REF!</v>
      </c>
      <c r="AG11" s="26" t="e">
        <f>('Evolutitve SCI'!#REF!+'Evolutitve SCI'!#REF!)/(('Evolutive SFP'!#REF!+'Evolutive SFP'!#REF!)/2)</f>
        <v>#REF!</v>
      </c>
      <c r="AH11" s="26" t="e">
        <f>('Evolutitve SCI'!#REF!+'Evolutitve SCI'!#REF!)/(('Evolutive SFP'!#REF!+'Evolutive SFP'!#REF!)/2)</f>
        <v>#REF!</v>
      </c>
      <c r="AI11" s="26" t="e">
        <f>('Evolutitve SCI'!#REF!+'Evolutitve SCI'!#REF!)/(('Evolutive SFP'!#REF!+'Evolutive SFP'!#REF!)/2)</f>
        <v>#REF!</v>
      </c>
      <c r="AJ11" s="26" t="e">
        <f>('Evolutitve SCI'!#REF!+'Evolutitve SCI'!#REF!)/(('Evolutive SFP'!#REF!+'Evolutive SFP'!#REF!)/2)</f>
        <v>#REF!</v>
      </c>
      <c r="AK11" s="26" t="e">
        <f>('Evolutitve SCI'!#REF!+'Evolutitve SCI'!#REF!)/(('Evolutive SFP'!#REF!+'Evolutive SFP'!#REF!)/2)</f>
        <v>#REF!</v>
      </c>
      <c r="AL11" s="26" t="e">
        <f>('Evolutitve SCI'!#REF!+'Evolutitve SCI'!#REF!)/(('Evolutive SFP'!#REF!+'Evolutive SFP'!#REF!)/2)</f>
        <v>#REF!</v>
      </c>
      <c r="AM11" s="26" t="e">
        <f>('Evolutitve SCI'!#REF!+'Evolutitve SCI'!#REF!)/(('Evolutive SFP'!#REF!+'Evolutive SFP'!#REF!)/2)</f>
        <v>#REF!</v>
      </c>
      <c r="AN11" s="26" t="e">
        <f>('Evolutitve SCI'!#REF!+'Evolutitve SCI'!#REF!)/(('Evolutive SFP'!#REF!+'Evolutive SFP'!#REF!)/2)</f>
        <v>#REF!</v>
      </c>
      <c r="AO11" s="26" t="e">
        <f>('Evolutitve SCI'!#REF!+'Evolutitve SCI'!#REF!)/(('Evolutive SFP'!#REF!+'Evolutive SFP'!#REF!)/2)</f>
        <v>#REF!</v>
      </c>
      <c r="AP11" s="26" t="e">
        <f>('Evolutitve SCI'!#REF!+'Evolutitve SCI'!#REF!)/(('Evolutive SFP'!#REF!+'Evolutive SFP'!#REF!)/2)</f>
        <v>#REF!</v>
      </c>
      <c r="AQ11" s="26" t="e">
        <f>('Evolutitve SCI'!#REF!+'Evolutitve SCI'!#REF!)/(('Evolutive SFP'!#REF!+'Evolutive SFP'!#REF!)/2)</f>
        <v>#REF!</v>
      </c>
      <c r="AR11" s="26" t="e">
        <f>('Evolutitve SCI'!#REF!+'Evolutitve SCI'!#REF!)/(('Evolutive SFP'!#REF!+'Evolutive SFP'!C27)/2)</f>
        <v>#REF!</v>
      </c>
      <c r="AS11" s="26" t="e">
        <f>('Evolutitve SCI'!#REF!+'Evolutitve SCI'!#REF!)/(('Evolutive SFP'!#REF!+'Evolutive SFP'!#REF!)/2)</f>
        <v>#REF!</v>
      </c>
      <c r="AT11" s="26" t="e">
        <f>('Evolutitve SCI'!#REF!+'Evolutitve SCI'!#REF!)/(('Evolutive SFP'!C27+'Evolutive SFP'!#REF!)/2)</f>
        <v>#REF!</v>
      </c>
      <c r="AU11" s="26" t="e">
        <f>('Evolutitve SCI'!#REF!+'Evolutitve SCI'!#REF!)/(('Evolutive SFP'!#REF!+'Evolutive SFP'!#REF!)/2)</f>
        <v>#REF!</v>
      </c>
      <c r="AV11" s="26" t="e">
        <f>('Evolutitve SCI'!#REF!+'Evolutitve SCI'!#REF!)/(('Evolutive SFP'!#REF!+'Evolutive SFP'!#REF!)/2)</f>
        <v>#REF!</v>
      </c>
      <c r="AW11" s="26" t="e">
        <f>('Evolutitve SCI'!#REF!+'Evolutitve SCI'!#REF!)/(('Evolutive SFP'!#REF!+'Evolutive SFP'!#REF!)/2)</f>
        <v>#REF!</v>
      </c>
      <c r="AX11" s="26" t="e">
        <f>('Evolutitve SCI'!#REF!+'Evolutitve SCI'!#REF!)/(('Evolutive SFP'!#REF!+'Evolutive SFP'!#REF!)/2)</f>
        <v>#REF!</v>
      </c>
      <c r="AY11" s="26" t="e">
        <f>('Evolutitve SCI'!#REF!+'Evolutitve SCI'!#REF!)/(('Evolutive SFP'!#REF!+'Evolutive SFP'!#REF!)/2)</f>
        <v>#REF!</v>
      </c>
      <c r="AZ11" s="26" t="e">
        <f>('Evolutitve SCI'!#REF!+'Evolutitve SCI'!#REF!)/(('Evolutive SFP'!#REF!+'Evolutive SFP'!#REF!)/2)</f>
        <v>#REF!</v>
      </c>
      <c r="BA11" s="26" t="e">
        <f>('Evolutitve SCI'!#REF!+'Evolutitve SCI'!#REF!)/(('Evolutive SFP'!#REF!+'Evolutive SFP'!#REF!)/2)</f>
        <v>#REF!</v>
      </c>
      <c r="BB11" s="26" t="e">
        <f>('Evolutitve SCI'!#REF!+'Evolutitve SCI'!#REF!)/(('Evolutive SFP'!#REF!+'Evolutive SFP'!#REF!)/2)</f>
        <v>#REF!</v>
      </c>
      <c r="BC11" s="26" t="e">
        <f>('Evolutitve SCI'!#REF!+'Evolutitve SCI'!#REF!)/(('Evolutive SFP'!#REF!+'Evolutive SFP'!#REF!)/2)</f>
        <v>#REF!</v>
      </c>
    </row>
    <row r="12" spans="1:55" ht="15">
      <c r="A12" s="182" t="s">
        <v>111</v>
      </c>
      <c r="B12" s="2" t="s">
        <v>112</v>
      </c>
      <c r="C12" s="5" t="s">
        <v>113</v>
      </c>
      <c r="D12" s="26" t="e">
        <f>('Evolutive SFP'!#REF!)/('Evolutive SFP'!#REF!+'Evolutive SFP'!#REF!+'Evolutive SFP'!#REF!+'Evolutive SFP'!#REF!+'Evolutive SFP'!#REF!+'Evolutive SFP'!#REF!+'Evolutive SFP'!#REF!)</f>
        <v>#REF!</v>
      </c>
      <c r="E12" s="26" t="e">
        <f>('Evolutive SFP'!#REF!)/('Evolutive SFP'!#REF!+'Evolutive SFP'!#REF!+'Evolutive SFP'!#REF!+'Evolutive SFP'!#REF!+'Evolutive SFP'!#REF!+'Evolutive SFP'!#REF!+'Evolutive SFP'!#REF!)</f>
        <v>#REF!</v>
      </c>
      <c r="F12" s="26" t="e">
        <f>('Evolutive SFP'!#REF!)/('Evolutive SFP'!#REF!+'Evolutive SFP'!#REF!+'Evolutive SFP'!#REF!+'Evolutive SFP'!#REF!+'Evolutive SFP'!#REF!+'Evolutive SFP'!#REF!+'Evolutive SFP'!#REF!)</f>
        <v>#REF!</v>
      </c>
      <c r="G12" s="26" t="e">
        <f>('Evolutive SFP'!#REF!)/('Evolutive SFP'!#REF!+'Evolutive SFP'!#REF!+'Evolutive SFP'!#REF!+'Evolutive SFP'!#REF!+'Evolutive SFP'!#REF!+'Evolutive SFP'!#REF!+'Evolutive SFP'!#REF!)</f>
        <v>#REF!</v>
      </c>
      <c r="H12" s="26" t="e">
        <f>('Evolutive SFP'!#REF!)/('Evolutive SFP'!#REF!+'Evolutive SFP'!#REF!+'Evolutive SFP'!#REF!+'Evolutive SFP'!#REF!+'Evolutive SFP'!#REF!+'Evolutive SFP'!#REF!+'Evolutive SFP'!#REF!)</f>
        <v>#REF!</v>
      </c>
      <c r="I12" s="26" t="e">
        <f>('Evolutive SFP'!#REF!)/('Evolutive SFP'!#REF!+'Evolutive SFP'!#REF!+'Evolutive SFP'!#REF!+'Evolutive SFP'!#REF!+'Evolutive SFP'!#REF!+'Evolutive SFP'!#REF!+'Evolutive SFP'!#REF!)</f>
        <v>#REF!</v>
      </c>
      <c r="J12" s="26" t="e">
        <f>('Evolutive SFP'!#REF!)/('Evolutive SFP'!#REF!+'Evolutive SFP'!#REF!+'Evolutive SFP'!#REF!+'Evolutive SFP'!#REF!+'Evolutive SFP'!#REF!+'Evolutive SFP'!#REF!+'Evolutive SFP'!#REF!)</f>
        <v>#REF!</v>
      </c>
      <c r="K12" s="26" t="e">
        <f>('Evolutive SFP'!#REF!)/('Evolutive SFP'!#REF!+'Evolutive SFP'!#REF!+'Evolutive SFP'!#REF!+'Evolutive SFP'!#REF!+'Evolutive SFP'!#REF!+'Evolutive SFP'!#REF!+'Evolutive SFP'!#REF!)</f>
        <v>#REF!</v>
      </c>
      <c r="L12" s="26" t="e">
        <f>('Evolutive SFP'!#REF!)/('Evolutive SFP'!#REF!+'Evolutive SFP'!#REF!+'Evolutive SFP'!#REF!+'Evolutive SFP'!#REF!+'Evolutive SFP'!#REF!+'Evolutive SFP'!#REF!+'Evolutive SFP'!#REF!)</f>
        <v>#REF!</v>
      </c>
      <c r="M12" s="26" t="e">
        <f>('Evolutive SFP'!#REF!)/('Evolutive SFP'!#REF!+'Evolutive SFP'!#REF!+'Evolutive SFP'!#REF!+'Evolutive SFP'!#REF!+'Evolutive SFP'!#REF!+'Evolutive SFP'!#REF!+'Evolutive SFP'!#REF!)</f>
        <v>#REF!</v>
      </c>
      <c r="N12" s="26" t="e">
        <f>('Evolutive SFP'!#REF!)/('Evolutive SFP'!#REF!+'Evolutive SFP'!#REF!+'Evolutive SFP'!#REF!+'Evolutive SFP'!#REF!+'Evolutive SFP'!#REF!+'Evolutive SFP'!#REF!+'Evolutive SFP'!#REF!)</f>
        <v>#REF!</v>
      </c>
      <c r="O12" s="26" t="e">
        <f>('Evolutive SFP'!#REF!)/('Evolutive SFP'!#REF!+'Evolutive SFP'!#REF!+'Evolutive SFP'!#REF!+'Evolutive SFP'!#REF!+'Evolutive SFP'!#REF!+'Evolutive SFP'!#REF!+'Evolutive SFP'!#REF!)</f>
        <v>#REF!</v>
      </c>
      <c r="P12" s="26" t="e">
        <f>('Evolutive SFP'!#REF!)/('Evolutive SFP'!#REF!+'Evolutive SFP'!#REF!+'Evolutive SFP'!#REF!+'Evolutive SFP'!#REF!+'Evolutive SFP'!#REF!+'Evolutive SFP'!#REF!+'Evolutive SFP'!#REF!)</f>
        <v>#REF!</v>
      </c>
      <c r="Q12" s="26" t="e">
        <f>('Evolutive SFP'!#REF!)/('Evolutive SFP'!#REF!+'Evolutive SFP'!#REF!+'Evolutive SFP'!#REF!+'Evolutive SFP'!#REF!+'Evolutive SFP'!#REF!+'Evolutive SFP'!#REF!+'Evolutive SFP'!#REF!)</f>
        <v>#REF!</v>
      </c>
      <c r="R12" s="26" t="e">
        <f>('Evolutive SFP'!#REF!)/('Evolutive SFP'!#REF!+'Evolutive SFP'!#REF!+'Evolutive SFP'!#REF!+'Evolutive SFP'!#REF!+'Evolutive SFP'!#REF!+'Evolutive SFP'!#REF!+'Evolutive SFP'!#REF!)</f>
        <v>#REF!</v>
      </c>
      <c r="S12" s="30" t="e">
        <f>('Evolutive SFP'!#REF!)/('Evolutive SFP'!#REF!+'Evolutive SFP'!#REF!+'Evolutive SFP'!#REF!+'Evolutive SFP'!#REF!+'Evolutive SFP'!#REF!+'Evolutive SFP'!#REF!+'Evolutive SFP'!#REF!)</f>
        <v>#REF!</v>
      </c>
      <c r="T12" s="30" t="e">
        <f>('Evolutive SFP'!#REF!)/('Evolutive SFP'!#REF!+'Evolutive SFP'!#REF!+'Evolutive SFP'!#REF!+'Evolutive SFP'!#REF!+'Evolutive SFP'!#REF!+'Evolutive SFP'!#REF!+'Evolutive SFP'!#REF!)</f>
        <v>#REF!</v>
      </c>
      <c r="U12" s="30" t="e">
        <f>('Evolutive SFP'!#REF!)/('Evolutive SFP'!#REF!+'Evolutive SFP'!#REF!+'Evolutive SFP'!#REF!+'Evolutive SFP'!#REF!+'Evolutive SFP'!#REF!+'Evolutive SFP'!#REF!+'Evolutive SFP'!#REF!)</f>
        <v>#REF!</v>
      </c>
      <c r="V12" s="30" t="e">
        <f>('Evolutive SFP'!#REF!)/('Evolutive SFP'!#REF!+'Evolutive SFP'!#REF!+'Evolutive SFP'!#REF!+'Evolutive SFP'!#REF!+'Evolutive SFP'!#REF!+'Evolutive SFP'!#REF!+'Evolutive SFP'!#REF!)</f>
        <v>#REF!</v>
      </c>
      <c r="W12" s="30" t="e">
        <f>('Evolutive SFP'!#REF!)/('Evolutive SFP'!#REF!+'Evolutive SFP'!#REF!+'Evolutive SFP'!#REF!+'Evolutive SFP'!#REF!+'Evolutive SFP'!#REF!+'Evolutive SFP'!#REF!+'Evolutive SFP'!#REF!)</f>
        <v>#REF!</v>
      </c>
      <c r="X12" s="30" t="e">
        <f>('Evolutive SFP'!#REF!)/('Evolutive SFP'!#REF!+'Evolutive SFP'!#REF!+'Evolutive SFP'!#REF!+'Evolutive SFP'!#REF!+'Evolutive SFP'!#REF!+'Evolutive SFP'!#REF!+'Evolutive SFP'!#REF!)</f>
        <v>#REF!</v>
      </c>
      <c r="Y12" s="30" t="e">
        <f>('Evolutive SFP'!#REF!)/('Evolutive SFP'!#REF!+'Evolutive SFP'!#REF!+'Evolutive SFP'!#REF!+'Evolutive SFP'!#REF!+'Evolutive SFP'!#REF!+'Evolutive SFP'!#REF!+'Evolutive SFP'!#REF!)</f>
        <v>#REF!</v>
      </c>
      <c r="Z12" s="30" t="e">
        <f>('Evolutive SFP'!#REF!)/('Evolutive SFP'!#REF!+'Evolutive SFP'!#REF!+'Evolutive SFP'!#REF!+'Evolutive SFP'!#REF!+'Evolutive SFP'!#REF!+'Evolutive SFP'!#REF!+'Evolutive SFP'!#REF!)</f>
        <v>#REF!</v>
      </c>
      <c r="AA12" s="30" t="e">
        <f>('Evolutive SFP'!#REF!)/('Evolutive SFP'!#REF!+'Evolutive SFP'!#REF!+'Evolutive SFP'!#REF!+'Evolutive SFP'!#REF!+'Evolutive SFP'!#REF!+'Evolutive SFP'!#REF!+'Evolutive SFP'!#REF!)</f>
        <v>#REF!</v>
      </c>
      <c r="AB12" s="30" t="e">
        <f>('Evolutive SFP'!#REF!)/('Evolutive SFP'!#REF!+'Evolutive SFP'!#REF!+'Evolutive SFP'!#REF!+'Evolutive SFP'!#REF!+'Evolutive SFP'!#REF!+'Evolutive SFP'!#REF!+'Evolutive SFP'!#REF!)</f>
        <v>#REF!</v>
      </c>
      <c r="AC12" s="30" t="e">
        <f>('Evolutive SFP'!#REF!)/('Evolutive SFP'!#REF!+'Evolutive SFP'!#REF!+'Evolutive SFP'!#REF!+'Evolutive SFP'!#REF!+'Evolutive SFP'!#REF!+'Evolutive SFP'!#REF!+'Evolutive SFP'!#REF!)</f>
        <v>#REF!</v>
      </c>
      <c r="AD12" s="30" t="e">
        <f>('Evolutive SFP'!#REF!)/('Evolutive SFP'!#REF!+'Evolutive SFP'!#REF!+'Evolutive SFP'!#REF!+'Evolutive SFP'!#REF!+'Evolutive SFP'!#REF!+'Evolutive SFP'!#REF!+'Evolutive SFP'!#REF!)</f>
        <v>#REF!</v>
      </c>
      <c r="AE12" s="30" t="e">
        <f>('Evolutive SFP'!#REF!)/('Evolutive SFP'!#REF!+'Evolutive SFP'!#REF!+'Evolutive SFP'!#REF!+'Evolutive SFP'!#REF!+'Evolutive SFP'!#REF!+'Evolutive SFP'!#REF!+'Evolutive SFP'!#REF!)</f>
        <v>#REF!</v>
      </c>
      <c r="AF12" s="30" t="e">
        <f>('Evolutive SFP'!#REF!)/('Evolutive SFP'!#REF!+'Evolutive SFP'!#REF!+'Evolutive SFP'!#REF!+'Evolutive SFP'!#REF!+'Evolutive SFP'!#REF!+'Evolutive SFP'!#REF!+'Evolutive SFP'!#REF!)</f>
        <v>#REF!</v>
      </c>
      <c r="AG12" s="30" t="e">
        <f>('Evolutive SFP'!#REF!)/('Evolutive SFP'!#REF!+'Evolutive SFP'!#REF!+'Evolutive SFP'!#REF!+'Evolutive SFP'!#REF!+'Evolutive SFP'!#REF!+'Evolutive SFP'!#REF!+'Evolutive SFP'!#REF!)</f>
        <v>#REF!</v>
      </c>
      <c r="AH12" s="30" t="e">
        <f>('Evolutive SFP'!#REF!)/('Evolutive SFP'!#REF!+'Evolutive SFP'!#REF!+'Evolutive SFP'!#REF!+'Evolutive SFP'!#REF!+'Evolutive SFP'!#REF!+'Evolutive SFP'!#REF!+'Evolutive SFP'!#REF!)</f>
        <v>#REF!</v>
      </c>
      <c r="AI12" s="30" t="e">
        <f>('Evolutive SFP'!#REF!)/('Evolutive SFP'!#REF!+'Evolutive SFP'!#REF!+'Evolutive SFP'!#REF!+'Evolutive SFP'!#REF!+'Evolutive SFP'!#REF!+'Evolutive SFP'!#REF!+'Evolutive SFP'!#REF!)</f>
        <v>#REF!</v>
      </c>
      <c r="AJ12" s="30" t="e">
        <f>('Evolutive SFP'!#REF!)/('Evolutive SFP'!#REF!+'Evolutive SFP'!#REF!+'Evolutive SFP'!#REF!+'Evolutive SFP'!#REF!+'Evolutive SFP'!#REF!+'Evolutive SFP'!#REF!+'Evolutive SFP'!#REF!)</f>
        <v>#REF!</v>
      </c>
      <c r="AK12" s="30" t="e">
        <f>('Evolutive SFP'!#REF!)/('Evolutive SFP'!#REF!+'Evolutive SFP'!#REF!+'Evolutive SFP'!#REF!+'Evolutive SFP'!#REF!+'Evolutive SFP'!#REF!+'Evolutive SFP'!#REF!+'Evolutive SFP'!#REF!)</f>
        <v>#REF!</v>
      </c>
      <c r="AL12" s="30" t="e">
        <f>('Evolutive SFP'!#REF!)/('Evolutive SFP'!#REF!+'Evolutive SFP'!#REF!+'Evolutive SFP'!#REF!+'Evolutive SFP'!#REF!+'Evolutive SFP'!#REF!+'Evolutive SFP'!#REF!+'Evolutive SFP'!#REF!)</f>
        <v>#REF!</v>
      </c>
      <c r="AM12" s="30" t="e">
        <f>('Evolutive SFP'!#REF!)/('Evolutive SFP'!#REF!+'Evolutive SFP'!#REF!+'Evolutive SFP'!#REF!+'Evolutive SFP'!#REF!+'Evolutive SFP'!#REF!+'Evolutive SFP'!#REF!+'Evolutive SFP'!#REF!)</f>
        <v>#REF!</v>
      </c>
      <c r="AN12" s="30" t="e">
        <f>('Evolutive SFP'!#REF!)/('Evolutive SFP'!#REF!+'Evolutive SFP'!#REF!+'Evolutive SFP'!#REF!+'Evolutive SFP'!#REF!+'Evolutive SFP'!#REF!+'Evolutive SFP'!#REF!+'Evolutive SFP'!#REF!)</f>
        <v>#REF!</v>
      </c>
      <c r="AO12" s="30" t="e">
        <f>('Evolutive SFP'!#REF!)/('Evolutive SFP'!#REF!+'Evolutive SFP'!#REF!+'Evolutive SFP'!#REF!+'Evolutive SFP'!#REF!+'Evolutive SFP'!#REF!+'Evolutive SFP'!#REF!+'Evolutive SFP'!#REF!)</f>
        <v>#REF!</v>
      </c>
      <c r="AP12" s="30" t="e">
        <f>('Evolutive SFP'!#REF!)/('Evolutive SFP'!#REF!+'Evolutive SFP'!#REF!+'Evolutive SFP'!#REF!+'Evolutive SFP'!#REF!+'Evolutive SFP'!#REF!+'Evolutive SFP'!#REF!+'Evolutive SFP'!#REF!)</f>
        <v>#REF!</v>
      </c>
      <c r="AQ12" s="30" t="e">
        <f>('Evolutive SFP'!#REF!)/('Evolutive SFP'!#REF!+'Evolutive SFP'!#REF!+'Evolutive SFP'!#REF!+'Evolutive SFP'!#REF!+'Evolutive SFP'!#REF!+'Evolutive SFP'!#REF!+'Evolutive SFP'!#REF!)</f>
        <v>#REF!</v>
      </c>
      <c r="AR12" s="30" t="e">
        <f>('Evolutive SFP'!#REF!)/('Evolutive SFP'!#REF!+'Evolutive SFP'!#REF!+'Evolutive SFP'!#REF!+'Evolutive SFP'!#REF!+'Evolutive SFP'!#REF!+'Evolutive SFP'!#REF!+'Evolutive SFP'!#REF!)</f>
        <v>#REF!</v>
      </c>
      <c r="AS12" s="30" t="e">
        <f>('Evolutive SFP'!#REF!)/('Evolutive SFP'!#REF!+'Evolutive SFP'!#REF!+'Evolutive SFP'!#REF!+'Evolutive SFP'!#REF!+'Evolutive SFP'!#REF!+'Evolutive SFP'!#REF!+'Evolutive SFP'!#REF!)</f>
        <v>#REF!</v>
      </c>
      <c r="AT12" s="30">
        <f>('Evolutive SFP'!C4)/('Evolutive SFP'!C28+'Evolutive SFP'!C29+'Evolutive SFP'!C32+'Evolutive SFP'!C33+'Evolutive SFP'!C34+'Evolutive SFP'!C35+'Evolutive SFP'!C36)</f>
        <v>0.39933578973011558</v>
      </c>
      <c r="AU12" s="30" t="e">
        <f>('Evolutive SFP'!#REF!)/('Evolutive SFP'!#REF!+'Evolutive SFP'!#REF!+'Evolutive SFP'!#REF!+'Evolutive SFP'!#REF!+'Evolutive SFP'!#REF!+'Evolutive SFP'!#REF!+'Evolutive SFP'!#REF!)</f>
        <v>#REF!</v>
      </c>
      <c r="AV12" s="30" t="e">
        <f>('Evolutive SFP'!#REF!)/('Evolutive SFP'!#REF!+'Evolutive SFP'!#REF!+'Evolutive SFP'!#REF!+'Evolutive SFP'!#REF!+'Evolutive SFP'!#REF!+'Evolutive SFP'!#REF!+'Evolutive SFP'!#REF!)</f>
        <v>#REF!</v>
      </c>
      <c r="AW12" s="30" t="e">
        <f>('Evolutive SFP'!#REF!)/('Evolutive SFP'!#REF!+'Evolutive SFP'!#REF!+'Evolutive SFP'!#REF!+'Evolutive SFP'!#REF!+'Evolutive SFP'!#REF!+'Evolutive SFP'!#REF!+'Evolutive SFP'!#REF!)</f>
        <v>#REF!</v>
      </c>
      <c r="AX12" s="30" t="e">
        <f>('Evolutive SFP'!#REF!)/('Evolutive SFP'!#REF!+'Evolutive SFP'!#REF!+'Evolutive SFP'!#REF!+'Evolutive SFP'!#REF!+'Evolutive SFP'!#REF!+'Evolutive SFP'!#REF!+'Evolutive SFP'!#REF!)</f>
        <v>#REF!</v>
      </c>
      <c r="AY12" s="30" t="e">
        <f>('Evolutive SFP'!#REF!)/('Evolutive SFP'!#REF!+'Evolutive SFP'!#REF!+'Evolutive SFP'!#REF!+'Evolutive SFP'!#REF!+'Evolutive SFP'!#REF!+'Evolutive SFP'!#REF!+'Evolutive SFP'!#REF!)</f>
        <v>#REF!</v>
      </c>
      <c r="AZ12" s="30" t="e">
        <f>('Evolutive SFP'!#REF!)/('Evolutive SFP'!#REF!+'Evolutive SFP'!#REF!+'Evolutive SFP'!#REF!+'Evolutive SFP'!#REF!+'Evolutive SFP'!#REF!+'Evolutive SFP'!#REF!+'Evolutive SFP'!#REF!)</f>
        <v>#REF!</v>
      </c>
      <c r="BA12" s="30" t="e">
        <f>('Evolutive SFP'!#REF!)/('Evolutive SFP'!#REF!+'Evolutive SFP'!#REF!+'Evolutive SFP'!#REF!+'Evolutive SFP'!#REF!+'Evolutive SFP'!#REF!+'Evolutive SFP'!#REF!+'Evolutive SFP'!#REF!)</f>
        <v>#REF!</v>
      </c>
      <c r="BB12" s="30" t="e">
        <f>('Evolutive SFP'!#REF!)/('Evolutive SFP'!#REF!+'Evolutive SFP'!#REF!+'Evolutive SFP'!#REF!+'Evolutive SFP'!#REF!+'Evolutive SFP'!#REF!+'Evolutive SFP'!#REF!+'Evolutive SFP'!#REF!)</f>
        <v>#REF!</v>
      </c>
      <c r="BC12" s="30" t="e">
        <f>('Evolutive SFP'!#REF!)/('Evolutive SFP'!#REF!+'Evolutive SFP'!#REF!+'Evolutive SFP'!#REF!+'Evolutive SFP'!#REF!+'Evolutive SFP'!#REF!+'Evolutive SFP'!#REF!+'Evolutive SFP'!#REF!)</f>
        <v>#REF!</v>
      </c>
    </row>
    <row r="13" spans="1:55" ht="15">
      <c r="A13" s="182"/>
      <c r="B13" s="2" t="s">
        <v>114</v>
      </c>
      <c r="C13" s="22"/>
      <c r="D13" s="26" t="e">
        <f>('Evolutive SFP'!#REF!+'Evolutive SFP'!#REF!)/('Evolutive SFP'!#REF!+'Evolutive SFP'!#REF!+'Evolutive SFP'!#REF!+'Evolutive SFP'!#REF!+'Evolutive SFP'!#REF!+'Evolutive SFP'!#REF!)</f>
        <v>#REF!</v>
      </c>
      <c r="E13" s="26" t="e">
        <f>('Evolutive SFP'!#REF!+'Evolutive SFP'!#REF!)/('Evolutive SFP'!#REF!+'Evolutive SFP'!#REF!+'Evolutive SFP'!#REF!+'Evolutive SFP'!#REF!+'Evolutive SFP'!#REF!+'Evolutive SFP'!#REF!)</f>
        <v>#REF!</v>
      </c>
      <c r="F13" s="26" t="e">
        <f>('Evolutive SFP'!#REF!+'Evolutive SFP'!#REF!)/('Evolutive SFP'!#REF!+'Evolutive SFP'!#REF!+'Evolutive SFP'!#REF!+'Evolutive SFP'!#REF!+'Evolutive SFP'!#REF!+'Evolutive SFP'!#REF!)</f>
        <v>#REF!</v>
      </c>
      <c r="G13" s="26" t="e">
        <f>('Evolutive SFP'!#REF!+'Evolutive SFP'!#REF!)/('Evolutive SFP'!#REF!+'Evolutive SFP'!#REF!+'Evolutive SFP'!#REF!+'Evolutive SFP'!#REF!+'Evolutive SFP'!#REF!+'Evolutive SFP'!#REF!)</f>
        <v>#REF!</v>
      </c>
      <c r="H13" s="26" t="e">
        <f>('Evolutive SFP'!#REF!+'Evolutive SFP'!#REF!)/('Evolutive SFP'!#REF!+'Evolutive SFP'!#REF!+'Evolutive SFP'!#REF!+'Evolutive SFP'!#REF!+'Evolutive SFP'!#REF!+'Evolutive SFP'!#REF!)</f>
        <v>#REF!</v>
      </c>
      <c r="I13" s="26" t="e">
        <f>('Evolutive SFP'!#REF!+'Evolutive SFP'!#REF!)/('Evolutive SFP'!#REF!+'Evolutive SFP'!#REF!+'Evolutive SFP'!#REF!+'Evolutive SFP'!#REF!+'Evolutive SFP'!#REF!+'Evolutive SFP'!#REF!)</f>
        <v>#REF!</v>
      </c>
      <c r="J13" s="26" t="e">
        <f>('Evolutive SFP'!#REF!+'Evolutive SFP'!#REF!)/('Evolutive SFP'!#REF!+'Evolutive SFP'!#REF!+'Evolutive SFP'!#REF!+'Evolutive SFP'!#REF!+'Evolutive SFP'!#REF!+'Evolutive SFP'!#REF!)</f>
        <v>#REF!</v>
      </c>
      <c r="K13" s="26" t="e">
        <f>('Evolutive SFP'!#REF!+'Evolutive SFP'!#REF!)/('Evolutive SFP'!#REF!+'Evolutive SFP'!#REF!+'Evolutive SFP'!#REF!+'Evolutive SFP'!#REF!+'Evolutive SFP'!#REF!+'Evolutive SFP'!#REF!)</f>
        <v>#REF!</v>
      </c>
      <c r="L13" s="26" t="e">
        <f>('Evolutive SFP'!#REF!+'Evolutive SFP'!#REF!)/('Evolutive SFP'!#REF!+'Evolutive SFP'!#REF!+'Evolutive SFP'!#REF!+'Evolutive SFP'!#REF!+'Evolutive SFP'!#REF!+'Evolutive SFP'!#REF!)</f>
        <v>#REF!</v>
      </c>
      <c r="M13" s="26" t="e">
        <f>('Evolutive SFP'!#REF!+'Evolutive SFP'!#REF!)/('Evolutive SFP'!#REF!+'Evolutive SFP'!#REF!+'Evolutive SFP'!#REF!+'Evolutive SFP'!#REF!+'Evolutive SFP'!#REF!+'Evolutive SFP'!#REF!)</f>
        <v>#REF!</v>
      </c>
      <c r="N13" s="26" t="e">
        <f>('Evolutive SFP'!#REF!+'Evolutive SFP'!#REF!)/('Evolutive SFP'!#REF!+'Evolutive SFP'!#REF!+'Evolutive SFP'!#REF!+'Evolutive SFP'!#REF!+'Evolutive SFP'!#REF!+'Evolutive SFP'!#REF!)</f>
        <v>#REF!</v>
      </c>
      <c r="O13" s="26" t="e">
        <f>('Evolutive SFP'!#REF!+'Evolutive SFP'!#REF!)/('Evolutive SFP'!#REF!+'Evolutive SFP'!#REF!+'Evolutive SFP'!#REF!+'Evolutive SFP'!#REF!+'Evolutive SFP'!#REF!+'Evolutive SFP'!#REF!)</f>
        <v>#REF!</v>
      </c>
      <c r="P13" s="26" t="e">
        <f>'Evolutive SFP'!#REF!/('Evolutive SFP'!#REF!+'Evolutive SFP'!#REF!)</f>
        <v>#REF!</v>
      </c>
      <c r="Q13" s="26" t="e">
        <f>'Evolutive SFP'!#REF!/('Evolutive SFP'!#REF!+'Evolutive SFP'!#REF!)</f>
        <v>#REF!</v>
      </c>
      <c r="R13" s="26" t="e">
        <f>'Evolutive SFP'!#REF!/('Evolutive SFP'!#REF!+'Evolutive SFP'!#REF!)</f>
        <v>#REF!</v>
      </c>
      <c r="S13" s="30" t="e">
        <f>'Evolutive SFP'!#REF!/('Evolutive SFP'!#REF!+'Evolutive SFP'!#REF!)</f>
        <v>#REF!</v>
      </c>
      <c r="T13" s="30" t="e">
        <f>'Evolutive SFP'!#REF!/('Evolutive SFP'!#REF!+'Evolutive SFP'!#REF!)</f>
        <v>#REF!</v>
      </c>
      <c r="U13" s="30" t="e">
        <f>'Evolutive SFP'!#REF!/('Evolutive SFP'!#REF!+'Evolutive SFP'!#REF!)</f>
        <v>#REF!</v>
      </c>
      <c r="V13" s="30" t="e">
        <f>'Evolutive SFP'!#REF!/('Evolutive SFP'!#REF!+'Evolutive SFP'!#REF!)</f>
        <v>#REF!</v>
      </c>
      <c r="W13" s="30" t="e">
        <f>'Evolutive SFP'!#REF!/('Evolutive SFP'!#REF!+'Evolutive SFP'!#REF!)</f>
        <v>#REF!</v>
      </c>
      <c r="X13" s="30" t="e">
        <f>'Evolutive SFP'!#REF!/('Evolutive SFP'!#REF!+'Evolutive SFP'!#REF!)</f>
        <v>#REF!</v>
      </c>
      <c r="Y13" s="30" t="e">
        <f>'Evolutive SFP'!#REF!/('Evolutive SFP'!#REF!+'Evolutive SFP'!#REF!)</f>
        <v>#REF!</v>
      </c>
      <c r="Z13" s="30" t="e">
        <f>'Evolutive SFP'!#REF!/('Evolutive SFP'!#REF!+'Evolutive SFP'!#REF!)</f>
        <v>#REF!</v>
      </c>
      <c r="AA13" s="30" t="e">
        <f>'Evolutive SFP'!#REF!/('Evolutive SFP'!#REF!+'Evolutive SFP'!#REF!)</f>
        <v>#REF!</v>
      </c>
      <c r="AB13" s="30" t="e">
        <f>'Evolutive SFP'!#REF!/('Evolutive SFP'!#REF!+'Evolutive SFP'!#REF!)</f>
        <v>#REF!</v>
      </c>
      <c r="AC13" s="30" t="e">
        <f>'Evolutive SFP'!#REF!/('Evolutive SFP'!#REF!+'Evolutive SFP'!#REF!)</f>
        <v>#REF!</v>
      </c>
      <c r="AD13" s="30" t="e">
        <f>'Evolutive SFP'!#REF!/('Evolutive SFP'!#REF!+'Evolutive SFP'!#REF!)</f>
        <v>#REF!</v>
      </c>
      <c r="AE13" s="30" t="e">
        <f>'Evolutive SFP'!#REF!/('Evolutive SFP'!#REF!+'Evolutive SFP'!#REF!)</f>
        <v>#REF!</v>
      </c>
      <c r="AF13" s="30" t="e">
        <f>'Evolutive SFP'!#REF!/('Evolutive SFP'!#REF!+'Evolutive SFP'!#REF!)</f>
        <v>#REF!</v>
      </c>
      <c r="AG13" s="30" t="e">
        <f>'Evolutive SFP'!#REF!/('Evolutive SFP'!#REF!+'Evolutive SFP'!#REF!)</f>
        <v>#REF!</v>
      </c>
      <c r="AH13" s="30" t="e">
        <f>'Evolutive SFP'!#REF!/('Evolutive SFP'!#REF!+'Evolutive SFP'!#REF!)</f>
        <v>#REF!</v>
      </c>
      <c r="AI13" s="30" t="e">
        <f>'Evolutive SFP'!#REF!/('Evolutive SFP'!#REF!+'Evolutive SFP'!#REF!)</f>
        <v>#REF!</v>
      </c>
      <c r="AJ13" s="30" t="e">
        <f>'Evolutive SFP'!#REF!/('Evolutive SFP'!#REF!+'Evolutive SFP'!#REF!)</f>
        <v>#REF!</v>
      </c>
      <c r="AK13" s="30" t="e">
        <f>'Evolutive SFP'!#REF!/('Evolutive SFP'!#REF!+'Evolutive SFP'!#REF!)</f>
        <v>#REF!</v>
      </c>
      <c r="AL13" s="30" t="e">
        <f>'Evolutive SFP'!#REF!/('Evolutive SFP'!#REF!+'Evolutive SFP'!#REF!)</f>
        <v>#REF!</v>
      </c>
      <c r="AM13" s="30" t="e">
        <f>'Evolutive SFP'!#REF!/('Evolutive SFP'!#REF!+'Evolutive SFP'!#REF!)</f>
        <v>#REF!</v>
      </c>
      <c r="AN13" s="30" t="e">
        <f>'Evolutive SFP'!#REF!/('Evolutive SFP'!#REF!+'Evolutive SFP'!#REF!)</f>
        <v>#REF!</v>
      </c>
      <c r="AO13" s="30" t="e">
        <f>'Evolutive SFP'!#REF!/('Evolutive SFP'!#REF!+'Evolutive SFP'!#REF!)</f>
        <v>#REF!</v>
      </c>
      <c r="AP13" s="30" t="e">
        <f>'Evolutive SFP'!#REF!/('Evolutive SFP'!#REF!+'Evolutive SFP'!#REF!)</f>
        <v>#REF!</v>
      </c>
      <c r="AQ13" s="30" t="e">
        <f>'Evolutive SFP'!#REF!/('Evolutive SFP'!#REF!+'Evolutive SFP'!#REF!)</f>
        <v>#REF!</v>
      </c>
      <c r="AR13" s="30" t="e">
        <f>'Evolutive SFP'!#REF!/('Evolutive SFP'!#REF!+'Evolutive SFP'!#REF!)</f>
        <v>#REF!</v>
      </c>
      <c r="AS13" s="30" t="e">
        <f>'Evolutive SFP'!#REF!/('Evolutive SFP'!#REF!+'Evolutive SFP'!#REF!)</f>
        <v>#REF!</v>
      </c>
      <c r="AT13" s="30">
        <f>'Evolutive SFP'!C4/('Evolutive SFP'!C31+'Evolutive SFP'!C36)</f>
        <v>0.40590291427786324</v>
      </c>
      <c r="AU13" s="30" t="e">
        <f>'Evolutive SFP'!#REF!/('Evolutive SFP'!#REF!+'Evolutive SFP'!#REF!)</f>
        <v>#REF!</v>
      </c>
      <c r="AV13" s="30" t="e">
        <f>'Evolutive SFP'!#REF!/('Evolutive SFP'!#REF!+'Evolutive SFP'!#REF!)</f>
        <v>#REF!</v>
      </c>
      <c r="AW13" s="30" t="e">
        <f>'Evolutive SFP'!#REF!/('Evolutive SFP'!#REF!+'Evolutive SFP'!#REF!)</f>
        <v>#REF!</v>
      </c>
      <c r="AX13" s="30" t="e">
        <f>'Evolutive SFP'!#REF!/('Evolutive SFP'!#REF!+'Evolutive SFP'!#REF!)</f>
        <v>#REF!</v>
      </c>
      <c r="AY13" s="30" t="e">
        <f>'Evolutive SFP'!#REF!/('Evolutive SFP'!#REF!+'Evolutive SFP'!#REF!)</f>
        <v>#REF!</v>
      </c>
      <c r="AZ13" s="30" t="e">
        <f>'Evolutive SFP'!#REF!/('Evolutive SFP'!#REF!+'Evolutive SFP'!#REF!)</f>
        <v>#REF!</v>
      </c>
      <c r="BA13" s="30" t="e">
        <f>'Evolutive SFP'!#REF!/('Evolutive SFP'!#REF!+'Evolutive SFP'!#REF!)</f>
        <v>#REF!</v>
      </c>
      <c r="BB13" s="30" t="e">
        <f>'Evolutive SFP'!#REF!/('Evolutive SFP'!#REF!+'Evolutive SFP'!#REF!)</f>
        <v>#REF!</v>
      </c>
      <c r="BC13" s="30" t="e">
        <f>'Evolutive SFP'!#REF!/('Evolutive SFP'!#REF!+'Evolutive SFP'!#REF!)</f>
        <v>#REF!</v>
      </c>
    </row>
    <row r="14" spans="1:55" ht="15">
      <c r="A14" s="182"/>
      <c r="B14" s="2" t="s">
        <v>115</v>
      </c>
      <c r="C14" s="5" t="s">
        <v>116</v>
      </c>
      <c r="D14" s="26" t="e">
        <f>'Evolutive SFP'!#REF!/'Evolutive SFP'!#REF!</f>
        <v>#REF!</v>
      </c>
      <c r="E14" s="26" t="e">
        <f>'Evolutive SFP'!#REF!/'Evolutive SFP'!#REF!</f>
        <v>#REF!</v>
      </c>
      <c r="F14" s="26" t="e">
        <f>'Evolutive SFP'!#REF!/'Evolutive SFP'!#REF!</f>
        <v>#REF!</v>
      </c>
      <c r="G14" s="26" t="e">
        <f>'Evolutive SFP'!#REF!/'Evolutive SFP'!#REF!</f>
        <v>#REF!</v>
      </c>
      <c r="H14" s="26" t="e">
        <f>'Evolutive SFP'!#REF!/'Evolutive SFP'!#REF!</f>
        <v>#REF!</v>
      </c>
      <c r="I14" s="26" t="e">
        <f>'Evolutive SFP'!#REF!/'Evolutive SFP'!#REF!</f>
        <v>#REF!</v>
      </c>
      <c r="J14" s="26" t="e">
        <f>'Evolutive SFP'!#REF!/'Evolutive SFP'!#REF!</f>
        <v>#REF!</v>
      </c>
      <c r="K14" s="26" t="e">
        <f>'Evolutive SFP'!#REF!/'Evolutive SFP'!#REF!</f>
        <v>#REF!</v>
      </c>
      <c r="L14" s="26" t="e">
        <f>'Evolutive SFP'!#REF!/'Evolutive SFP'!#REF!</f>
        <v>#REF!</v>
      </c>
      <c r="M14" s="26" t="e">
        <f>'Evolutive SFP'!#REF!/'Evolutive SFP'!#REF!</f>
        <v>#REF!</v>
      </c>
      <c r="N14" s="26" t="e">
        <f>'Evolutive SFP'!#REF!/'Evolutive SFP'!#REF!</f>
        <v>#REF!</v>
      </c>
      <c r="O14" s="26" t="e">
        <f>'Evolutive SFP'!#REF!/'Evolutive SFP'!#REF!</f>
        <v>#REF!</v>
      </c>
      <c r="P14" s="26" t="e">
        <f>'Evolutive SFP'!#REF!/'Evolutive SFP'!#REF!</f>
        <v>#REF!</v>
      </c>
      <c r="Q14" s="26" t="e">
        <f>'Evolutive SFP'!#REF!/'Evolutive SFP'!#REF!</f>
        <v>#REF!</v>
      </c>
      <c r="R14" s="26" t="e">
        <f>'Evolutive SFP'!#REF!/'Evolutive SFP'!#REF!</f>
        <v>#REF!</v>
      </c>
      <c r="S14" s="30" t="e">
        <f>'Evolutive SFP'!#REF!/'Evolutive SFP'!#REF!</f>
        <v>#REF!</v>
      </c>
      <c r="T14" s="30" t="e">
        <f>'Evolutive SFP'!#REF!/'Evolutive SFP'!#REF!</f>
        <v>#REF!</v>
      </c>
      <c r="U14" s="30" t="e">
        <f>'Evolutive SFP'!#REF!/'Evolutive SFP'!#REF!</f>
        <v>#REF!</v>
      </c>
      <c r="V14" s="30" t="e">
        <f>'Evolutive SFP'!#REF!/'Evolutive SFP'!#REF!</f>
        <v>#REF!</v>
      </c>
      <c r="W14" s="30" t="e">
        <f>'Evolutive SFP'!#REF!/'Evolutive SFP'!#REF!</f>
        <v>#REF!</v>
      </c>
      <c r="X14" s="30" t="e">
        <f>'Evolutive SFP'!#REF!/'Evolutive SFP'!#REF!</f>
        <v>#REF!</v>
      </c>
      <c r="Y14" s="30" t="e">
        <f>'Evolutive SFP'!#REF!/'Evolutive SFP'!#REF!</f>
        <v>#REF!</v>
      </c>
      <c r="Z14" s="30" t="e">
        <f>'Evolutive SFP'!#REF!/'Evolutive SFP'!#REF!</f>
        <v>#REF!</v>
      </c>
      <c r="AA14" s="30" t="e">
        <f>'Evolutive SFP'!#REF!/'Evolutive SFP'!#REF!</f>
        <v>#REF!</v>
      </c>
      <c r="AB14" s="30" t="e">
        <f>'Evolutive SFP'!#REF!/'Evolutive SFP'!#REF!</f>
        <v>#REF!</v>
      </c>
      <c r="AC14" s="30" t="e">
        <f>'Evolutive SFP'!#REF!/'Evolutive SFP'!#REF!</f>
        <v>#REF!</v>
      </c>
      <c r="AD14" s="30" t="e">
        <f>'Evolutive SFP'!#REF!/'Evolutive SFP'!#REF!</f>
        <v>#REF!</v>
      </c>
      <c r="AE14" s="30" t="e">
        <f>'Evolutive SFP'!#REF!/'Evolutive SFP'!#REF!</f>
        <v>#REF!</v>
      </c>
      <c r="AF14" s="30" t="e">
        <f>'Evolutive SFP'!#REF!/'Evolutive SFP'!#REF!</f>
        <v>#REF!</v>
      </c>
      <c r="AG14" s="30" t="e">
        <f>'Evolutive SFP'!#REF!/'Evolutive SFP'!#REF!</f>
        <v>#REF!</v>
      </c>
      <c r="AH14" s="30" t="e">
        <f>'Evolutive SFP'!#REF!/'Evolutive SFP'!#REF!</f>
        <v>#REF!</v>
      </c>
      <c r="AI14" s="30" t="e">
        <f>'Evolutive SFP'!#REF!/'Evolutive SFP'!#REF!</f>
        <v>#REF!</v>
      </c>
      <c r="AJ14" s="30" t="e">
        <f>'Evolutive SFP'!#REF!/'Evolutive SFP'!#REF!</f>
        <v>#REF!</v>
      </c>
      <c r="AK14" s="30" t="e">
        <f>'Evolutive SFP'!#REF!/'Evolutive SFP'!#REF!</f>
        <v>#REF!</v>
      </c>
      <c r="AL14" s="30" t="e">
        <f>'Evolutive SFP'!#REF!/'Evolutive SFP'!#REF!</f>
        <v>#REF!</v>
      </c>
      <c r="AM14" s="30" t="e">
        <f>'Evolutive SFP'!#REF!/'Evolutive SFP'!#REF!</f>
        <v>#REF!</v>
      </c>
      <c r="AN14" s="30" t="e">
        <f>'Evolutive SFP'!#REF!/'Evolutive SFP'!#REF!</f>
        <v>#REF!</v>
      </c>
      <c r="AO14" s="30" t="e">
        <f>'Evolutive SFP'!#REF!/'Evolutive SFP'!#REF!</f>
        <v>#REF!</v>
      </c>
      <c r="AP14" s="30" t="e">
        <f>'Evolutive SFP'!#REF!/'Evolutive SFP'!#REF!</f>
        <v>#REF!</v>
      </c>
      <c r="AQ14" s="30" t="e">
        <f>'Evolutive SFP'!#REF!/'Evolutive SFP'!#REF!</f>
        <v>#REF!</v>
      </c>
      <c r="AR14" s="30" t="e">
        <f>'Evolutive SFP'!#REF!/'Evolutive SFP'!#REF!</f>
        <v>#REF!</v>
      </c>
      <c r="AS14" s="30" t="e">
        <f>'Evolutive SFP'!#REF!/'Evolutive SFP'!#REF!</f>
        <v>#REF!</v>
      </c>
      <c r="AT14" s="30">
        <f>'Evolutive SFP'!C37/'Evolutive SFP'!C27</f>
        <v>0</v>
      </c>
      <c r="AU14" s="30" t="e">
        <f>'Evolutive SFP'!#REF!/'Evolutive SFP'!#REF!</f>
        <v>#REF!</v>
      </c>
      <c r="AV14" s="30" t="e">
        <f>'Evolutive SFP'!#REF!/'Evolutive SFP'!#REF!</f>
        <v>#REF!</v>
      </c>
      <c r="AW14" s="30" t="e">
        <f>'Evolutive SFP'!#REF!/'Evolutive SFP'!#REF!</f>
        <v>#REF!</v>
      </c>
      <c r="AX14" s="30" t="e">
        <f>'Evolutive SFP'!#REF!/'Evolutive SFP'!#REF!</f>
        <v>#REF!</v>
      </c>
      <c r="AY14" s="30" t="e">
        <f>'Evolutive SFP'!#REF!/'Evolutive SFP'!#REF!</f>
        <v>#REF!</v>
      </c>
      <c r="AZ14" s="30" t="e">
        <f>'Evolutive SFP'!#REF!/'Evolutive SFP'!#REF!</f>
        <v>#REF!</v>
      </c>
      <c r="BA14" s="30" t="e">
        <f>'Evolutive SFP'!#REF!/'Evolutive SFP'!#REF!</f>
        <v>#REF!</v>
      </c>
      <c r="BB14" s="30" t="e">
        <f>'Evolutive SFP'!#REF!/'Evolutive SFP'!#REF!</f>
        <v>#REF!</v>
      </c>
      <c r="BC14" s="30" t="e">
        <f>'Evolutive SFP'!#REF!/'Evolutive SFP'!#REF!</f>
        <v>#REF!</v>
      </c>
    </row>
    <row r="15" spans="1:55" ht="15">
      <c r="A15" s="182"/>
      <c r="B15" s="2" t="s">
        <v>117</v>
      </c>
      <c r="C15" s="5"/>
      <c r="D15" s="26" t="e">
        <f>'Evolutive SFP'!#REF!/'Evolutive SFP'!#REF!</f>
        <v>#REF!</v>
      </c>
      <c r="E15" s="26" t="e">
        <f>'Evolutive SFP'!#REF!/'Evolutive SFP'!#REF!</f>
        <v>#REF!</v>
      </c>
      <c r="F15" s="26" t="e">
        <f>'Evolutive SFP'!#REF!/'Evolutive SFP'!#REF!</f>
        <v>#REF!</v>
      </c>
      <c r="G15" s="26" t="e">
        <f>'Evolutive SFP'!#REF!/'Evolutive SFP'!#REF!</f>
        <v>#REF!</v>
      </c>
      <c r="H15" s="26" t="e">
        <f>'Evolutive SFP'!#REF!/'Evolutive SFP'!#REF!</f>
        <v>#REF!</v>
      </c>
      <c r="I15" s="26" t="e">
        <f>'Evolutive SFP'!#REF!/'Evolutive SFP'!#REF!</f>
        <v>#REF!</v>
      </c>
      <c r="J15" s="26" t="e">
        <f>'Evolutive SFP'!#REF!/'Evolutive SFP'!#REF!</f>
        <v>#REF!</v>
      </c>
      <c r="K15" s="26" t="e">
        <f>'Evolutive SFP'!#REF!/'Evolutive SFP'!#REF!</f>
        <v>#REF!</v>
      </c>
      <c r="L15" s="26" t="e">
        <f>'Evolutive SFP'!#REF!/'Evolutive SFP'!#REF!</f>
        <v>#REF!</v>
      </c>
      <c r="M15" s="26" t="e">
        <f>'Evolutive SFP'!#REF!/'Evolutive SFP'!#REF!</f>
        <v>#REF!</v>
      </c>
      <c r="N15" s="26" t="e">
        <f>'Evolutive SFP'!#REF!/'Evolutive SFP'!#REF!</f>
        <v>#REF!</v>
      </c>
      <c r="O15" s="26" t="e">
        <f>'Evolutive SFP'!#REF!/'Evolutive SFP'!#REF!</f>
        <v>#REF!</v>
      </c>
      <c r="P15" s="26" t="e">
        <f>'Evolutive SFP'!#REF!/'Evolutive SFP'!#REF!</f>
        <v>#REF!</v>
      </c>
      <c r="Q15" s="26" t="e">
        <f>'Evolutive SFP'!#REF!/'Evolutive SFP'!#REF!</f>
        <v>#REF!</v>
      </c>
      <c r="R15" s="26" t="e">
        <f>'Evolutive SFP'!#REF!/'Evolutive SFP'!#REF!</f>
        <v>#REF!</v>
      </c>
      <c r="S15" s="30" t="e">
        <f>'Evolutive SFP'!#REF!/'Evolutive SFP'!#REF!</f>
        <v>#REF!</v>
      </c>
      <c r="T15" s="30" t="e">
        <f>'Evolutive SFP'!#REF!/'Evolutive SFP'!#REF!</f>
        <v>#REF!</v>
      </c>
      <c r="U15" s="30" t="e">
        <f>'Evolutive SFP'!#REF!/'Evolutive SFP'!#REF!</f>
        <v>#REF!</v>
      </c>
      <c r="V15" s="30" t="e">
        <f>'Evolutive SFP'!#REF!/'Evolutive SFP'!#REF!</f>
        <v>#REF!</v>
      </c>
      <c r="W15" s="30" t="e">
        <f>'Evolutive SFP'!#REF!/'Evolutive SFP'!#REF!</f>
        <v>#REF!</v>
      </c>
      <c r="X15" s="30" t="e">
        <f>'Evolutive SFP'!#REF!/'Evolutive SFP'!#REF!</f>
        <v>#REF!</v>
      </c>
      <c r="Y15" s="30" t="e">
        <f>'Evolutive SFP'!#REF!/'Evolutive SFP'!#REF!</f>
        <v>#REF!</v>
      </c>
      <c r="Z15" s="30" t="e">
        <f>'Evolutive SFP'!#REF!/'Evolutive SFP'!#REF!</f>
        <v>#REF!</v>
      </c>
      <c r="AA15" s="30" t="e">
        <f>'Evolutive SFP'!#REF!/'Evolutive SFP'!#REF!</f>
        <v>#REF!</v>
      </c>
      <c r="AB15" s="30" t="e">
        <f>'Evolutive SFP'!#REF!/'Evolutive SFP'!#REF!</f>
        <v>#REF!</v>
      </c>
      <c r="AC15" s="30" t="e">
        <f>'Evolutive SFP'!#REF!/'Evolutive SFP'!#REF!</f>
        <v>#REF!</v>
      </c>
      <c r="AD15" s="30" t="e">
        <f>'Evolutive SFP'!#REF!/'Evolutive SFP'!#REF!</f>
        <v>#REF!</v>
      </c>
      <c r="AE15" s="30" t="e">
        <f>'Evolutive SFP'!#REF!/'Evolutive SFP'!#REF!</f>
        <v>#REF!</v>
      </c>
      <c r="AF15" s="30" t="e">
        <f>'Evolutive SFP'!#REF!/'Evolutive SFP'!#REF!</f>
        <v>#REF!</v>
      </c>
      <c r="AG15" s="30" t="e">
        <f>'Evolutive SFP'!#REF!/'Evolutive SFP'!#REF!</f>
        <v>#REF!</v>
      </c>
      <c r="AH15" s="30" t="e">
        <f>'Evolutive SFP'!#REF!/'Evolutive SFP'!#REF!</f>
        <v>#REF!</v>
      </c>
      <c r="AI15" s="30" t="e">
        <f>'Evolutive SFP'!#REF!/'Evolutive SFP'!#REF!</f>
        <v>#REF!</v>
      </c>
      <c r="AJ15" s="30" t="e">
        <f>'Evolutive SFP'!#REF!/'Evolutive SFP'!#REF!</f>
        <v>#REF!</v>
      </c>
      <c r="AK15" s="30" t="e">
        <f>'Evolutive SFP'!#REF!/'Evolutive SFP'!#REF!</f>
        <v>#REF!</v>
      </c>
      <c r="AL15" s="30" t="e">
        <f>'Evolutive SFP'!#REF!/'Evolutive SFP'!#REF!</f>
        <v>#REF!</v>
      </c>
      <c r="AM15" s="30" t="e">
        <f>'Evolutive SFP'!#REF!/'Evolutive SFP'!#REF!</f>
        <v>#REF!</v>
      </c>
      <c r="AN15" s="30" t="e">
        <f>'Evolutive SFP'!#REF!/'Evolutive SFP'!#REF!</f>
        <v>#REF!</v>
      </c>
      <c r="AO15" s="30" t="e">
        <f>'Evolutive SFP'!#REF!/'Evolutive SFP'!#REF!</f>
        <v>#REF!</v>
      </c>
      <c r="AP15" s="30" t="e">
        <f>'Evolutive SFP'!#REF!/'Evolutive SFP'!#REF!</f>
        <v>#REF!</v>
      </c>
      <c r="AQ15" s="30" t="e">
        <f>'Evolutive SFP'!#REF!/'Evolutive SFP'!#REF!</f>
        <v>#REF!</v>
      </c>
      <c r="AR15" s="30" t="e">
        <f>'Evolutive SFP'!#REF!/'Evolutive SFP'!#REF!</f>
        <v>#REF!</v>
      </c>
      <c r="AS15" s="30" t="e">
        <f>'Evolutive SFP'!#REF!/'Evolutive SFP'!#REF!</f>
        <v>#REF!</v>
      </c>
      <c r="AT15" s="30">
        <f>'Evolutive SFP'!C4/'Evolutive SFP'!C27</f>
        <v>0.31019117520623601</v>
      </c>
      <c r="AU15" s="30" t="e">
        <f>'Evolutive SFP'!#REF!/'Evolutive SFP'!#REF!</f>
        <v>#REF!</v>
      </c>
      <c r="AV15" s="30" t="e">
        <f>'Evolutive SFP'!#REF!/'Evolutive SFP'!#REF!</f>
        <v>#REF!</v>
      </c>
      <c r="AW15" s="30" t="e">
        <f>'Evolutive SFP'!#REF!/'Evolutive SFP'!#REF!</f>
        <v>#REF!</v>
      </c>
      <c r="AX15" s="30" t="e">
        <f>'Evolutive SFP'!#REF!/'Evolutive SFP'!#REF!</f>
        <v>#REF!</v>
      </c>
      <c r="AY15" s="30" t="e">
        <f>'Evolutive SFP'!#REF!/'Evolutive SFP'!#REF!</f>
        <v>#REF!</v>
      </c>
      <c r="AZ15" s="30" t="e">
        <f>'Evolutive SFP'!#REF!/'Evolutive SFP'!#REF!</f>
        <v>#REF!</v>
      </c>
      <c r="BA15" s="30" t="e">
        <f>'Evolutive SFP'!#REF!/'Evolutive SFP'!#REF!</f>
        <v>#REF!</v>
      </c>
      <c r="BB15" s="30" t="e">
        <f>'Evolutive SFP'!#REF!/'Evolutive SFP'!#REF!</f>
        <v>#REF!</v>
      </c>
      <c r="BC15" s="30" t="e">
        <f>'Evolutive SFP'!#REF!/'Evolutive SFP'!#REF!</f>
        <v>#REF!</v>
      </c>
    </row>
    <row r="16" spans="1:55" ht="15">
      <c r="A16" s="182" t="s">
        <v>118</v>
      </c>
      <c r="B16" s="2" t="s">
        <v>119</v>
      </c>
      <c r="C16" s="5" t="s">
        <v>120</v>
      </c>
      <c r="D16" s="26" t="e">
        <f>('Evolutive SFP'!#REF!+'Evolutive SFP'!#REF!)/'Evolutive SFP'!#REF!</f>
        <v>#REF!</v>
      </c>
      <c r="E16" s="26" t="e">
        <f>('Evolutive SFP'!#REF!+'Evolutive SFP'!#REF!)/'Evolutive SFP'!#REF!</f>
        <v>#REF!</v>
      </c>
      <c r="F16" s="26" t="e">
        <f>('Evolutive SFP'!#REF!+'Evolutive SFP'!#REF!)/'Evolutive SFP'!#REF!</f>
        <v>#REF!</v>
      </c>
      <c r="G16" s="26" t="e">
        <f>('Evolutive SFP'!#REF!+'Evolutive SFP'!#REF!)/'Evolutive SFP'!#REF!</f>
        <v>#REF!</v>
      </c>
      <c r="H16" s="26" t="e">
        <f>('Evolutive SFP'!#REF!+'Evolutive SFP'!#REF!)/'Evolutive SFP'!#REF!</f>
        <v>#REF!</v>
      </c>
      <c r="I16" s="26" t="e">
        <f>('Evolutive SFP'!#REF!+'Evolutive SFP'!#REF!)/'Evolutive SFP'!#REF!</f>
        <v>#REF!</v>
      </c>
      <c r="J16" s="26" t="e">
        <f>('Evolutive SFP'!#REF!+'Evolutive SFP'!#REF!)/'Evolutive SFP'!#REF!</f>
        <v>#REF!</v>
      </c>
      <c r="K16" s="26" t="e">
        <f>('Evolutive SFP'!#REF!+'Evolutive SFP'!#REF!)/'Evolutive SFP'!#REF!</f>
        <v>#REF!</v>
      </c>
      <c r="L16" s="26" t="e">
        <f>('Evolutive SFP'!#REF!+'Evolutive SFP'!#REF!)/'Evolutive SFP'!#REF!</f>
        <v>#REF!</v>
      </c>
      <c r="M16" s="26" t="e">
        <f>('Evolutive SFP'!#REF!+'Evolutive SFP'!#REF!)/'Evolutive SFP'!#REF!</f>
        <v>#REF!</v>
      </c>
      <c r="N16" s="26" t="e">
        <f>('Evolutive SFP'!#REF!+'Evolutive SFP'!#REF!)/'Evolutive SFP'!#REF!</f>
        <v>#REF!</v>
      </c>
      <c r="O16" s="26" t="e">
        <f>('Evolutive SFP'!#REF!+'Evolutive SFP'!#REF!)/'Evolutive SFP'!#REF!</f>
        <v>#REF!</v>
      </c>
      <c r="P16" s="26" t="e">
        <f>('Evolutive SFP'!#REF!+'Evolutive SFP'!#REF!)/'Evolutive SFP'!#REF!</f>
        <v>#REF!</v>
      </c>
      <c r="Q16" s="26" t="e">
        <f>('Evolutive SFP'!#REF!+'Evolutive SFP'!#REF!)/'Evolutive SFP'!#REF!</f>
        <v>#REF!</v>
      </c>
      <c r="R16" s="26" t="e">
        <f>('Evolutive SFP'!#REF!+'Evolutive SFP'!#REF!)/'Evolutive SFP'!#REF!</f>
        <v>#REF!</v>
      </c>
      <c r="S16" s="30" t="e">
        <f>('Evolutive SFP'!#REF!+'Evolutive SFP'!#REF!)/'Evolutive SFP'!#REF!</f>
        <v>#REF!</v>
      </c>
      <c r="T16" s="30" t="e">
        <f>('Evolutive SFP'!#REF!+'Evolutive SFP'!#REF!)/'Evolutive SFP'!#REF!</f>
        <v>#REF!</v>
      </c>
      <c r="U16" s="30" t="e">
        <f>('Evolutive SFP'!#REF!+'Evolutive SFP'!#REF!)/'Evolutive SFP'!#REF!</f>
        <v>#REF!</v>
      </c>
      <c r="V16" s="30" t="e">
        <f>('Evolutive SFP'!#REF!+'Evolutive SFP'!#REF!)/'Evolutive SFP'!#REF!</f>
        <v>#REF!</v>
      </c>
      <c r="W16" s="30" t="e">
        <f>('Evolutive SFP'!#REF!+'Evolutive SFP'!#REF!)/'Evolutive SFP'!#REF!</f>
        <v>#REF!</v>
      </c>
      <c r="X16" s="30" t="e">
        <f>('Evolutive SFP'!#REF!+'Evolutive SFP'!#REF!)/'Evolutive SFP'!#REF!</f>
        <v>#REF!</v>
      </c>
      <c r="Y16" s="30" t="e">
        <f>('Evolutive SFP'!#REF!+'Evolutive SFP'!#REF!)/'Evolutive SFP'!#REF!</f>
        <v>#REF!</v>
      </c>
      <c r="Z16" s="30" t="e">
        <f>('Evolutive SFP'!#REF!+'Evolutive SFP'!#REF!)/'Evolutive SFP'!#REF!</f>
        <v>#REF!</v>
      </c>
      <c r="AA16" s="30" t="e">
        <f>('Evolutive SFP'!#REF!+'Evolutive SFP'!#REF!)/'Evolutive SFP'!#REF!</f>
        <v>#REF!</v>
      </c>
      <c r="AB16" s="30" t="e">
        <f>('Evolutive SFP'!#REF!+'Evolutive SFP'!#REF!)/'Evolutive SFP'!#REF!</f>
        <v>#REF!</v>
      </c>
      <c r="AC16" s="30" t="e">
        <f>('Evolutive SFP'!#REF!+'Evolutive SFP'!#REF!)/'Evolutive SFP'!#REF!</f>
        <v>#REF!</v>
      </c>
      <c r="AD16" s="30" t="e">
        <f>('Evolutive SFP'!#REF!+'Evolutive SFP'!#REF!)/'Evolutive SFP'!#REF!</f>
        <v>#REF!</v>
      </c>
      <c r="AE16" s="30" t="e">
        <f>('Evolutive SFP'!#REF!+'Evolutive SFP'!#REF!)/'Evolutive SFP'!#REF!</f>
        <v>#REF!</v>
      </c>
      <c r="AF16" s="30" t="e">
        <f>('Evolutive SFP'!#REF!+'Evolutive SFP'!#REF!)/'Evolutive SFP'!#REF!</f>
        <v>#REF!</v>
      </c>
      <c r="AG16" s="30" t="e">
        <f>('Evolutive SFP'!#REF!+'Evolutive SFP'!#REF!)/'Evolutive SFP'!#REF!</f>
        <v>#REF!</v>
      </c>
      <c r="AH16" s="30" t="e">
        <f>('Evolutive SFP'!#REF!+'Evolutive SFP'!#REF!)/'Evolutive SFP'!#REF!</f>
        <v>#REF!</v>
      </c>
      <c r="AI16" s="30" t="e">
        <f>('Evolutive SFP'!#REF!+'Evolutive SFP'!#REF!)/'Evolutive SFP'!#REF!</f>
        <v>#REF!</v>
      </c>
      <c r="AJ16" s="30" t="e">
        <f>('Evolutive SFP'!#REF!+'Evolutive SFP'!#REF!)/'Evolutive SFP'!#REF!</f>
        <v>#REF!</v>
      </c>
      <c r="AK16" s="30" t="e">
        <f>('Evolutive SFP'!#REF!+'Evolutive SFP'!#REF!)/'Evolutive SFP'!#REF!</f>
        <v>#REF!</v>
      </c>
      <c r="AL16" s="30" t="e">
        <f>('Evolutive SFP'!#REF!+'Evolutive SFP'!#REF!)/'Evolutive SFP'!#REF!</f>
        <v>#REF!</v>
      </c>
      <c r="AM16" s="30" t="e">
        <f>('Evolutive SFP'!#REF!+'Evolutive SFP'!#REF!)/'Evolutive SFP'!#REF!</f>
        <v>#REF!</v>
      </c>
      <c r="AN16" s="30" t="e">
        <f>('Evolutive SFP'!#REF!+'Evolutive SFP'!#REF!)/'Evolutive SFP'!#REF!</f>
        <v>#REF!</v>
      </c>
      <c r="AO16" s="30" t="e">
        <f>('Evolutive SFP'!#REF!+'Evolutive SFP'!#REF!)/'Evolutive SFP'!#REF!</f>
        <v>#REF!</v>
      </c>
      <c r="AP16" s="30" t="e">
        <f>('Evolutive SFP'!#REF!+'Evolutive SFP'!#REF!)/'Evolutive SFP'!#REF!</f>
        <v>#REF!</v>
      </c>
      <c r="AQ16" s="30" t="e">
        <f>('Evolutive SFP'!#REF!+'Evolutive SFP'!#REF!)/'Evolutive SFP'!#REF!</f>
        <v>#REF!</v>
      </c>
      <c r="AR16" s="30" t="e">
        <f>('Evolutive SFP'!#REF!+'Evolutive SFP'!#REF!)/'Evolutive SFP'!#REF!</f>
        <v>#REF!</v>
      </c>
      <c r="AS16" s="30" t="e">
        <f>('Evolutive SFP'!#REF!+'Evolutive SFP'!#REF!)/'Evolutive SFP'!#REF!</f>
        <v>#REF!</v>
      </c>
      <c r="AT16" s="30">
        <f>('Evolutive SFP'!C7+'Evolutive SFP'!C21)/'Evolutive SFP'!C27</f>
        <v>1.1057088511373261E-2</v>
      </c>
      <c r="AU16" s="30" t="e">
        <f>('Evolutive SFP'!#REF!+'Evolutive SFP'!#REF!)/'Evolutive SFP'!#REF!</f>
        <v>#REF!</v>
      </c>
      <c r="AV16" s="30" t="e">
        <f>('Evolutive SFP'!#REF!+'Evolutive SFP'!#REF!)/'Evolutive SFP'!#REF!</f>
        <v>#REF!</v>
      </c>
      <c r="AW16" s="30" t="e">
        <f>('Evolutive SFP'!#REF!+'Evolutive SFP'!#REF!)/'Evolutive SFP'!#REF!</f>
        <v>#REF!</v>
      </c>
      <c r="AX16" s="30" t="e">
        <f>('Evolutive SFP'!#REF!+'Evolutive SFP'!#REF!)/'Evolutive SFP'!#REF!</f>
        <v>#REF!</v>
      </c>
      <c r="AY16" s="30" t="e">
        <f>('Evolutive SFP'!#REF!+'Evolutive SFP'!#REF!)/'Evolutive SFP'!#REF!</f>
        <v>#REF!</v>
      </c>
      <c r="AZ16" s="30" t="e">
        <f>('Evolutive SFP'!#REF!+'Evolutive SFP'!#REF!)/'Evolutive SFP'!#REF!</f>
        <v>#REF!</v>
      </c>
      <c r="BA16" s="30" t="e">
        <f>('Evolutive SFP'!#REF!+'Evolutive SFP'!#REF!)/'Evolutive SFP'!#REF!</f>
        <v>#REF!</v>
      </c>
      <c r="BB16" s="30" t="e">
        <f>('Evolutive SFP'!#REF!+'Evolutive SFP'!#REF!)/'Evolutive SFP'!#REF!</f>
        <v>#REF!</v>
      </c>
      <c r="BC16" s="30" t="e">
        <f>('Evolutive SFP'!#REF!+'Evolutive SFP'!#REF!)/'Evolutive SFP'!#REF!</f>
        <v>#REF!</v>
      </c>
    </row>
    <row r="17" spans="1:55" ht="15">
      <c r="A17" s="182"/>
      <c r="B17" s="2" t="s">
        <v>121</v>
      </c>
      <c r="C17" s="5" t="s">
        <v>122</v>
      </c>
      <c r="D17" s="26" t="e">
        <f>'Evolutive SFP'!#REF!/'Evolutive SFP'!#REF!</f>
        <v>#REF!</v>
      </c>
      <c r="E17" s="26" t="e">
        <f>'Evolutive SFP'!#REF!/'Evolutive SFP'!#REF!</f>
        <v>#REF!</v>
      </c>
      <c r="F17" s="26" t="e">
        <f>'Evolutive SFP'!#REF!/'Evolutive SFP'!#REF!</f>
        <v>#REF!</v>
      </c>
      <c r="G17" s="26" t="e">
        <f>'Evolutive SFP'!#REF!/'Evolutive SFP'!#REF!</f>
        <v>#REF!</v>
      </c>
      <c r="H17" s="26" t="e">
        <f>'Evolutive SFP'!#REF!/'Evolutive SFP'!#REF!</f>
        <v>#REF!</v>
      </c>
      <c r="I17" s="26" t="e">
        <f>'Evolutive SFP'!#REF!/'Evolutive SFP'!#REF!</f>
        <v>#REF!</v>
      </c>
      <c r="J17" s="26" t="e">
        <f>'Evolutive SFP'!#REF!/'Evolutive SFP'!#REF!</f>
        <v>#REF!</v>
      </c>
      <c r="K17" s="26" t="e">
        <f>'Evolutive SFP'!#REF!/'Evolutive SFP'!#REF!</f>
        <v>#REF!</v>
      </c>
      <c r="L17" s="26" t="e">
        <f>'Evolutive SFP'!#REF!/'Evolutive SFP'!#REF!</f>
        <v>#REF!</v>
      </c>
      <c r="M17" s="26" t="e">
        <f>'Evolutive SFP'!#REF!/'Evolutive SFP'!#REF!</f>
        <v>#REF!</v>
      </c>
      <c r="N17" s="26" t="e">
        <f>'Evolutive SFP'!#REF!/'Evolutive SFP'!#REF!</f>
        <v>#REF!</v>
      </c>
      <c r="O17" s="26" t="e">
        <f>'Evolutive SFP'!#REF!/'Evolutive SFP'!#REF!</f>
        <v>#REF!</v>
      </c>
      <c r="P17" s="26" t="e">
        <f>'Evolutive SFP'!#REF!/'Evolutive SFP'!#REF!</f>
        <v>#REF!</v>
      </c>
      <c r="Q17" s="26" t="e">
        <f>'Evolutive SFP'!#REF!/'Evolutive SFP'!#REF!</f>
        <v>#REF!</v>
      </c>
      <c r="R17" s="26" t="e">
        <f>'Evolutive SFP'!#REF!/'Evolutive SFP'!#REF!</f>
        <v>#REF!</v>
      </c>
      <c r="S17" s="30" t="e">
        <f>'Evolutive SFP'!#REF!/'Evolutive SFP'!#REF!</f>
        <v>#REF!</v>
      </c>
      <c r="T17" s="30" t="e">
        <f>'Evolutive SFP'!#REF!/'Evolutive SFP'!#REF!</f>
        <v>#REF!</v>
      </c>
      <c r="U17" s="30" t="e">
        <f>'Evolutive SFP'!#REF!/'Evolutive SFP'!#REF!</f>
        <v>#REF!</v>
      </c>
      <c r="V17" s="30" t="e">
        <f>'Evolutive SFP'!#REF!/'Evolutive SFP'!#REF!</f>
        <v>#REF!</v>
      </c>
      <c r="W17" s="30" t="e">
        <f>'Evolutive SFP'!#REF!/'Evolutive SFP'!#REF!</f>
        <v>#REF!</v>
      </c>
      <c r="X17" s="30" t="e">
        <f>'Evolutive SFP'!#REF!/'Evolutive SFP'!#REF!</f>
        <v>#REF!</v>
      </c>
      <c r="Y17" s="30" t="e">
        <f>'Evolutive SFP'!#REF!/'Evolutive SFP'!#REF!</f>
        <v>#REF!</v>
      </c>
      <c r="Z17" s="30" t="e">
        <f>'Evolutive SFP'!#REF!/'Evolutive SFP'!#REF!</f>
        <v>#REF!</v>
      </c>
      <c r="AA17" s="30" t="e">
        <f>'Evolutive SFP'!#REF!/'Evolutive SFP'!#REF!</f>
        <v>#REF!</v>
      </c>
      <c r="AB17" s="30" t="e">
        <f>'Evolutive SFP'!#REF!/'Evolutive SFP'!#REF!</f>
        <v>#REF!</v>
      </c>
      <c r="AC17" s="30" t="e">
        <f>'Evolutive SFP'!#REF!/'Evolutive SFP'!#REF!</f>
        <v>#REF!</v>
      </c>
      <c r="AD17" s="30" t="e">
        <f>'Evolutive SFP'!#REF!/'Evolutive SFP'!#REF!</f>
        <v>#REF!</v>
      </c>
      <c r="AE17" s="30" t="e">
        <f>'Evolutive SFP'!#REF!/'Evolutive SFP'!#REF!</f>
        <v>#REF!</v>
      </c>
      <c r="AF17" s="30" t="e">
        <f>'Evolutive SFP'!#REF!/'Evolutive SFP'!#REF!</f>
        <v>#REF!</v>
      </c>
      <c r="AG17" s="30" t="e">
        <f>'Evolutive SFP'!#REF!/'Evolutive SFP'!#REF!</f>
        <v>#REF!</v>
      </c>
      <c r="AH17" s="30" t="e">
        <f>'Evolutive SFP'!#REF!/'Evolutive SFP'!#REF!</f>
        <v>#REF!</v>
      </c>
      <c r="AI17" s="30" t="e">
        <f>'Evolutive SFP'!#REF!/'Evolutive SFP'!#REF!</f>
        <v>#REF!</v>
      </c>
      <c r="AJ17" s="30" t="e">
        <f>'Evolutive SFP'!#REF!/'Evolutive SFP'!#REF!</f>
        <v>#REF!</v>
      </c>
      <c r="AK17" s="30" t="e">
        <f>'Evolutive SFP'!#REF!/'Evolutive SFP'!#REF!</f>
        <v>#REF!</v>
      </c>
      <c r="AL17" s="30" t="e">
        <f>'Evolutive SFP'!#REF!/'Evolutive SFP'!#REF!</f>
        <v>#REF!</v>
      </c>
      <c r="AM17" s="30" t="e">
        <f>'Evolutive SFP'!#REF!/'Evolutive SFP'!#REF!</f>
        <v>#REF!</v>
      </c>
      <c r="AN17" s="30" t="e">
        <f>'Evolutive SFP'!#REF!/'Evolutive SFP'!#REF!</f>
        <v>#REF!</v>
      </c>
      <c r="AO17" s="30" t="e">
        <f>'Evolutive SFP'!#REF!/'Evolutive SFP'!#REF!</f>
        <v>#REF!</v>
      </c>
      <c r="AP17" s="30" t="e">
        <f>'Evolutive SFP'!#REF!/'Evolutive SFP'!#REF!</f>
        <v>#REF!</v>
      </c>
      <c r="AQ17" s="30" t="e">
        <f>'Evolutive SFP'!#REF!/'Evolutive SFP'!#REF!</f>
        <v>#REF!</v>
      </c>
      <c r="AR17" s="30" t="e">
        <f>'Evolutive SFP'!#REF!/'Evolutive SFP'!#REF!</f>
        <v>#REF!</v>
      </c>
      <c r="AS17" s="30" t="e">
        <f>'Evolutive SFP'!#REF!/'Evolutive SFP'!#REF!</f>
        <v>#REF!</v>
      </c>
      <c r="AT17" s="30">
        <f>'Evolutive SFP'!C21/'Evolutive SFP'!C27</f>
        <v>2.0418095539783332E-3</v>
      </c>
      <c r="AU17" s="30" t="e">
        <f>'Evolutive SFP'!#REF!/'Evolutive SFP'!#REF!</f>
        <v>#REF!</v>
      </c>
      <c r="AV17" s="30" t="e">
        <f>'Evolutive SFP'!#REF!/'Evolutive SFP'!#REF!</f>
        <v>#REF!</v>
      </c>
      <c r="AW17" s="30" t="e">
        <f>'Evolutive SFP'!#REF!/'Evolutive SFP'!#REF!</f>
        <v>#REF!</v>
      </c>
      <c r="AX17" s="30" t="e">
        <f>'Evolutive SFP'!#REF!/'Evolutive SFP'!#REF!</f>
        <v>#REF!</v>
      </c>
      <c r="AY17" s="30" t="e">
        <f>'Evolutive SFP'!#REF!/'Evolutive SFP'!#REF!</f>
        <v>#REF!</v>
      </c>
      <c r="AZ17" s="30" t="e">
        <f>'Evolutive SFP'!#REF!/'Evolutive SFP'!#REF!</f>
        <v>#REF!</v>
      </c>
      <c r="BA17" s="30" t="e">
        <f>'Evolutive SFP'!#REF!/'Evolutive SFP'!#REF!</f>
        <v>#REF!</v>
      </c>
      <c r="BB17" s="30" t="e">
        <f>'Evolutive SFP'!#REF!/'Evolutive SFP'!#REF!</f>
        <v>#REF!</v>
      </c>
      <c r="BC17" s="30" t="e">
        <f>'Evolutive SFP'!#REF!/'Evolutive SFP'!#REF!</f>
        <v>#REF!</v>
      </c>
    </row>
    <row r="18" spans="1:55" ht="15">
      <c r="A18" s="182"/>
      <c r="B18" s="2" t="s">
        <v>123</v>
      </c>
      <c r="C18" s="5" t="s">
        <v>122</v>
      </c>
      <c r="D18" s="26" t="e">
        <f>'Evolutive SFP'!#REF!/'Evolutive SFP'!#REF!</f>
        <v>#REF!</v>
      </c>
      <c r="E18" s="26" t="e">
        <f>'Evolutive SFP'!#REF!/'Evolutive SFP'!#REF!</f>
        <v>#REF!</v>
      </c>
      <c r="F18" s="26" t="e">
        <f>'Evolutive SFP'!#REF!/'Evolutive SFP'!#REF!</f>
        <v>#REF!</v>
      </c>
      <c r="G18" s="26" t="e">
        <f>'Evolutive SFP'!#REF!/'Evolutive SFP'!#REF!</f>
        <v>#REF!</v>
      </c>
      <c r="H18" s="26" t="e">
        <f>'Evolutive SFP'!#REF!/'Evolutive SFP'!#REF!</f>
        <v>#REF!</v>
      </c>
      <c r="I18" s="26" t="e">
        <f>'Evolutive SFP'!#REF!/'Evolutive SFP'!#REF!</f>
        <v>#REF!</v>
      </c>
      <c r="J18" s="26" t="e">
        <f>'Evolutive SFP'!#REF!/'Evolutive SFP'!#REF!</f>
        <v>#REF!</v>
      </c>
      <c r="K18" s="26" t="e">
        <f>'Evolutive SFP'!#REF!/'Evolutive SFP'!#REF!</f>
        <v>#REF!</v>
      </c>
      <c r="L18" s="26" t="e">
        <f>'Evolutive SFP'!#REF!/'Evolutive SFP'!#REF!</f>
        <v>#REF!</v>
      </c>
      <c r="M18" s="26" t="e">
        <f>'Evolutive SFP'!#REF!/'Evolutive SFP'!#REF!</f>
        <v>#REF!</v>
      </c>
      <c r="N18" s="26" t="e">
        <f>'Evolutive SFP'!#REF!/'Evolutive SFP'!#REF!</f>
        <v>#REF!</v>
      </c>
      <c r="O18" s="26" t="e">
        <f>'Evolutive SFP'!#REF!/'Evolutive SFP'!#REF!</f>
        <v>#REF!</v>
      </c>
      <c r="P18" s="26" t="e">
        <f>'Evolutive SFP'!#REF!/'Evolutive SFP'!#REF!</f>
        <v>#REF!</v>
      </c>
      <c r="Q18" s="26" t="e">
        <f>'Evolutive SFP'!#REF!/'Evolutive SFP'!#REF!</f>
        <v>#REF!</v>
      </c>
      <c r="R18" s="26" t="e">
        <f>'Evolutive SFP'!#REF!/'Evolutive SFP'!#REF!</f>
        <v>#REF!</v>
      </c>
      <c r="S18" s="30" t="e">
        <f>'Evolutive SFP'!#REF!/'Evolutive SFP'!#REF!</f>
        <v>#REF!</v>
      </c>
      <c r="T18" s="30" t="e">
        <f>'Evolutive SFP'!#REF!/'Evolutive SFP'!#REF!</f>
        <v>#REF!</v>
      </c>
      <c r="U18" s="30" t="e">
        <f>'Evolutive SFP'!#REF!/'Evolutive SFP'!#REF!</f>
        <v>#REF!</v>
      </c>
      <c r="V18" s="30" t="e">
        <f>'Evolutive SFP'!#REF!/'Evolutive SFP'!#REF!</f>
        <v>#REF!</v>
      </c>
      <c r="W18" s="30" t="e">
        <f>'Evolutive SFP'!#REF!/'Evolutive SFP'!#REF!</f>
        <v>#REF!</v>
      </c>
      <c r="X18" s="30" t="e">
        <f>'Evolutive SFP'!#REF!/'Evolutive SFP'!#REF!</f>
        <v>#REF!</v>
      </c>
      <c r="Y18" s="30" t="e">
        <f>'Evolutive SFP'!#REF!/'Evolutive SFP'!#REF!</f>
        <v>#REF!</v>
      </c>
      <c r="Z18" s="30" t="e">
        <f>'Evolutive SFP'!#REF!/'Evolutive SFP'!#REF!</f>
        <v>#REF!</v>
      </c>
      <c r="AA18" s="30" t="e">
        <f>'Evolutive SFP'!#REF!/'Evolutive SFP'!#REF!</f>
        <v>#REF!</v>
      </c>
      <c r="AB18" s="30" t="e">
        <f>'Evolutive SFP'!#REF!/'Evolutive SFP'!#REF!</f>
        <v>#REF!</v>
      </c>
      <c r="AC18" s="30" t="e">
        <f>'Evolutive SFP'!#REF!/'Evolutive SFP'!#REF!</f>
        <v>#REF!</v>
      </c>
      <c r="AD18" s="30" t="e">
        <f>'Evolutive SFP'!#REF!/'Evolutive SFP'!#REF!</f>
        <v>#REF!</v>
      </c>
      <c r="AE18" s="30" t="e">
        <f>'Evolutive SFP'!#REF!/'Evolutive SFP'!#REF!</f>
        <v>#REF!</v>
      </c>
      <c r="AF18" s="30" t="e">
        <f>'Evolutive SFP'!#REF!/'Evolutive SFP'!#REF!</f>
        <v>#REF!</v>
      </c>
      <c r="AG18" s="30" t="e">
        <f>'Evolutive SFP'!#REF!/'Evolutive SFP'!#REF!</f>
        <v>#REF!</v>
      </c>
      <c r="AH18" s="30" t="e">
        <f>'Evolutive SFP'!#REF!/'Evolutive SFP'!#REF!</f>
        <v>#REF!</v>
      </c>
      <c r="AI18" s="30" t="e">
        <f>'Evolutive SFP'!#REF!/'Evolutive SFP'!#REF!</f>
        <v>#REF!</v>
      </c>
      <c r="AJ18" s="30" t="e">
        <f>'Evolutive SFP'!#REF!/'Evolutive SFP'!#REF!</f>
        <v>#REF!</v>
      </c>
      <c r="AK18" s="30" t="e">
        <f>'Evolutive SFP'!#REF!/'Evolutive SFP'!#REF!</f>
        <v>#REF!</v>
      </c>
      <c r="AL18" s="30" t="e">
        <f>'Evolutive SFP'!#REF!/'Evolutive SFP'!#REF!</f>
        <v>#REF!</v>
      </c>
      <c r="AM18" s="30" t="e">
        <f>'Evolutive SFP'!#REF!/'Evolutive SFP'!#REF!</f>
        <v>#REF!</v>
      </c>
      <c r="AN18" s="30" t="e">
        <f>'Evolutive SFP'!#REF!/'Evolutive SFP'!#REF!</f>
        <v>#REF!</v>
      </c>
      <c r="AO18" s="30" t="e">
        <f>'Evolutive SFP'!#REF!/'Evolutive SFP'!#REF!</f>
        <v>#REF!</v>
      </c>
      <c r="AP18" s="30" t="e">
        <f>'Evolutive SFP'!#REF!/'Evolutive SFP'!#REF!</f>
        <v>#REF!</v>
      </c>
      <c r="AQ18" s="30" t="e">
        <f>'Evolutive SFP'!#REF!/'Evolutive SFP'!#REF!</f>
        <v>#REF!</v>
      </c>
      <c r="AR18" s="30" t="e">
        <f>'Evolutive SFP'!#REF!/'Evolutive SFP'!#REF!</f>
        <v>#REF!</v>
      </c>
      <c r="AS18" s="30" t="e">
        <f>'Evolutive SFP'!#REF!/'Evolutive SFP'!#REF!</f>
        <v>#REF!</v>
      </c>
      <c r="AT18" s="30">
        <f>'Evolutive SFP'!C13/'Evolutive SFP'!C31</f>
        <v>0</v>
      </c>
      <c r="AU18" s="30" t="e">
        <f>'Evolutive SFP'!#REF!/'Evolutive SFP'!#REF!</f>
        <v>#REF!</v>
      </c>
      <c r="AV18" s="30" t="e">
        <f>'Evolutive SFP'!#REF!/'Evolutive SFP'!#REF!</f>
        <v>#REF!</v>
      </c>
      <c r="AW18" s="30" t="e">
        <f>'Evolutive SFP'!#REF!/'Evolutive SFP'!#REF!</f>
        <v>#REF!</v>
      </c>
      <c r="AX18" s="30" t="e">
        <f>'Evolutive SFP'!#REF!/'Evolutive SFP'!#REF!</f>
        <v>#REF!</v>
      </c>
      <c r="AY18" s="30" t="e">
        <f>'Evolutive SFP'!#REF!/'Evolutive SFP'!#REF!</f>
        <v>#REF!</v>
      </c>
      <c r="AZ18" s="30" t="e">
        <f>'Evolutive SFP'!#REF!/'Evolutive SFP'!#REF!</f>
        <v>#REF!</v>
      </c>
      <c r="BA18" s="30" t="e">
        <f>'Evolutive SFP'!#REF!/'Evolutive SFP'!#REF!</f>
        <v>#REF!</v>
      </c>
      <c r="BB18" s="30" t="e">
        <f>'Evolutive SFP'!#REF!/'Evolutive SFP'!#REF!</f>
        <v>#REF!</v>
      </c>
      <c r="BC18" s="30" t="e">
        <f>'Evolutive SFP'!#REF!/'Evolutive SFP'!#REF!</f>
        <v>#REF!</v>
      </c>
    </row>
    <row r="19" spans="1:55">
      <c r="A19" s="182"/>
      <c r="B19" s="23" t="s">
        <v>124</v>
      </c>
      <c r="C19" s="6" t="s">
        <v>125</v>
      </c>
      <c r="D19" s="26" t="e">
        <f>'Evolutive SFP'!#REF!/(CAELS!D3*1000000)</f>
        <v>#REF!</v>
      </c>
      <c r="E19" s="26" t="e">
        <f>'Evolutive SFP'!#REF!/(CAELS!E3*1000000)</f>
        <v>#REF!</v>
      </c>
      <c r="F19" s="26" t="e">
        <f>'Evolutive SFP'!#REF!/(CAELS!F3*1000000)</f>
        <v>#REF!</v>
      </c>
      <c r="G19" s="26" t="e">
        <f>'Evolutive SFP'!#REF!/(CAELS!G3*1000000)</f>
        <v>#REF!</v>
      </c>
      <c r="H19" s="26" t="e">
        <f>'Evolutive SFP'!#REF!/(CAELS!H3*1000000)</f>
        <v>#REF!</v>
      </c>
      <c r="I19" s="26" t="e">
        <f>'Evolutive SFP'!#REF!/(CAELS!I3*1000000)</f>
        <v>#REF!</v>
      </c>
      <c r="J19" s="26" t="e">
        <f>'Evolutive SFP'!#REF!/(CAELS!J3*1000000)</f>
        <v>#REF!</v>
      </c>
      <c r="K19" s="26" t="e">
        <f>'Evolutive SFP'!#REF!/(CAELS!K3*1000000)</f>
        <v>#REF!</v>
      </c>
      <c r="L19" s="26" t="e">
        <f>'Evolutive SFP'!#REF!/(CAELS!L3*1000000)</f>
        <v>#REF!</v>
      </c>
      <c r="M19" s="26" t="e">
        <f>'Evolutive SFP'!#REF!/(CAELS!M3*1000000)</f>
        <v>#REF!</v>
      </c>
      <c r="N19" s="26" t="e">
        <f>'Evolutive SFP'!#REF!/(CAELS!N3*1000000)</f>
        <v>#REF!</v>
      </c>
      <c r="O19" s="26" t="e">
        <f>'Evolutive SFP'!#REF!/(CAELS!O3*1000000)</f>
        <v>#REF!</v>
      </c>
      <c r="P19" s="26" t="e">
        <f>'Evolutive SFP'!#REF!/(CAELS!P3*1000000)</f>
        <v>#REF!</v>
      </c>
      <c r="Q19" s="26" t="e">
        <f>'Evolutive SFP'!#REF!/(CAELS!Q3*1000000)</f>
        <v>#REF!</v>
      </c>
      <c r="R19" s="26" t="e">
        <f>'Evolutive SFP'!#REF!/(CAELS!R3*1000000)</f>
        <v>#REF!</v>
      </c>
      <c r="S19" s="30" t="e">
        <f>'Evolutive SFP'!#REF!/(CAELS!S3*1000000)</f>
        <v>#REF!</v>
      </c>
      <c r="T19" s="30" t="e">
        <f>'Evolutive SFP'!#REF!/(CAELS!T3*1000000)</f>
        <v>#REF!</v>
      </c>
      <c r="U19" s="30" t="e">
        <f>'Evolutive SFP'!#REF!/(CAELS!U3*1000000)</f>
        <v>#REF!</v>
      </c>
      <c r="V19" s="30" t="e">
        <f>'Evolutive SFP'!#REF!/(CAELS!V3*1000000)</f>
        <v>#REF!</v>
      </c>
      <c r="W19" s="30" t="e">
        <f>'Evolutive SFP'!#REF!/(CAELS!W3*1000000)</f>
        <v>#REF!</v>
      </c>
      <c r="X19" s="30" t="e">
        <f>'Evolutive SFP'!#REF!/(CAELS!X3*1000000)</f>
        <v>#REF!</v>
      </c>
      <c r="Y19" s="30" t="e">
        <f>'Evolutive SFP'!#REF!/(CAELS!Y3*1000000)</f>
        <v>#REF!</v>
      </c>
      <c r="Z19" s="30" t="e">
        <f>'Evolutive SFP'!#REF!/(CAELS!Z3*1000000)</f>
        <v>#REF!</v>
      </c>
      <c r="AA19" s="30" t="e">
        <f>'Evolutive SFP'!#REF!/(CAELS!AA3*1000000)</f>
        <v>#REF!</v>
      </c>
      <c r="AB19" s="30" t="e">
        <f>'Evolutive SFP'!#REF!/(CAELS!AB3*1000000)</f>
        <v>#REF!</v>
      </c>
      <c r="AC19" s="30" t="e">
        <f>'Evolutive SFP'!#REF!/(CAELS!AC3*1000000)</f>
        <v>#REF!</v>
      </c>
      <c r="AD19" s="30" t="e">
        <f>'Evolutive SFP'!#REF!/(CAELS!AD3*1000000)</f>
        <v>#REF!</v>
      </c>
      <c r="AE19" s="30" t="e">
        <f>'Evolutive SFP'!#REF!/(CAELS!AE3*1000000)</f>
        <v>#REF!</v>
      </c>
      <c r="AF19" s="30" t="e">
        <f>'Evolutive SFP'!#REF!/(CAELS!AF3*1000000)</f>
        <v>#REF!</v>
      </c>
      <c r="AG19" s="30" t="e">
        <f>'Evolutive SFP'!#REF!/(CAELS!AG3*1000000)</f>
        <v>#REF!</v>
      </c>
      <c r="AH19" s="30" t="e">
        <f>'Evolutive SFP'!#REF!/(CAELS!AH3*1000000)</f>
        <v>#REF!</v>
      </c>
      <c r="AI19" s="30" t="e">
        <f>'Evolutive SFP'!#REF!/(CAELS!AI3*1000000)</f>
        <v>#REF!</v>
      </c>
      <c r="AJ19" s="30" t="e">
        <f>'Evolutive SFP'!#REF!/(CAELS!AJ3*1000000)</f>
        <v>#REF!</v>
      </c>
      <c r="AK19" s="30" t="e">
        <f>'Evolutive SFP'!#REF!/(CAELS!AK3*1000000)</f>
        <v>#REF!</v>
      </c>
      <c r="AL19" s="30" t="e">
        <f>'Evolutive SFP'!#REF!/(CAELS!AL3*1000000)</f>
        <v>#REF!</v>
      </c>
      <c r="AM19" s="30" t="e">
        <f>'Evolutive SFP'!#REF!/(CAELS!AM3*1000000)</f>
        <v>#REF!</v>
      </c>
      <c r="AN19" s="30" t="e">
        <f>'Evolutive SFP'!#REF!/(CAELS!AN3*1000000)</f>
        <v>#REF!</v>
      </c>
      <c r="AO19" s="30" t="e">
        <f>'Evolutive SFP'!#REF!/(CAELS!AO3*1000000)</f>
        <v>#REF!</v>
      </c>
      <c r="AP19" s="30" t="e">
        <f>'Evolutive SFP'!#REF!/(CAELS!AP3*1000000)</f>
        <v>#REF!</v>
      </c>
      <c r="AQ19" s="30" t="e">
        <f>'Evolutive SFP'!#REF!/(CAELS!AQ3*1000000)</f>
        <v>#REF!</v>
      </c>
      <c r="AR19" s="30" t="e">
        <f>'Evolutive SFP'!#REF!/(CAELS!AR3*1000000)</f>
        <v>#REF!</v>
      </c>
      <c r="AS19" s="30" t="e">
        <f>'Evolutive SFP'!#REF!/(CAELS!AS3*1000000)</f>
        <v>#REF!</v>
      </c>
      <c r="AT19" s="30">
        <f>'Evolutive SFP'!C13/(CAELS!AT3*1000000)</f>
        <v>0</v>
      </c>
      <c r="AU19" s="30" t="e">
        <f>'Evolutive SFP'!#REF!/(CAELS!AU3*1000000)</f>
        <v>#REF!</v>
      </c>
      <c r="AV19" s="30" t="e">
        <f>'Evolutive SFP'!#REF!/(CAELS!AV3*1000000)</f>
        <v>#REF!</v>
      </c>
      <c r="AW19" s="30" t="e">
        <f>'Evolutive SFP'!#REF!/(CAELS!AW3*1000000)</f>
        <v>#REF!</v>
      </c>
      <c r="AX19" s="30" t="e">
        <f>'Evolutive SFP'!#REF!/(CAELS!AX3*1000000)</f>
        <v>#REF!</v>
      </c>
      <c r="AY19" s="30" t="e">
        <f>'Evolutive SFP'!#REF!/(CAELS!AY3*1000000)</f>
        <v>#REF!</v>
      </c>
      <c r="AZ19" s="30" t="e">
        <f>'Evolutive SFP'!#REF!/(CAELS!AZ3*1000000)</f>
        <v>#REF!</v>
      </c>
      <c r="BA19" s="30" t="e">
        <f>'Evolutive SFP'!#REF!/(CAELS!BA3*1000000)</f>
        <v>#REF!</v>
      </c>
      <c r="BB19" s="30" t="e">
        <f>'Evolutive SFP'!#REF!/(CAELS!BB3*1000000)</f>
        <v>#REF!</v>
      </c>
      <c r="BC19" s="30" t="e">
        <f>'Evolutive SFP'!#REF!/(CAELS!BC3*1000000)</f>
        <v>#REF!</v>
      </c>
    </row>
    <row r="20" spans="1:55">
      <c r="A20" s="182"/>
      <c r="B20" s="3" t="s">
        <v>126</v>
      </c>
      <c r="C20" s="6"/>
      <c r="D20" s="26" t="e">
        <f>'Evolutive SFP'!#REF!/'Evolutive SFP'!#REF!</f>
        <v>#REF!</v>
      </c>
      <c r="E20" s="26" t="e">
        <f>'Evolutive SFP'!#REF!/'Evolutive SFP'!#REF!</f>
        <v>#REF!</v>
      </c>
      <c r="F20" s="26" t="e">
        <f>'Evolutive SFP'!#REF!/'Evolutive SFP'!#REF!</f>
        <v>#REF!</v>
      </c>
      <c r="G20" s="26" t="e">
        <f>'Evolutive SFP'!#REF!/'Evolutive SFP'!#REF!</f>
        <v>#REF!</v>
      </c>
      <c r="H20" s="26" t="e">
        <f>'Evolutive SFP'!#REF!/'Evolutive SFP'!#REF!</f>
        <v>#REF!</v>
      </c>
      <c r="I20" s="26" t="e">
        <f>'Evolutive SFP'!#REF!/'Evolutive SFP'!#REF!</f>
        <v>#REF!</v>
      </c>
      <c r="J20" s="26" t="e">
        <f>'Evolutive SFP'!#REF!/'Evolutive SFP'!#REF!</f>
        <v>#REF!</v>
      </c>
      <c r="K20" s="26" t="e">
        <f>'Evolutive SFP'!#REF!/'Evolutive SFP'!#REF!</f>
        <v>#REF!</v>
      </c>
      <c r="L20" s="26" t="e">
        <f>'Evolutive SFP'!#REF!/'Evolutive SFP'!#REF!</f>
        <v>#REF!</v>
      </c>
      <c r="M20" s="26" t="e">
        <f>'Evolutive SFP'!#REF!/'Evolutive SFP'!#REF!</f>
        <v>#REF!</v>
      </c>
      <c r="N20" s="26" t="e">
        <f>'Evolutive SFP'!#REF!/'Evolutive SFP'!#REF!</f>
        <v>#REF!</v>
      </c>
      <c r="O20" s="26" t="e">
        <f>'Evolutive SFP'!#REF!/'Evolutive SFP'!#REF!</f>
        <v>#REF!</v>
      </c>
      <c r="P20" s="26" t="e">
        <f>'Evolutive SFP'!#REF!/'Evolutive SFP'!#REF!</f>
        <v>#REF!</v>
      </c>
      <c r="Q20" s="26" t="e">
        <f>'Evolutive SFP'!#REF!/'Evolutive SFP'!#REF!</f>
        <v>#REF!</v>
      </c>
      <c r="R20" s="26" t="e">
        <f>'Evolutive SFP'!#REF!/'Evolutive SFP'!#REF!</f>
        <v>#REF!</v>
      </c>
      <c r="S20" s="30" t="e">
        <f>'Evolutive SFP'!#REF!/'Evolutive SFP'!#REF!</f>
        <v>#REF!</v>
      </c>
      <c r="T20" s="30" t="e">
        <f>'Evolutive SFP'!#REF!/'Evolutive SFP'!#REF!</f>
        <v>#REF!</v>
      </c>
      <c r="U20" s="30" t="e">
        <f>'Evolutive SFP'!#REF!/'Evolutive SFP'!#REF!</f>
        <v>#REF!</v>
      </c>
      <c r="V20" s="30" t="e">
        <f>'Evolutive SFP'!#REF!/'Evolutive SFP'!#REF!</f>
        <v>#REF!</v>
      </c>
      <c r="W20" s="30" t="e">
        <f>'Evolutive SFP'!#REF!/'Evolutive SFP'!#REF!</f>
        <v>#REF!</v>
      </c>
      <c r="X20" s="30" t="e">
        <f>'Evolutive SFP'!#REF!/'Evolutive SFP'!#REF!</f>
        <v>#REF!</v>
      </c>
      <c r="Y20" s="30" t="e">
        <f>'Evolutive SFP'!#REF!/'Evolutive SFP'!#REF!</f>
        <v>#REF!</v>
      </c>
      <c r="Z20" s="30" t="e">
        <f>'Evolutive SFP'!#REF!/'Evolutive SFP'!#REF!</f>
        <v>#REF!</v>
      </c>
      <c r="AA20" s="30" t="e">
        <f>'Evolutive SFP'!#REF!/'Evolutive SFP'!#REF!</f>
        <v>#REF!</v>
      </c>
      <c r="AB20" s="30" t="e">
        <f>'Evolutive SFP'!#REF!/'Evolutive SFP'!#REF!</f>
        <v>#REF!</v>
      </c>
      <c r="AC20" s="30" t="e">
        <f>'Evolutive SFP'!#REF!/'Evolutive SFP'!#REF!</f>
        <v>#REF!</v>
      </c>
      <c r="AD20" s="30" t="e">
        <f>'Evolutive SFP'!#REF!/'Evolutive SFP'!#REF!</f>
        <v>#REF!</v>
      </c>
      <c r="AE20" s="30" t="e">
        <f>'Evolutive SFP'!#REF!/'Evolutive SFP'!#REF!</f>
        <v>#REF!</v>
      </c>
      <c r="AF20" s="30" t="e">
        <f>'Evolutive SFP'!#REF!/'Evolutive SFP'!#REF!</f>
        <v>#REF!</v>
      </c>
      <c r="AG20" s="30" t="e">
        <f>'Evolutive SFP'!#REF!/'Evolutive SFP'!#REF!</f>
        <v>#REF!</v>
      </c>
      <c r="AH20" s="30" t="e">
        <f>'Evolutive SFP'!#REF!/'Evolutive SFP'!#REF!</f>
        <v>#REF!</v>
      </c>
      <c r="AI20" s="30" t="e">
        <f>'Evolutive SFP'!#REF!/'Evolutive SFP'!#REF!</f>
        <v>#REF!</v>
      </c>
      <c r="AJ20" s="30" t="e">
        <f>'Evolutive SFP'!#REF!/'Evolutive SFP'!#REF!</f>
        <v>#REF!</v>
      </c>
      <c r="AK20" s="30" t="e">
        <f>'Evolutive SFP'!#REF!/'Evolutive SFP'!#REF!</f>
        <v>#REF!</v>
      </c>
      <c r="AL20" s="30" t="e">
        <f>'Evolutive SFP'!#REF!/'Evolutive SFP'!#REF!</f>
        <v>#REF!</v>
      </c>
      <c r="AM20" s="30" t="e">
        <f>'Evolutive SFP'!#REF!/'Evolutive SFP'!#REF!</f>
        <v>#REF!</v>
      </c>
      <c r="AN20" s="30" t="e">
        <f>'Evolutive SFP'!#REF!/'Evolutive SFP'!#REF!</f>
        <v>#REF!</v>
      </c>
      <c r="AO20" s="30" t="e">
        <f>'Evolutive SFP'!#REF!/'Evolutive SFP'!#REF!</f>
        <v>#REF!</v>
      </c>
      <c r="AP20" s="30" t="e">
        <f>'Evolutive SFP'!#REF!/'Evolutive SFP'!#REF!</f>
        <v>#REF!</v>
      </c>
      <c r="AQ20" s="30" t="e">
        <f>'Evolutive SFP'!#REF!/'Evolutive SFP'!#REF!</f>
        <v>#REF!</v>
      </c>
      <c r="AR20" s="30" t="e">
        <f>'Evolutive SFP'!#REF!/'Evolutive SFP'!#REF!</f>
        <v>#REF!</v>
      </c>
      <c r="AS20" s="30" t="e">
        <f>'Evolutive SFP'!#REF!/'Evolutive SFP'!#REF!</f>
        <v>#REF!</v>
      </c>
      <c r="AT20" s="30">
        <f>'Evolutive SFP'!C15/'Evolutive SFP'!C27</f>
        <v>0.65391608779660348</v>
      </c>
      <c r="AU20" s="30" t="e">
        <f>'Evolutive SFP'!#REF!/'Evolutive SFP'!#REF!</f>
        <v>#REF!</v>
      </c>
      <c r="AV20" s="30" t="e">
        <f>'Evolutive SFP'!#REF!/'Evolutive SFP'!#REF!</f>
        <v>#REF!</v>
      </c>
      <c r="AW20" s="30" t="e">
        <f>'Evolutive SFP'!#REF!/'Evolutive SFP'!#REF!</f>
        <v>#REF!</v>
      </c>
      <c r="AX20" s="30" t="e">
        <f>'Evolutive SFP'!#REF!/'Evolutive SFP'!#REF!</f>
        <v>#REF!</v>
      </c>
      <c r="AY20" s="30" t="e">
        <f>'Evolutive SFP'!#REF!/'Evolutive SFP'!#REF!</f>
        <v>#REF!</v>
      </c>
      <c r="AZ20" s="30" t="e">
        <f>'Evolutive SFP'!#REF!/'Evolutive SFP'!#REF!</f>
        <v>#REF!</v>
      </c>
      <c r="BA20" s="30" t="e">
        <f>'Evolutive SFP'!#REF!/'Evolutive SFP'!#REF!</f>
        <v>#REF!</v>
      </c>
      <c r="BB20" s="30" t="e">
        <f>'Evolutive SFP'!#REF!/'Evolutive SFP'!#REF!</f>
        <v>#REF!</v>
      </c>
      <c r="BC20" s="30" t="e">
        <f>'Evolutive SFP'!#REF!/'Evolutive SFP'!#REF!</f>
        <v>#REF!</v>
      </c>
    </row>
    <row r="21" spans="1:55">
      <c r="A21" s="181" t="s">
        <v>127</v>
      </c>
      <c r="B21" s="24" t="s">
        <v>128</v>
      </c>
      <c r="C21" s="1"/>
      <c r="D21" s="26" t="e">
        <f>'Evolutive SFP'!#REF!/'Evolutive SFP'!#REF!</f>
        <v>#REF!</v>
      </c>
      <c r="E21" s="26" t="e">
        <f>'Evolutive SFP'!#REF!/'Evolutive SFP'!#REF!</f>
        <v>#REF!</v>
      </c>
      <c r="F21" s="26" t="e">
        <f>'Evolutive SFP'!#REF!/'Evolutive SFP'!#REF!</f>
        <v>#REF!</v>
      </c>
      <c r="G21" s="26" t="e">
        <f>'Evolutive SFP'!#REF!/'Evolutive SFP'!#REF!</f>
        <v>#REF!</v>
      </c>
      <c r="H21" s="26" t="e">
        <f>'Evolutive SFP'!#REF!/'Evolutive SFP'!#REF!</f>
        <v>#REF!</v>
      </c>
      <c r="I21" s="26" t="e">
        <f>'Evolutive SFP'!#REF!/'Evolutive SFP'!#REF!</f>
        <v>#REF!</v>
      </c>
      <c r="J21" s="26" t="e">
        <f>'Evolutive SFP'!#REF!/'Evolutive SFP'!#REF!</f>
        <v>#REF!</v>
      </c>
      <c r="K21" s="26" t="e">
        <f>'Evolutive SFP'!#REF!/'Evolutive SFP'!#REF!</f>
        <v>#REF!</v>
      </c>
      <c r="L21" s="26" t="e">
        <f>'Evolutive SFP'!#REF!/'Evolutive SFP'!#REF!</f>
        <v>#REF!</v>
      </c>
      <c r="M21" s="26" t="e">
        <f>'Evolutive SFP'!#REF!/'Evolutive SFP'!#REF!</f>
        <v>#REF!</v>
      </c>
      <c r="N21" s="26" t="e">
        <f>'Evolutive SFP'!#REF!/'Evolutive SFP'!#REF!</f>
        <v>#REF!</v>
      </c>
      <c r="O21" s="26" t="e">
        <f>'Evolutive SFP'!#REF!/'Evolutive SFP'!#REF!</f>
        <v>#REF!</v>
      </c>
      <c r="P21" s="26" t="e">
        <f>'Evolutive SFP'!#REF!/'Evolutive SFP'!#REF!</f>
        <v>#REF!</v>
      </c>
      <c r="Q21" s="26" t="e">
        <f>'Evolutive SFP'!#REF!/'Evolutive SFP'!#REF!</f>
        <v>#REF!</v>
      </c>
      <c r="R21" s="26" t="e">
        <f>'Evolutive SFP'!#REF!/'Evolutive SFP'!#REF!</f>
        <v>#REF!</v>
      </c>
      <c r="S21" s="30" t="e">
        <f>'Evolutive SFP'!#REF!/'Evolutive SFP'!#REF!</f>
        <v>#REF!</v>
      </c>
      <c r="T21" s="30" t="e">
        <f>'Evolutive SFP'!#REF!/'Evolutive SFP'!#REF!</f>
        <v>#REF!</v>
      </c>
      <c r="U21" s="30" t="e">
        <f>'Evolutive SFP'!#REF!/'Evolutive SFP'!#REF!</f>
        <v>#REF!</v>
      </c>
      <c r="V21" s="30" t="e">
        <f>'Evolutive SFP'!#REF!/'Evolutive SFP'!#REF!</f>
        <v>#REF!</v>
      </c>
      <c r="W21" s="30" t="e">
        <f>'Evolutive SFP'!#REF!/'Evolutive SFP'!#REF!</f>
        <v>#REF!</v>
      </c>
      <c r="X21" s="30" t="e">
        <f>'Evolutive SFP'!#REF!/'Evolutive SFP'!#REF!</f>
        <v>#REF!</v>
      </c>
      <c r="Y21" s="30" t="e">
        <f>'Evolutive SFP'!#REF!/'Evolutive SFP'!#REF!</f>
        <v>#REF!</v>
      </c>
      <c r="Z21" s="30" t="e">
        <f>'Evolutive SFP'!#REF!/'Evolutive SFP'!#REF!</f>
        <v>#REF!</v>
      </c>
      <c r="AA21" s="30" t="e">
        <f>'Evolutive SFP'!#REF!/'Evolutive SFP'!#REF!</f>
        <v>#REF!</v>
      </c>
      <c r="AB21" s="30" t="e">
        <f>'Evolutive SFP'!#REF!/'Evolutive SFP'!#REF!</f>
        <v>#REF!</v>
      </c>
      <c r="AC21" s="30" t="e">
        <f>'Evolutive SFP'!#REF!/'Evolutive SFP'!#REF!</f>
        <v>#REF!</v>
      </c>
      <c r="AD21" s="30" t="e">
        <f>'Evolutive SFP'!#REF!/'Evolutive SFP'!#REF!</f>
        <v>#REF!</v>
      </c>
      <c r="AE21" s="30" t="e">
        <f>'Evolutive SFP'!#REF!/'Evolutive SFP'!#REF!</f>
        <v>#REF!</v>
      </c>
      <c r="AF21" s="30" t="e">
        <f>'Evolutive SFP'!#REF!/'Evolutive SFP'!#REF!</f>
        <v>#REF!</v>
      </c>
      <c r="AG21" s="30" t="e">
        <f>'Evolutive SFP'!#REF!/'Evolutive SFP'!#REF!</f>
        <v>#REF!</v>
      </c>
      <c r="AH21" s="30" t="e">
        <f>'Evolutive SFP'!#REF!/'Evolutive SFP'!#REF!</f>
        <v>#REF!</v>
      </c>
      <c r="AI21" s="30" t="e">
        <f>'Evolutive SFP'!#REF!/'Evolutive SFP'!#REF!</f>
        <v>#REF!</v>
      </c>
      <c r="AJ21" s="30" t="e">
        <f>'Evolutive SFP'!#REF!/'Evolutive SFP'!#REF!</f>
        <v>#REF!</v>
      </c>
      <c r="AK21" s="30" t="e">
        <f>'Evolutive SFP'!#REF!/'Evolutive SFP'!#REF!</f>
        <v>#REF!</v>
      </c>
      <c r="AL21" s="30" t="e">
        <f>'Evolutive SFP'!#REF!/'Evolutive SFP'!#REF!</f>
        <v>#REF!</v>
      </c>
      <c r="AM21" s="30" t="e">
        <f>'Evolutive SFP'!#REF!/'Evolutive SFP'!#REF!</f>
        <v>#REF!</v>
      </c>
      <c r="AN21" s="30" t="e">
        <f>'Evolutive SFP'!#REF!/'Evolutive SFP'!#REF!</f>
        <v>#REF!</v>
      </c>
      <c r="AO21" s="30" t="e">
        <f>'Evolutive SFP'!#REF!/'Evolutive SFP'!#REF!</f>
        <v>#REF!</v>
      </c>
      <c r="AP21" s="30" t="e">
        <f>'Evolutive SFP'!#REF!/'Evolutive SFP'!#REF!</f>
        <v>#REF!</v>
      </c>
      <c r="AQ21" s="30" t="e">
        <f>'Evolutive SFP'!#REF!/'Evolutive SFP'!#REF!</f>
        <v>#REF!</v>
      </c>
      <c r="AR21" s="30" t="e">
        <f>'Evolutive SFP'!#REF!/'Evolutive SFP'!#REF!</f>
        <v>#REF!</v>
      </c>
      <c r="AS21" s="30" t="e">
        <f>'Evolutive SFP'!#REF!/'Evolutive SFP'!#REF!</f>
        <v>#REF!</v>
      </c>
      <c r="AT21" s="30">
        <f>'Evolutive SFP'!C31/'Evolutive SFP'!C27</f>
        <v>0.75365312525262884</v>
      </c>
      <c r="AU21" s="30" t="e">
        <f>'Evolutive SFP'!#REF!/'Evolutive SFP'!#REF!</f>
        <v>#REF!</v>
      </c>
      <c r="AV21" s="30" t="e">
        <f>'Evolutive SFP'!#REF!/'Evolutive SFP'!#REF!</f>
        <v>#REF!</v>
      </c>
      <c r="AW21" s="30" t="e">
        <f>'Evolutive SFP'!#REF!/'Evolutive SFP'!#REF!</f>
        <v>#REF!</v>
      </c>
      <c r="AX21" s="30" t="e">
        <f>'Evolutive SFP'!#REF!/'Evolutive SFP'!#REF!</f>
        <v>#REF!</v>
      </c>
      <c r="AY21" s="30" t="e">
        <f>'Evolutive SFP'!#REF!/'Evolutive SFP'!#REF!</f>
        <v>#REF!</v>
      </c>
      <c r="AZ21" s="30" t="e">
        <f>'Evolutive SFP'!#REF!/'Evolutive SFP'!#REF!</f>
        <v>#REF!</v>
      </c>
      <c r="BA21" s="30" t="e">
        <f>'Evolutive SFP'!#REF!/'Evolutive SFP'!#REF!</f>
        <v>#REF!</v>
      </c>
      <c r="BB21" s="30" t="e">
        <f>'Evolutive SFP'!#REF!/'Evolutive SFP'!#REF!</f>
        <v>#REF!</v>
      </c>
      <c r="BC21" s="30" t="e">
        <f>'Evolutive SFP'!#REF!/'Evolutive SFP'!#REF!</f>
        <v>#REF!</v>
      </c>
    </row>
    <row r="22" spans="1:55">
      <c r="A22" s="181"/>
      <c r="B22" s="24" t="s">
        <v>129</v>
      </c>
      <c r="C22" s="1"/>
      <c r="D22" s="26" t="e">
        <f>'Evolutive SFP'!#REF!/'Evolutive SFP'!#REF!</f>
        <v>#REF!</v>
      </c>
      <c r="E22" s="26" t="e">
        <f>'Evolutive SFP'!#REF!/'Evolutive SFP'!#REF!</f>
        <v>#REF!</v>
      </c>
      <c r="F22" s="26" t="e">
        <f>'Evolutive SFP'!#REF!/'Evolutive SFP'!#REF!</f>
        <v>#REF!</v>
      </c>
      <c r="G22" s="26" t="e">
        <f>'Evolutive SFP'!#REF!/'Evolutive SFP'!#REF!</f>
        <v>#REF!</v>
      </c>
      <c r="H22" s="26" t="e">
        <f>'Evolutive SFP'!#REF!/'Evolutive SFP'!#REF!</f>
        <v>#REF!</v>
      </c>
      <c r="I22" s="26" t="e">
        <f>'Evolutive SFP'!#REF!/'Evolutive SFP'!#REF!</f>
        <v>#REF!</v>
      </c>
      <c r="J22" s="26" t="e">
        <f>'Evolutive SFP'!#REF!/'Evolutive SFP'!#REF!</f>
        <v>#REF!</v>
      </c>
      <c r="K22" s="26" t="e">
        <f>'Evolutive SFP'!#REF!/'Evolutive SFP'!#REF!</f>
        <v>#REF!</v>
      </c>
      <c r="L22" s="26" t="e">
        <f>'Evolutive SFP'!#REF!/'Evolutive SFP'!#REF!</f>
        <v>#REF!</v>
      </c>
      <c r="M22" s="26" t="e">
        <f>'Evolutive SFP'!#REF!/'Evolutive SFP'!#REF!</f>
        <v>#REF!</v>
      </c>
      <c r="N22" s="26" t="e">
        <f>'Evolutive SFP'!#REF!/'Evolutive SFP'!#REF!</f>
        <v>#REF!</v>
      </c>
      <c r="O22" s="26" t="e">
        <f>'Evolutive SFP'!#REF!/'Evolutive SFP'!#REF!</f>
        <v>#REF!</v>
      </c>
      <c r="P22" s="26" t="e">
        <f>'Evolutive SFP'!#REF!/'Evolutive SFP'!#REF!</f>
        <v>#REF!</v>
      </c>
      <c r="Q22" s="26" t="e">
        <f>'Evolutive SFP'!#REF!/'Evolutive SFP'!#REF!</f>
        <v>#REF!</v>
      </c>
      <c r="R22" s="26" t="e">
        <f>'Evolutive SFP'!#REF!/'Evolutive SFP'!#REF!</f>
        <v>#REF!</v>
      </c>
      <c r="S22" s="30" t="e">
        <f>'Evolutive SFP'!#REF!/'Evolutive SFP'!#REF!</f>
        <v>#REF!</v>
      </c>
      <c r="T22" s="30" t="e">
        <f>'Evolutive SFP'!#REF!/'Evolutive SFP'!#REF!</f>
        <v>#REF!</v>
      </c>
      <c r="U22" s="30" t="e">
        <f>'Evolutive SFP'!#REF!/'Evolutive SFP'!#REF!</f>
        <v>#REF!</v>
      </c>
      <c r="V22" s="30" t="e">
        <f>'Evolutive SFP'!#REF!/'Evolutive SFP'!#REF!</f>
        <v>#REF!</v>
      </c>
      <c r="W22" s="30" t="e">
        <f>'Evolutive SFP'!#REF!/'Evolutive SFP'!#REF!</f>
        <v>#REF!</v>
      </c>
      <c r="X22" s="30" t="e">
        <f>'Evolutive SFP'!#REF!/'Evolutive SFP'!#REF!</f>
        <v>#REF!</v>
      </c>
      <c r="Y22" s="30" t="e">
        <f>'Evolutive SFP'!#REF!/'Evolutive SFP'!#REF!</f>
        <v>#REF!</v>
      </c>
      <c r="Z22" s="30" t="e">
        <f>'Evolutive SFP'!#REF!/'Evolutive SFP'!#REF!</f>
        <v>#REF!</v>
      </c>
      <c r="AA22" s="30" t="e">
        <f>'Evolutive SFP'!#REF!/'Evolutive SFP'!#REF!</f>
        <v>#REF!</v>
      </c>
      <c r="AB22" s="30" t="e">
        <f>'Evolutive SFP'!#REF!/'Evolutive SFP'!#REF!</f>
        <v>#REF!</v>
      </c>
      <c r="AC22" s="30" t="e">
        <f>'Evolutive SFP'!#REF!/'Evolutive SFP'!#REF!</f>
        <v>#REF!</v>
      </c>
      <c r="AD22" s="30" t="e">
        <f>'Evolutive SFP'!#REF!/'Evolutive SFP'!#REF!</f>
        <v>#REF!</v>
      </c>
      <c r="AE22" s="30" t="e">
        <f>'Evolutive SFP'!#REF!/'Evolutive SFP'!#REF!</f>
        <v>#REF!</v>
      </c>
      <c r="AF22" s="30" t="e">
        <f>'Evolutive SFP'!#REF!/'Evolutive SFP'!#REF!</f>
        <v>#REF!</v>
      </c>
      <c r="AG22" s="30" t="e">
        <f>'Evolutive SFP'!#REF!/'Evolutive SFP'!#REF!</f>
        <v>#REF!</v>
      </c>
      <c r="AH22" s="30" t="e">
        <f>'Evolutive SFP'!#REF!/'Evolutive SFP'!#REF!</f>
        <v>#REF!</v>
      </c>
      <c r="AI22" s="30" t="e">
        <f>'Evolutive SFP'!#REF!/'Evolutive SFP'!#REF!</f>
        <v>#REF!</v>
      </c>
      <c r="AJ22" s="30" t="e">
        <f>'Evolutive SFP'!#REF!/'Evolutive SFP'!#REF!</f>
        <v>#REF!</v>
      </c>
      <c r="AK22" s="30" t="e">
        <f>'Evolutive SFP'!#REF!/'Evolutive SFP'!#REF!</f>
        <v>#REF!</v>
      </c>
      <c r="AL22" s="30" t="e">
        <f>'Evolutive SFP'!#REF!/'Evolutive SFP'!#REF!</f>
        <v>#REF!</v>
      </c>
      <c r="AM22" s="30" t="e">
        <f>'Evolutive SFP'!#REF!/'Evolutive SFP'!#REF!</f>
        <v>#REF!</v>
      </c>
      <c r="AN22" s="30" t="e">
        <f>'Evolutive SFP'!#REF!/'Evolutive SFP'!#REF!</f>
        <v>#REF!</v>
      </c>
      <c r="AO22" s="30" t="e">
        <f>'Evolutive SFP'!#REF!/'Evolutive SFP'!#REF!</f>
        <v>#REF!</v>
      </c>
      <c r="AP22" s="30" t="e">
        <f>'Evolutive SFP'!#REF!/'Evolutive SFP'!#REF!</f>
        <v>#REF!</v>
      </c>
      <c r="AQ22" s="30" t="e">
        <f>'Evolutive SFP'!#REF!/'Evolutive SFP'!#REF!</f>
        <v>#REF!</v>
      </c>
      <c r="AR22" s="30" t="e">
        <f>'Evolutive SFP'!#REF!/'Evolutive SFP'!#REF!</f>
        <v>#REF!</v>
      </c>
      <c r="AS22" s="30" t="e">
        <f>'Evolutive SFP'!#REF!/'Evolutive SFP'!#REF!</f>
        <v>#REF!</v>
      </c>
      <c r="AT22" s="30">
        <f>'Evolutive SFP'!C30/'Evolutive SFP'!C27</f>
        <v>5.5657771921784935E-2</v>
      </c>
      <c r="AU22" s="30" t="e">
        <f>'Evolutive SFP'!#REF!/'Evolutive SFP'!#REF!</f>
        <v>#REF!</v>
      </c>
      <c r="AV22" s="30" t="e">
        <f>'Evolutive SFP'!#REF!/'Evolutive SFP'!#REF!</f>
        <v>#REF!</v>
      </c>
      <c r="AW22" s="30" t="e">
        <f>'Evolutive SFP'!#REF!/'Evolutive SFP'!#REF!</f>
        <v>#REF!</v>
      </c>
      <c r="AX22" s="30" t="e">
        <f>'Evolutive SFP'!#REF!/'Evolutive SFP'!#REF!</f>
        <v>#REF!</v>
      </c>
      <c r="AY22" s="30" t="e">
        <f>'Evolutive SFP'!#REF!/'Evolutive SFP'!#REF!</f>
        <v>#REF!</v>
      </c>
      <c r="AZ22" s="30" t="e">
        <f>'Evolutive SFP'!#REF!/'Evolutive SFP'!#REF!</f>
        <v>#REF!</v>
      </c>
      <c r="BA22" s="30" t="e">
        <f>'Evolutive SFP'!#REF!/'Evolutive SFP'!#REF!</f>
        <v>#REF!</v>
      </c>
      <c r="BB22" s="30" t="e">
        <f>'Evolutive SFP'!#REF!/'Evolutive SFP'!#REF!</f>
        <v>#REF!</v>
      </c>
      <c r="BC22" s="30" t="e">
        <f>'Evolutive SFP'!#REF!/'Evolutive SFP'!#REF!</f>
        <v>#REF!</v>
      </c>
    </row>
    <row r="23" spans="1:55">
      <c r="A23" s="181"/>
      <c r="B23" s="24" t="s">
        <v>130</v>
      </c>
      <c r="C23" s="1"/>
      <c r="D23" s="26" t="e">
        <f>('Evolutive SFP'!#REF!+'Evolutive SFP'!#REF!)/'Evolutive SFP'!#REF!</f>
        <v>#REF!</v>
      </c>
      <c r="E23" s="26" t="e">
        <f>('Evolutive SFP'!#REF!+'Evolutive SFP'!#REF!)/'Evolutive SFP'!#REF!</f>
        <v>#REF!</v>
      </c>
      <c r="F23" s="26" t="e">
        <f>('Evolutive SFP'!#REF!+'Evolutive SFP'!#REF!)/'Evolutive SFP'!#REF!</f>
        <v>#REF!</v>
      </c>
      <c r="G23" s="26" t="e">
        <f>('Evolutive SFP'!#REF!+'Evolutive SFP'!#REF!)/'Evolutive SFP'!#REF!</f>
        <v>#REF!</v>
      </c>
      <c r="H23" s="26" t="e">
        <f>('Evolutive SFP'!#REF!+'Evolutive SFP'!#REF!)/'Evolutive SFP'!#REF!</f>
        <v>#REF!</v>
      </c>
      <c r="I23" s="26" t="e">
        <f>('Evolutive SFP'!#REF!+'Evolutive SFP'!#REF!)/'Evolutive SFP'!#REF!</f>
        <v>#REF!</v>
      </c>
      <c r="J23" s="26" t="e">
        <f>('Evolutive SFP'!#REF!+'Evolutive SFP'!#REF!)/'Evolutive SFP'!#REF!</f>
        <v>#REF!</v>
      </c>
      <c r="K23" s="26" t="e">
        <f>('Evolutive SFP'!#REF!+'Evolutive SFP'!#REF!)/'Evolutive SFP'!#REF!</f>
        <v>#REF!</v>
      </c>
      <c r="L23" s="26" t="e">
        <f>('Evolutive SFP'!#REF!+'Evolutive SFP'!#REF!)/'Evolutive SFP'!#REF!</f>
        <v>#REF!</v>
      </c>
      <c r="M23" s="26" t="e">
        <f>('Evolutive SFP'!#REF!+'Evolutive SFP'!#REF!)/'Evolutive SFP'!#REF!</f>
        <v>#REF!</v>
      </c>
      <c r="N23" s="26" t="e">
        <f>('Evolutive SFP'!#REF!+'Evolutive SFP'!#REF!)/'Evolutive SFP'!#REF!</f>
        <v>#REF!</v>
      </c>
      <c r="O23" s="26" t="e">
        <f>('Evolutive SFP'!#REF!+'Evolutive SFP'!#REF!)/'Evolutive SFP'!#REF!</f>
        <v>#REF!</v>
      </c>
      <c r="P23" s="26" t="e">
        <f>('Evolutive SFP'!#REF!+'Evolutive SFP'!#REF!)/'Evolutive SFP'!#REF!</f>
        <v>#REF!</v>
      </c>
      <c r="Q23" s="26" t="e">
        <f>('Evolutive SFP'!#REF!+'Evolutive SFP'!#REF!)/'Evolutive SFP'!#REF!</f>
        <v>#REF!</v>
      </c>
      <c r="R23" s="26" t="e">
        <f>('Evolutive SFP'!#REF!+'Evolutive SFP'!#REF!)/'Evolutive SFP'!#REF!</f>
        <v>#REF!</v>
      </c>
      <c r="S23" s="30" t="e">
        <f>('Evolutive SFP'!#REF!+'Evolutive SFP'!#REF!)/'Evolutive SFP'!#REF!</f>
        <v>#REF!</v>
      </c>
      <c r="T23" s="30" t="e">
        <f>('Evolutive SFP'!#REF!+'Evolutive SFP'!#REF!)/'Evolutive SFP'!#REF!</f>
        <v>#REF!</v>
      </c>
      <c r="U23" s="30" t="e">
        <f>('Evolutive SFP'!#REF!+'Evolutive SFP'!#REF!)/'Evolutive SFP'!#REF!</f>
        <v>#REF!</v>
      </c>
      <c r="V23" s="30" t="e">
        <f>('Evolutive SFP'!#REF!+'Evolutive SFP'!#REF!)/'Evolutive SFP'!#REF!</f>
        <v>#REF!</v>
      </c>
      <c r="W23" s="30" t="e">
        <f>('Evolutive SFP'!#REF!+'Evolutive SFP'!#REF!)/'Evolutive SFP'!#REF!</f>
        <v>#REF!</v>
      </c>
      <c r="X23" s="30" t="e">
        <f>('Evolutive SFP'!#REF!+'Evolutive SFP'!#REF!)/'Evolutive SFP'!#REF!</f>
        <v>#REF!</v>
      </c>
      <c r="Y23" s="30" t="e">
        <f>('Evolutive SFP'!#REF!+'Evolutive SFP'!#REF!)/'Evolutive SFP'!#REF!</f>
        <v>#REF!</v>
      </c>
      <c r="Z23" s="30" t="e">
        <f>('Evolutive SFP'!#REF!+'Evolutive SFP'!#REF!)/'Evolutive SFP'!#REF!</f>
        <v>#REF!</v>
      </c>
      <c r="AA23" s="30" t="e">
        <f>('Evolutive SFP'!#REF!+'Evolutive SFP'!#REF!)/'Evolutive SFP'!#REF!</f>
        <v>#REF!</v>
      </c>
      <c r="AB23" s="30" t="e">
        <f>('Evolutive SFP'!#REF!+'Evolutive SFP'!#REF!)/'Evolutive SFP'!#REF!</f>
        <v>#REF!</v>
      </c>
      <c r="AC23" s="30" t="e">
        <f>('Evolutive SFP'!#REF!+'Evolutive SFP'!#REF!)/'Evolutive SFP'!#REF!</f>
        <v>#REF!</v>
      </c>
      <c r="AD23" s="30" t="e">
        <f>('Evolutive SFP'!#REF!+'Evolutive SFP'!#REF!)/'Evolutive SFP'!#REF!</f>
        <v>#REF!</v>
      </c>
      <c r="AE23" s="30" t="e">
        <f>('Evolutive SFP'!#REF!+'Evolutive SFP'!#REF!)/'Evolutive SFP'!#REF!</f>
        <v>#REF!</v>
      </c>
      <c r="AF23" s="30" t="e">
        <f>('Evolutive SFP'!#REF!+'Evolutive SFP'!#REF!)/'Evolutive SFP'!#REF!</f>
        <v>#REF!</v>
      </c>
      <c r="AG23" s="30" t="e">
        <f>('Evolutive SFP'!#REF!+'Evolutive SFP'!#REF!)/'Evolutive SFP'!#REF!</f>
        <v>#REF!</v>
      </c>
      <c r="AH23" s="30" t="e">
        <f>('Evolutive SFP'!#REF!+'Evolutive SFP'!#REF!)/'Evolutive SFP'!#REF!</f>
        <v>#REF!</v>
      </c>
      <c r="AI23" s="30" t="e">
        <f>('Evolutive SFP'!#REF!+'Evolutive SFP'!#REF!)/'Evolutive SFP'!#REF!</f>
        <v>#REF!</v>
      </c>
      <c r="AJ23" s="30" t="e">
        <f>('Evolutive SFP'!#REF!+'Evolutive SFP'!#REF!)/'Evolutive SFP'!#REF!</f>
        <v>#REF!</v>
      </c>
      <c r="AK23" s="30" t="e">
        <f>('Evolutive SFP'!#REF!+'Evolutive SFP'!#REF!)/'Evolutive SFP'!#REF!</f>
        <v>#REF!</v>
      </c>
      <c r="AL23" s="30" t="e">
        <f>('Evolutive SFP'!#REF!+'Evolutive SFP'!#REF!)/'Evolutive SFP'!#REF!</f>
        <v>#REF!</v>
      </c>
      <c r="AM23" s="30" t="e">
        <f>('Evolutive SFP'!#REF!+'Evolutive SFP'!#REF!)/'Evolutive SFP'!#REF!</f>
        <v>#REF!</v>
      </c>
      <c r="AN23" s="30" t="e">
        <f>('Evolutive SFP'!#REF!+'Evolutive SFP'!#REF!)/'Evolutive SFP'!#REF!</f>
        <v>#REF!</v>
      </c>
      <c r="AO23" s="30" t="e">
        <f>('Evolutive SFP'!#REF!+'Evolutive SFP'!#REF!)/'Evolutive SFP'!#REF!</f>
        <v>#REF!</v>
      </c>
      <c r="AP23" s="30" t="e">
        <f>('Evolutive SFP'!#REF!+'Evolutive SFP'!#REF!)/'Evolutive SFP'!#REF!</f>
        <v>#REF!</v>
      </c>
      <c r="AQ23" s="30" t="e">
        <f>('Evolutive SFP'!#REF!+'Evolutive SFP'!#REF!)/'Evolutive SFP'!#REF!</f>
        <v>#REF!</v>
      </c>
      <c r="AR23" s="30" t="e">
        <f>('Evolutive SFP'!#REF!+'Evolutive SFP'!#REF!)/'Evolutive SFP'!#REF!</f>
        <v>#REF!</v>
      </c>
      <c r="AS23" s="30" t="e">
        <f>('Evolutive SFP'!#REF!+'Evolutive SFP'!#REF!)/'Evolutive SFP'!#REF!</f>
        <v>#REF!</v>
      </c>
      <c r="AT23" s="30">
        <f>('Evolutive SFP'!C28+'Evolutive SFP'!C29)/'Evolutive SFP'!C27</f>
        <v>0.69799535333084384</v>
      </c>
      <c r="AU23" s="30" t="e">
        <f>('Evolutive SFP'!#REF!+'Evolutive SFP'!#REF!)/'Evolutive SFP'!#REF!</f>
        <v>#REF!</v>
      </c>
      <c r="AV23" s="30" t="e">
        <f>('Evolutive SFP'!#REF!+'Evolutive SFP'!#REF!)/'Evolutive SFP'!#REF!</f>
        <v>#REF!</v>
      </c>
      <c r="AW23" s="30" t="e">
        <f>('Evolutive SFP'!#REF!+'Evolutive SFP'!#REF!)/'Evolutive SFP'!#REF!</f>
        <v>#REF!</v>
      </c>
      <c r="AX23" s="30" t="e">
        <f>('Evolutive SFP'!#REF!+'Evolutive SFP'!#REF!)/'Evolutive SFP'!#REF!</f>
        <v>#REF!</v>
      </c>
      <c r="AY23" s="30" t="e">
        <f>('Evolutive SFP'!#REF!+'Evolutive SFP'!#REF!)/'Evolutive SFP'!#REF!</f>
        <v>#REF!</v>
      </c>
      <c r="AZ23" s="30" t="e">
        <f>('Evolutive SFP'!#REF!+'Evolutive SFP'!#REF!)/'Evolutive SFP'!#REF!</f>
        <v>#REF!</v>
      </c>
      <c r="BA23" s="30" t="e">
        <f>('Evolutive SFP'!#REF!+'Evolutive SFP'!#REF!)/'Evolutive SFP'!#REF!</f>
        <v>#REF!</v>
      </c>
      <c r="BB23" s="30" t="e">
        <f>('Evolutive SFP'!#REF!+'Evolutive SFP'!#REF!)/'Evolutive SFP'!#REF!</f>
        <v>#REF!</v>
      </c>
      <c r="BC23" s="30" t="e">
        <f>('Evolutive SFP'!#REF!+'Evolutive SFP'!#REF!)/'Evolutive SFP'!#REF!</f>
        <v>#REF!</v>
      </c>
    </row>
    <row r="24" spans="1:55">
      <c r="A24" s="180" t="s">
        <v>131</v>
      </c>
      <c r="B24" s="24" t="s">
        <v>28</v>
      </c>
      <c r="C24" s="1"/>
      <c r="D24" s="1"/>
      <c r="E24" s="26" t="e">
        <f>(Financials!#REF!-Financials!#REF!)/Financials!#REF!</f>
        <v>#REF!</v>
      </c>
      <c r="F24" s="1"/>
      <c r="G24" s="1"/>
      <c r="H24" s="26" t="e">
        <f>(Financials!#REF!-Financials!#REF!)/Financials!#REF!</f>
        <v>#REF!</v>
      </c>
      <c r="I24" s="26" t="e">
        <f>(Financials!#REF!-Financials!#REF!)/Financials!#REF!</f>
        <v>#REF!</v>
      </c>
      <c r="J24" s="26" t="e">
        <f>(Financials!#REF!-Financials!#REF!)/Financials!#REF!</f>
        <v>#REF!</v>
      </c>
      <c r="K24" s="26" t="e">
        <f>(Financials!#REF!-Financials!#REF!)/Financials!#REF!</f>
        <v>#REF!</v>
      </c>
      <c r="L24" s="26" t="e">
        <f>(Financials!#REF!-Financials!#REF!)/Financials!#REF!</f>
        <v>#REF!</v>
      </c>
      <c r="M24" s="26" t="e">
        <f>(Financials!#REF!-Financials!#REF!)/Financials!#REF!</f>
        <v>#REF!</v>
      </c>
      <c r="N24" s="26" t="e">
        <f>(Financials!#REF!-Financials!#REF!)/Financials!#REF!</f>
        <v>#REF!</v>
      </c>
      <c r="O24" s="26" t="e">
        <f>(Financials!#REF!-Financials!#REF!)/Financials!#REF!</f>
        <v>#REF!</v>
      </c>
      <c r="P24" s="26" t="e">
        <f>(Financials!#REF!-Financials!#REF!)/Financials!#REF!</f>
        <v>#REF!</v>
      </c>
      <c r="Q24" s="26" t="e">
        <f>(Financials!#REF!-Financials!#REF!)/Financials!#REF!</f>
        <v>#REF!</v>
      </c>
      <c r="R24" s="26" t="e">
        <f>(Financials!#REF!-Financials!#REF!)/Financials!#REF!</f>
        <v>#REF!</v>
      </c>
      <c r="S24" s="30" t="e">
        <f>(Financials!#REF!-Financials!#REF!)/Financials!#REF!</f>
        <v>#REF!</v>
      </c>
      <c r="T24" s="30" t="e">
        <f>(Financials!#REF!-Financials!#REF!)/Financials!#REF!</f>
        <v>#REF!</v>
      </c>
      <c r="U24" s="30" t="e">
        <f>(Financials!#REF!-Financials!#REF!)/Financials!#REF!</f>
        <v>#REF!</v>
      </c>
      <c r="V24" s="30" t="e">
        <f>(Financials!#REF!-Financials!#REF!)/Financials!#REF!</f>
        <v>#REF!</v>
      </c>
      <c r="W24" s="30" t="e">
        <f>(Financials!#REF!-Financials!#REF!)/Financials!#REF!</f>
        <v>#REF!</v>
      </c>
      <c r="X24" s="30" t="e">
        <f>(Financials!#REF!-Financials!#REF!)/Financials!#REF!</f>
        <v>#REF!</v>
      </c>
      <c r="Y24" s="30" t="e">
        <f>(Financials!#REF!-Financials!#REF!)/Financials!#REF!</f>
        <v>#REF!</v>
      </c>
      <c r="Z24" s="30" t="e">
        <f>(Financials!#REF!-Financials!#REF!)/Financials!#REF!</f>
        <v>#REF!</v>
      </c>
      <c r="AA24" s="30" t="e">
        <f>(Financials!#REF!-Financials!#REF!)/Financials!#REF!</f>
        <v>#REF!</v>
      </c>
      <c r="AB24" s="30" t="e">
        <f>(Financials!#REF!-Financials!#REF!)/Financials!#REF!</f>
        <v>#REF!</v>
      </c>
      <c r="AC24" s="30" t="e">
        <f>(Financials!#REF!-Financials!#REF!)/Financials!#REF!</f>
        <v>#REF!</v>
      </c>
      <c r="AD24" s="30" t="e">
        <f>(Financials!#REF!-Financials!#REF!)/Financials!#REF!</f>
        <v>#REF!</v>
      </c>
      <c r="AE24" s="30" t="e">
        <f>(Financials!#REF!-Financials!#REF!)/Financials!#REF!</f>
        <v>#REF!</v>
      </c>
      <c r="AF24" s="30" t="e">
        <f>(Financials!#REF!-Financials!#REF!)/Financials!#REF!</f>
        <v>#REF!</v>
      </c>
      <c r="AG24" s="30" t="e">
        <f>(Financials!#REF!-Financials!#REF!)/Financials!#REF!</f>
        <v>#REF!</v>
      </c>
      <c r="AH24" s="30" t="e">
        <f>(Financials!#REF!-Financials!#REF!)/Financials!#REF!</f>
        <v>#REF!</v>
      </c>
      <c r="AI24" s="30" t="e">
        <f>(Financials!#REF!-Financials!#REF!)/Financials!#REF!</f>
        <v>#REF!</v>
      </c>
      <c r="AJ24" s="30" t="e">
        <f>(Financials!#REF!-Financials!#REF!)/Financials!#REF!</f>
        <v>#REF!</v>
      </c>
      <c r="AK24" s="30" t="e">
        <f>(Financials!#REF!-Financials!#REF!)/Financials!#REF!</f>
        <v>#REF!</v>
      </c>
      <c r="AL24" s="30" t="e">
        <f>(Financials!#REF!-Financials!#REF!)/Financials!#REF!</f>
        <v>#REF!</v>
      </c>
      <c r="AM24" s="30" t="e">
        <f>(Financials!#REF!-Financials!#REF!)/Financials!#REF!</f>
        <v>#REF!</v>
      </c>
      <c r="AN24" s="30" t="e">
        <f>(Financials!#REF!-Financials!#REF!)/Financials!#REF!</f>
        <v>#REF!</v>
      </c>
      <c r="AO24" s="30" t="e">
        <f>(Financials!#REF!-Financials!#REF!)/Financials!#REF!</f>
        <v>#REF!</v>
      </c>
      <c r="AP24" s="30" t="e">
        <f>(Financials!#REF!-Financials!#REF!)/Financials!#REF!</f>
        <v>#REF!</v>
      </c>
      <c r="AQ24" s="30" t="e">
        <f>(Financials!#REF!-Financials!#REF!)/Financials!#REF!</f>
        <v>#REF!</v>
      </c>
      <c r="AR24" s="30" t="e">
        <f>(Financials!#REF!-Financials!#REF!)/Financials!#REF!</f>
        <v>#REF!</v>
      </c>
      <c r="AS24" s="30" t="e">
        <f>(Financials!C4-Financials!#REF!)/Financials!#REF!</f>
        <v>#REF!</v>
      </c>
      <c r="AT24" s="30">
        <f>(Financials!D4-Financials!C4)/Financials!C4</f>
        <v>5.4924824007498256E-2</v>
      </c>
      <c r="AU24" s="30">
        <f>(Financials!E4-Financials!D4)/Financials!D4</f>
        <v>9.4525568980511884E-2</v>
      </c>
      <c r="AV24" s="30">
        <f>(Financials!F4-Financials!E4)/Financials!E4</f>
        <v>7.5888935756731501E-2</v>
      </c>
      <c r="AW24" s="30">
        <f>(Financials!G4-Financials!F4)/Financials!F4</f>
        <v>6.5994475954564373E-11</v>
      </c>
      <c r="AX24" s="30">
        <f>(Financials!H4-Financials!G4)/Financials!G4</f>
        <v>6.5994475950209099E-11</v>
      </c>
      <c r="AY24" s="30" t="e">
        <f>(Financials!#REF!-Financials!H4)/Financials!H4</f>
        <v>#REF!</v>
      </c>
      <c r="AZ24" s="30" t="e">
        <f>(Financials!#REF!-Financials!#REF!)/Financials!#REF!</f>
        <v>#REF!</v>
      </c>
      <c r="BA24" s="30" t="e">
        <f>(Financials!#REF!-Financials!#REF!)/Financials!#REF!</f>
        <v>#REF!</v>
      </c>
      <c r="BB24" s="30" t="e">
        <f>(Financials!#REF!-Financials!#REF!)/Financials!#REF!</f>
        <v>#REF!</v>
      </c>
      <c r="BC24" s="30" t="e">
        <f>(Financials!#REF!-Financials!#REF!)/Financials!#REF!</f>
        <v>#REF!</v>
      </c>
    </row>
    <row r="25" spans="1:55">
      <c r="A25" s="180"/>
      <c r="B25" s="24" t="s">
        <v>132</v>
      </c>
      <c r="C25" s="1"/>
      <c r="D25" s="26" t="e">
        <f>Financials!#REF!/Financials!#REF!-1</f>
        <v>#REF!</v>
      </c>
      <c r="E25" s="26" t="e">
        <f>Financials!#REF!/Financials!#REF!-1</f>
        <v>#REF!</v>
      </c>
      <c r="F25" s="26" t="e">
        <f>Financials!#REF!/Financials!#REF!-1</f>
        <v>#REF!</v>
      </c>
      <c r="G25" s="26" t="e">
        <f>Financials!#REF!/Financials!#REF!-1</f>
        <v>#REF!</v>
      </c>
      <c r="H25" s="26" t="e">
        <f>Financials!#REF!/Financials!#REF!-1</f>
        <v>#REF!</v>
      </c>
      <c r="I25" s="26" t="e">
        <f>Financials!#REF!/Financials!#REF!-1</f>
        <v>#REF!</v>
      </c>
      <c r="J25" s="26" t="e">
        <f>Financials!#REF!/Financials!#REF!-1</f>
        <v>#REF!</v>
      </c>
      <c r="K25" s="26" t="e">
        <f>Financials!#REF!/Financials!#REF!-1</f>
        <v>#REF!</v>
      </c>
      <c r="L25" s="26" t="e">
        <f>Financials!#REF!/Financials!#REF!-1</f>
        <v>#REF!</v>
      </c>
      <c r="M25" s="26" t="e">
        <f>Financials!#REF!/Financials!#REF!-1</f>
        <v>#REF!</v>
      </c>
      <c r="N25" s="26" t="e">
        <f>Financials!#REF!/Financials!#REF!-1</f>
        <v>#REF!</v>
      </c>
      <c r="O25" s="26" t="e">
        <f>Financials!#REF!/Financials!#REF!-1</f>
        <v>#REF!</v>
      </c>
      <c r="P25" s="26" t="e">
        <f>Financials!#REF!/Financials!#REF!-1</f>
        <v>#REF!</v>
      </c>
      <c r="Q25" s="26" t="e">
        <f>Financials!#REF!/Financials!#REF!-1</f>
        <v>#REF!</v>
      </c>
      <c r="R25" s="26" t="e">
        <f>Financials!#REF!/Financials!#REF!-1</f>
        <v>#REF!</v>
      </c>
      <c r="S25" s="30" t="e">
        <f>Financials!#REF!/Financials!#REF!-1</f>
        <v>#REF!</v>
      </c>
      <c r="T25" s="30" t="e">
        <f>Financials!#REF!/Financials!#REF!-1</f>
        <v>#REF!</v>
      </c>
      <c r="U25" s="30" t="e">
        <f>Financials!#REF!/Financials!#REF!-1</f>
        <v>#REF!</v>
      </c>
      <c r="V25" s="30" t="e">
        <f>Financials!#REF!/Financials!#REF!-1</f>
        <v>#REF!</v>
      </c>
      <c r="W25" s="30" t="e">
        <f>Financials!#REF!/Financials!#REF!-1</f>
        <v>#REF!</v>
      </c>
      <c r="X25" s="30" t="e">
        <f>Financials!#REF!/Financials!#REF!-1</f>
        <v>#REF!</v>
      </c>
      <c r="Y25" s="30" t="e">
        <f>Financials!#REF!/Financials!#REF!-1</f>
        <v>#REF!</v>
      </c>
      <c r="Z25" s="30" t="e">
        <f>Financials!#REF!/Financials!#REF!-1</f>
        <v>#REF!</v>
      </c>
      <c r="AA25" s="30" t="e">
        <f>Financials!#REF!/Financials!#REF!-1</f>
        <v>#REF!</v>
      </c>
      <c r="AB25" s="30" t="e">
        <f>Financials!#REF!/Financials!#REF!-1</f>
        <v>#REF!</v>
      </c>
      <c r="AC25" s="30" t="e">
        <f>Financials!#REF!/Financials!#REF!-1</f>
        <v>#REF!</v>
      </c>
      <c r="AD25" s="30" t="e">
        <f>Financials!#REF!/Financials!#REF!-1</f>
        <v>#REF!</v>
      </c>
      <c r="AE25" s="30" t="e">
        <f>Financials!#REF!/Financials!#REF!-1</f>
        <v>#REF!</v>
      </c>
      <c r="AF25" s="30" t="e">
        <f>Financials!#REF!/Financials!#REF!-1</f>
        <v>#REF!</v>
      </c>
      <c r="AG25" s="30" t="e">
        <f>Financials!#REF!/Financials!#REF!-1</f>
        <v>#REF!</v>
      </c>
      <c r="AH25" s="30" t="e">
        <f>Financials!#REF!/Financials!#REF!-1</f>
        <v>#REF!</v>
      </c>
      <c r="AI25" s="30" t="e">
        <f>Financials!#REF!/Financials!#REF!-1</f>
        <v>#REF!</v>
      </c>
      <c r="AJ25" s="30" t="e">
        <f>Financials!#REF!/Financials!#REF!-1</f>
        <v>#REF!</v>
      </c>
      <c r="AK25" s="30" t="e">
        <f>Financials!#REF!/Financials!#REF!-1</f>
        <v>#REF!</v>
      </c>
      <c r="AL25" s="30" t="e">
        <f>Financials!#REF!/Financials!#REF!-1</f>
        <v>#REF!</v>
      </c>
      <c r="AM25" s="30" t="e">
        <f>Financials!#REF!/Financials!#REF!-1</f>
        <v>#REF!</v>
      </c>
      <c r="AN25" s="30" t="e">
        <f>Financials!#REF!/Financials!#REF!-1</f>
        <v>#REF!</v>
      </c>
      <c r="AO25" s="30" t="e">
        <f>Financials!#REF!/Financials!#REF!-1</f>
        <v>#REF!</v>
      </c>
      <c r="AP25" s="30" t="e">
        <f>Financials!#REF!/Financials!#REF!-1</f>
        <v>#REF!</v>
      </c>
      <c r="AQ25" s="30" t="e">
        <f>Financials!#REF!/Financials!#REF!-1</f>
        <v>#REF!</v>
      </c>
      <c r="AR25" s="30" t="e">
        <f>Financials!#REF!/Financials!#REF!-1</f>
        <v>#REF!</v>
      </c>
      <c r="AS25" s="30" t="e">
        <f>Financials!#REF!/Financials!C5-1</f>
        <v>#REF!</v>
      </c>
      <c r="AT25" s="30" t="e">
        <f>Financials!#REF!/Financials!D5-1</f>
        <v>#REF!</v>
      </c>
      <c r="AU25" s="30" t="e">
        <f>Financials!#REF!/Financials!E5-1</f>
        <v>#REF!</v>
      </c>
      <c r="AV25" s="30" t="e">
        <f>Financials!#REF!/Financials!F5-1</f>
        <v>#REF!</v>
      </c>
      <c r="AW25" s="30" t="e">
        <f>Financials!#REF!/Financials!G5-1</f>
        <v>#REF!</v>
      </c>
      <c r="AX25" s="30" t="e">
        <f>Financials!#REF!/Financials!H5-1</f>
        <v>#REF!</v>
      </c>
      <c r="AY25" s="30" t="e">
        <f>Financials!#REF!/Financials!#REF!-1</f>
        <v>#REF!</v>
      </c>
      <c r="AZ25" s="30" t="e">
        <f>Financials!#REF!/Financials!#REF!-1</f>
        <v>#REF!</v>
      </c>
      <c r="BA25" s="30" t="e">
        <f>Financials!#REF!/Financials!#REF!-1</f>
        <v>#REF!</v>
      </c>
      <c r="BB25" s="30" t="e">
        <f>Financials!#REF!/Financials!#REF!-1</f>
        <v>#REF!</v>
      </c>
      <c r="BC25" s="30" t="e">
        <f>Financials!#REF!/Financials!#REF!-1</f>
        <v>#REF!</v>
      </c>
    </row>
    <row r="26" spans="1:55">
      <c r="A26" s="180"/>
      <c r="B26" s="25" t="s">
        <v>133</v>
      </c>
      <c r="C26" s="1"/>
      <c r="D26" s="26" t="e">
        <f>Financials!#REF!/Financials!#REF!-1</f>
        <v>#REF!</v>
      </c>
      <c r="E26" s="26" t="e">
        <f>Financials!#REF!/Financials!#REF!-1</f>
        <v>#REF!</v>
      </c>
      <c r="F26" s="26" t="e">
        <f>Financials!#REF!/Financials!#REF!-1</f>
        <v>#REF!</v>
      </c>
      <c r="G26" s="26" t="e">
        <f>Financials!#REF!/Financials!#REF!-1</f>
        <v>#REF!</v>
      </c>
      <c r="H26" s="26" t="e">
        <f>Financials!#REF!/Financials!#REF!-1</f>
        <v>#REF!</v>
      </c>
      <c r="I26" s="26" t="e">
        <f>Financials!#REF!/Financials!#REF!-1</f>
        <v>#REF!</v>
      </c>
      <c r="J26" s="26" t="e">
        <f>Financials!#REF!/Financials!#REF!-1</f>
        <v>#REF!</v>
      </c>
      <c r="K26" s="26" t="e">
        <f>Financials!#REF!/Financials!#REF!-1</f>
        <v>#REF!</v>
      </c>
      <c r="L26" s="26" t="e">
        <f>Financials!#REF!/Financials!#REF!-1</f>
        <v>#REF!</v>
      </c>
      <c r="M26" s="26" t="e">
        <f>Financials!#REF!/Financials!#REF!-1</f>
        <v>#REF!</v>
      </c>
      <c r="N26" s="26" t="e">
        <f>Financials!#REF!/Financials!#REF!-1</f>
        <v>#REF!</v>
      </c>
      <c r="O26" s="26" t="e">
        <f>Financials!#REF!/Financials!#REF!-1</f>
        <v>#REF!</v>
      </c>
      <c r="P26" s="26" t="e">
        <f>Financials!#REF!/Financials!#REF!-1</f>
        <v>#REF!</v>
      </c>
      <c r="Q26" s="26" t="e">
        <f>Financials!#REF!/Financials!#REF!-1</f>
        <v>#REF!</v>
      </c>
      <c r="R26" s="26" t="e">
        <f>Financials!#REF!/Financials!#REF!-1</f>
        <v>#REF!</v>
      </c>
      <c r="S26" s="30" t="e">
        <f>Financials!#REF!/Financials!#REF!-1</f>
        <v>#REF!</v>
      </c>
      <c r="T26" s="30" t="e">
        <f>Financials!#REF!/Financials!#REF!-1</f>
        <v>#REF!</v>
      </c>
      <c r="U26" s="30" t="e">
        <f>Financials!#REF!/Financials!#REF!-1</f>
        <v>#REF!</v>
      </c>
      <c r="V26" s="30" t="e">
        <f>Financials!#REF!/Financials!#REF!-1</f>
        <v>#REF!</v>
      </c>
      <c r="W26" s="30" t="e">
        <f>Financials!#REF!/Financials!#REF!-1</f>
        <v>#REF!</v>
      </c>
      <c r="X26" s="30" t="e">
        <f>Financials!#REF!/Financials!#REF!-1</f>
        <v>#REF!</v>
      </c>
      <c r="Y26" s="30" t="e">
        <f>Financials!#REF!/Financials!#REF!-1</f>
        <v>#REF!</v>
      </c>
      <c r="Z26" s="30" t="e">
        <f>Financials!#REF!/Financials!#REF!-1</f>
        <v>#REF!</v>
      </c>
      <c r="AA26" s="30" t="e">
        <f>Financials!#REF!/Financials!#REF!-1</f>
        <v>#REF!</v>
      </c>
      <c r="AB26" s="30" t="e">
        <f>Financials!#REF!/Financials!#REF!-1</f>
        <v>#REF!</v>
      </c>
      <c r="AC26" s="30" t="e">
        <f>Financials!#REF!/Financials!#REF!-1</f>
        <v>#REF!</v>
      </c>
      <c r="AD26" s="30" t="e">
        <f>Financials!#REF!/Financials!#REF!-1</f>
        <v>#REF!</v>
      </c>
      <c r="AE26" s="30" t="e">
        <f>Financials!#REF!/Financials!#REF!-1</f>
        <v>#REF!</v>
      </c>
      <c r="AF26" s="30" t="e">
        <f>Financials!#REF!/Financials!#REF!-1</f>
        <v>#REF!</v>
      </c>
      <c r="AG26" s="30" t="e">
        <f>Financials!#REF!/Financials!#REF!-1</f>
        <v>#REF!</v>
      </c>
      <c r="AH26" s="30" t="e">
        <f>Financials!#REF!/Financials!#REF!-1</f>
        <v>#REF!</v>
      </c>
      <c r="AI26" s="30" t="e">
        <f>Financials!#REF!/Financials!#REF!-1</f>
        <v>#REF!</v>
      </c>
      <c r="AJ26" s="30" t="e">
        <f>Financials!#REF!/Financials!#REF!-1</f>
        <v>#REF!</v>
      </c>
      <c r="AK26" s="30" t="e">
        <f>Financials!#REF!/Financials!#REF!-1</f>
        <v>#REF!</v>
      </c>
      <c r="AL26" s="30" t="e">
        <f>Financials!#REF!/Financials!#REF!-1</f>
        <v>#REF!</v>
      </c>
      <c r="AM26" s="30" t="e">
        <f>Financials!#REF!/Financials!#REF!-1</f>
        <v>#REF!</v>
      </c>
      <c r="AN26" s="30" t="e">
        <f>Financials!#REF!/Financials!#REF!-1</f>
        <v>#REF!</v>
      </c>
      <c r="AO26" s="30" t="e">
        <f>Financials!#REF!/Financials!#REF!-1</f>
        <v>#REF!</v>
      </c>
      <c r="AP26" s="30" t="e">
        <f>Financials!#REF!/Financials!#REF!-1</f>
        <v>#REF!</v>
      </c>
      <c r="AQ26" s="30" t="e">
        <f>Financials!#REF!/Financials!#REF!-1</f>
        <v>#REF!</v>
      </c>
      <c r="AR26" s="30" t="e">
        <f>Financials!#REF!/Financials!#REF!-1</f>
        <v>#REF!</v>
      </c>
      <c r="AS26" s="30" t="e">
        <f>Financials!#REF!/Financials!C6-1</f>
        <v>#REF!</v>
      </c>
      <c r="AT26" s="30" t="e">
        <f>Financials!#REF!/Financials!D6-1</f>
        <v>#REF!</v>
      </c>
      <c r="AU26" s="30" t="e">
        <f>Financials!#REF!/Financials!E6-1</f>
        <v>#REF!</v>
      </c>
      <c r="AV26" s="30" t="e">
        <f>Financials!#REF!/Financials!F6-1</f>
        <v>#REF!</v>
      </c>
      <c r="AW26" s="30" t="e">
        <f>Financials!#REF!/Financials!G6-1</f>
        <v>#REF!</v>
      </c>
      <c r="AX26" s="30" t="e">
        <f>Financials!#REF!/Financials!H6-1</f>
        <v>#REF!</v>
      </c>
      <c r="AY26" s="30" t="e">
        <f>Financials!#REF!/Financials!#REF!-1</f>
        <v>#REF!</v>
      </c>
      <c r="AZ26" s="30" t="e">
        <f>Financials!#REF!/Financials!#REF!-1</f>
        <v>#REF!</v>
      </c>
      <c r="BA26" s="30" t="e">
        <f>Financials!#REF!/Financials!#REF!-1</f>
        <v>#REF!</v>
      </c>
      <c r="BB26" s="30" t="e">
        <f>Financials!#REF!/Financials!#REF!-1</f>
        <v>#REF!</v>
      </c>
      <c r="BC26" s="30" t="e">
        <f>Financials!#REF!/Financials!#REF!-1</f>
        <v>#REF!</v>
      </c>
    </row>
    <row r="27" spans="1:55">
      <c r="A27" s="180"/>
      <c r="B27" s="25" t="s">
        <v>134</v>
      </c>
      <c r="C27" s="1"/>
      <c r="D27" s="26" t="e">
        <f>Financials!#REF!/Financials!#REF!-1</f>
        <v>#REF!</v>
      </c>
      <c r="E27" s="26" t="e">
        <f>Financials!#REF!/Financials!#REF!-1</f>
        <v>#REF!</v>
      </c>
      <c r="F27" s="26" t="e">
        <f>Financials!#REF!/Financials!#REF!-1</f>
        <v>#REF!</v>
      </c>
      <c r="G27" s="26" t="e">
        <f>Financials!#REF!/Financials!#REF!-1</f>
        <v>#REF!</v>
      </c>
      <c r="H27" s="26" t="e">
        <f>Financials!#REF!/Financials!#REF!-1</f>
        <v>#REF!</v>
      </c>
      <c r="I27" s="26" t="e">
        <f>Financials!#REF!/Financials!#REF!-1</f>
        <v>#REF!</v>
      </c>
      <c r="J27" s="26" t="e">
        <f>Financials!#REF!/Financials!#REF!-1</f>
        <v>#REF!</v>
      </c>
      <c r="K27" s="26" t="e">
        <f>Financials!#REF!/Financials!#REF!-1</f>
        <v>#REF!</v>
      </c>
      <c r="L27" s="26" t="e">
        <f>Financials!#REF!/Financials!#REF!-1</f>
        <v>#REF!</v>
      </c>
      <c r="M27" s="26" t="e">
        <f>Financials!#REF!/Financials!#REF!-1</f>
        <v>#REF!</v>
      </c>
      <c r="N27" s="26" t="e">
        <f>Financials!#REF!/Financials!#REF!-1</f>
        <v>#REF!</v>
      </c>
      <c r="O27" s="26" t="e">
        <f>Financials!#REF!/Financials!#REF!-1</f>
        <v>#REF!</v>
      </c>
      <c r="P27" s="26" t="e">
        <f>Financials!#REF!/Financials!#REF!-1</f>
        <v>#REF!</v>
      </c>
      <c r="Q27" s="26" t="e">
        <f>Financials!#REF!/Financials!#REF!-1</f>
        <v>#REF!</v>
      </c>
      <c r="R27" s="26" t="e">
        <f>Financials!#REF!/Financials!#REF!-1</f>
        <v>#REF!</v>
      </c>
      <c r="S27" s="30" t="e">
        <f>Financials!#REF!/Financials!#REF!-1</f>
        <v>#REF!</v>
      </c>
      <c r="T27" s="30" t="e">
        <f>Financials!#REF!/Financials!#REF!-1</f>
        <v>#REF!</v>
      </c>
      <c r="U27" s="30" t="e">
        <f>Financials!#REF!/Financials!#REF!-1</f>
        <v>#REF!</v>
      </c>
      <c r="V27" s="30" t="e">
        <f>Financials!#REF!/Financials!#REF!-1</f>
        <v>#REF!</v>
      </c>
      <c r="W27" s="30" t="e">
        <f>Financials!#REF!/Financials!#REF!-1</f>
        <v>#REF!</v>
      </c>
      <c r="X27" s="30" t="e">
        <f>Financials!#REF!/Financials!#REF!-1</f>
        <v>#REF!</v>
      </c>
      <c r="Y27" s="30" t="e">
        <f>Financials!#REF!/Financials!#REF!-1</f>
        <v>#REF!</v>
      </c>
      <c r="Z27" s="30" t="e">
        <f>Financials!#REF!/Financials!#REF!-1</f>
        <v>#REF!</v>
      </c>
      <c r="AA27" s="30" t="e">
        <f>Financials!#REF!/Financials!#REF!-1</f>
        <v>#REF!</v>
      </c>
      <c r="AB27" s="30" t="e">
        <f>Financials!#REF!/Financials!#REF!-1</f>
        <v>#REF!</v>
      </c>
      <c r="AC27" s="30" t="e">
        <f>Financials!#REF!/Financials!#REF!-1</f>
        <v>#REF!</v>
      </c>
      <c r="AD27" s="30" t="e">
        <f>Financials!#REF!/Financials!#REF!-1</f>
        <v>#REF!</v>
      </c>
      <c r="AE27" s="30" t="e">
        <f>Financials!#REF!/Financials!#REF!-1</f>
        <v>#REF!</v>
      </c>
      <c r="AF27" s="30" t="e">
        <f>Financials!#REF!/Financials!#REF!-1</f>
        <v>#REF!</v>
      </c>
      <c r="AG27" s="30" t="e">
        <f>Financials!#REF!/Financials!#REF!-1</f>
        <v>#REF!</v>
      </c>
      <c r="AH27" s="30" t="e">
        <f>Financials!#REF!/Financials!#REF!-1</f>
        <v>#REF!</v>
      </c>
      <c r="AI27" s="30" t="e">
        <f>Financials!#REF!/Financials!#REF!-1</f>
        <v>#REF!</v>
      </c>
      <c r="AJ27" s="30" t="e">
        <f>Financials!#REF!/Financials!#REF!-1</f>
        <v>#REF!</v>
      </c>
      <c r="AK27" s="30" t="e">
        <f>Financials!#REF!/Financials!#REF!-1</f>
        <v>#REF!</v>
      </c>
      <c r="AL27" s="30" t="e">
        <f>Financials!#REF!/Financials!#REF!-1</f>
        <v>#REF!</v>
      </c>
      <c r="AM27" s="30" t="e">
        <f>Financials!#REF!/Financials!#REF!-1</f>
        <v>#REF!</v>
      </c>
      <c r="AN27" s="30" t="e">
        <f>Financials!#REF!/Financials!#REF!-1</f>
        <v>#REF!</v>
      </c>
      <c r="AO27" s="30" t="e">
        <f>Financials!#REF!/Financials!#REF!-1</f>
        <v>#REF!</v>
      </c>
      <c r="AP27" s="30" t="e">
        <f>Financials!#REF!/Financials!#REF!-1</f>
        <v>#REF!</v>
      </c>
      <c r="AQ27" s="30" t="e">
        <f>Financials!#REF!/Financials!#REF!-1</f>
        <v>#REF!</v>
      </c>
      <c r="AR27" s="30" t="e">
        <f>Financials!#REF!/Financials!#REF!-1</f>
        <v>#REF!</v>
      </c>
      <c r="AS27" s="30" t="e">
        <f>Financials!#REF!/Financials!C7-1</f>
        <v>#REF!</v>
      </c>
      <c r="AT27" s="30" t="e">
        <f>Financials!#REF!/Financials!D7-1</f>
        <v>#REF!</v>
      </c>
      <c r="AU27" s="30" t="e">
        <f>Financials!#REF!/Financials!E7-1</f>
        <v>#REF!</v>
      </c>
      <c r="AV27" s="30" t="e">
        <f>Financials!#REF!/Financials!F7-1</f>
        <v>#REF!</v>
      </c>
      <c r="AW27" s="30" t="e">
        <f>Financials!#REF!/Financials!G7-1</f>
        <v>#REF!</v>
      </c>
      <c r="AX27" s="30" t="e">
        <f>Financials!#REF!/Financials!H7-1</f>
        <v>#REF!</v>
      </c>
      <c r="AY27" s="30" t="e">
        <f>Financials!#REF!/Financials!#REF!-1</f>
        <v>#REF!</v>
      </c>
      <c r="AZ27" s="30" t="e">
        <f>Financials!#REF!/Financials!#REF!-1</f>
        <v>#REF!</v>
      </c>
      <c r="BA27" s="30" t="e">
        <f>Financials!#REF!/Financials!#REF!-1</f>
        <v>#REF!</v>
      </c>
      <c r="BB27" s="30" t="e">
        <f>Financials!#REF!/Financials!#REF!-1</f>
        <v>#REF!</v>
      </c>
      <c r="BC27" s="30" t="e">
        <f>Financials!#REF!/Financials!#REF!-1</f>
        <v>#REF!</v>
      </c>
    </row>
    <row r="28" spans="1:55">
      <c r="A28" s="180"/>
      <c r="B28" s="24" t="s">
        <v>135</v>
      </c>
      <c r="C28" s="1"/>
      <c r="D28" s="26" t="e">
        <f>Financials!#REF!/Financials!#REF!-1</f>
        <v>#REF!</v>
      </c>
      <c r="E28" s="26" t="e">
        <f>Financials!#REF!/Financials!#REF!-1</f>
        <v>#REF!</v>
      </c>
      <c r="F28" s="26" t="e">
        <f>Financials!#REF!/Financials!#REF!-1</f>
        <v>#REF!</v>
      </c>
      <c r="G28" s="26" t="e">
        <f>Financials!#REF!/Financials!#REF!-1</f>
        <v>#REF!</v>
      </c>
      <c r="H28" s="26" t="e">
        <f>Financials!#REF!/Financials!#REF!-1</f>
        <v>#REF!</v>
      </c>
      <c r="I28" s="26" t="e">
        <f>Financials!#REF!/Financials!#REF!-1</f>
        <v>#REF!</v>
      </c>
      <c r="J28" s="26" t="e">
        <f>Financials!#REF!/Financials!#REF!-1</f>
        <v>#REF!</v>
      </c>
      <c r="K28" s="26" t="e">
        <f>Financials!#REF!/Financials!#REF!-1</f>
        <v>#REF!</v>
      </c>
      <c r="L28" s="26" t="e">
        <f>Financials!#REF!/Financials!#REF!-1</f>
        <v>#REF!</v>
      </c>
      <c r="M28" s="26" t="e">
        <f>Financials!#REF!/Financials!#REF!-1</f>
        <v>#REF!</v>
      </c>
      <c r="N28" s="26" t="e">
        <f>Financials!#REF!/Financials!#REF!-1</f>
        <v>#REF!</v>
      </c>
      <c r="O28" s="26" t="e">
        <f>Financials!#REF!/Financials!#REF!-1</f>
        <v>#REF!</v>
      </c>
      <c r="P28" s="26" t="e">
        <f>Financials!#REF!/Financials!#REF!-1</f>
        <v>#REF!</v>
      </c>
      <c r="Q28" s="26" t="e">
        <f>Financials!#REF!/Financials!#REF!-1</f>
        <v>#REF!</v>
      </c>
      <c r="R28" s="26" t="e">
        <f>Financials!#REF!/Financials!#REF!-1</f>
        <v>#REF!</v>
      </c>
      <c r="S28" s="30" t="e">
        <f>Financials!#REF!/Financials!#REF!-1</f>
        <v>#REF!</v>
      </c>
      <c r="T28" s="30" t="e">
        <f>Financials!#REF!/Financials!#REF!-1</f>
        <v>#REF!</v>
      </c>
      <c r="U28" s="30" t="e">
        <f>Financials!#REF!/Financials!#REF!-1</f>
        <v>#REF!</v>
      </c>
      <c r="V28" s="30" t="e">
        <f>Financials!#REF!/Financials!#REF!-1</f>
        <v>#REF!</v>
      </c>
      <c r="W28" s="30" t="e">
        <f>Financials!#REF!/Financials!#REF!-1</f>
        <v>#REF!</v>
      </c>
      <c r="X28" s="30" t="e">
        <f>Financials!#REF!/Financials!#REF!-1</f>
        <v>#REF!</v>
      </c>
      <c r="Y28" s="30" t="e">
        <f>Financials!#REF!/Financials!#REF!-1</f>
        <v>#REF!</v>
      </c>
      <c r="Z28" s="30" t="e">
        <f>Financials!#REF!/Financials!#REF!-1</f>
        <v>#REF!</v>
      </c>
      <c r="AA28" s="30" t="e">
        <f>Financials!#REF!/Financials!#REF!-1</f>
        <v>#REF!</v>
      </c>
      <c r="AB28" s="30" t="e">
        <f>Financials!#REF!/Financials!#REF!-1</f>
        <v>#REF!</v>
      </c>
      <c r="AC28" s="30" t="e">
        <f>Financials!#REF!/Financials!#REF!-1</f>
        <v>#REF!</v>
      </c>
      <c r="AD28" s="30" t="e">
        <f>Financials!#REF!/Financials!#REF!-1</f>
        <v>#REF!</v>
      </c>
      <c r="AE28" s="30" t="e">
        <f>Financials!#REF!/Financials!#REF!-1</f>
        <v>#REF!</v>
      </c>
      <c r="AF28" s="30" t="e">
        <f>Financials!#REF!/Financials!#REF!-1</f>
        <v>#REF!</v>
      </c>
      <c r="AG28" s="30" t="e">
        <f>Financials!#REF!/Financials!#REF!-1</f>
        <v>#REF!</v>
      </c>
      <c r="AH28" s="30" t="e">
        <f>Financials!#REF!/Financials!#REF!-1</f>
        <v>#REF!</v>
      </c>
      <c r="AI28" s="30" t="e">
        <f>Financials!#REF!/Financials!#REF!-1</f>
        <v>#REF!</v>
      </c>
      <c r="AJ28" s="30" t="e">
        <f>Financials!#REF!/Financials!#REF!-1</f>
        <v>#REF!</v>
      </c>
      <c r="AK28" s="30" t="e">
        <f>Financials!#REF!/Financials!#REF!-1</f>
        <v>#REF!</v>
      </c>
      <c r="AL28" s="30" t="e">
        <f>Financials!#REF!/Financials!#REF!-1</f>
        <v>#REF!</v>
      </c>
      <c r="AM28" s="30" t="e">
        <f>Financials!#REF!/Financials!#REF!-1</f>
        <v>#REF!</v>
      </c>
      <c r="AN28" s="30" t="e">
        <f>Financials!#REF!/Financials!#REF!-1</f>
        <v>#REF!</v>
      </c>
      <c r="AO28" s="30" t="e">
        <f>Financials!#REF!/Financials!#REF!-1</f>
        <v>#REF!</v>
      </c>
      <c r="AP28" s="30" t="e">
        <f>Financials!#REF!/Financials!#REF!-1</f>
        <v>#REF!</v>
      </c>
      <c r="AQ28" s="30" t="e">
        <f>Financials!#REF!/Financials!#REF!-1</f>
        <v>#REF!</v>
      </c>
      <c r="AR28" s="30" t="e">
        <f>Financials!#REF!/Financials!#REF!-1</f>
        <v>#REF!</v>
      </c>
      <c r="AS28" s="30" t="e">
        <f>Financials!#REF!/Financials!C31-1</f>
        <v>#REF!</v>
      </c>
      <c r="AT28" s="30" t="e">
        <f>Financials!#REF!/Financials!D31-1</f>
        <v>#REF!</v>
      </c>
      <c r="AU28" s="30" t="e">
        <f>Financials!#REF!/Financials!E31-1</f>
        <v>#REF!</v>
      </c>
      <c r="AV28" s="30" t="e">
        <f>Financials!#REF!/Financials!F31-1</f>
        <v>#REF!</v>
      </c>
      <c r="AW28" s="30" t="e">
        <f>Financials!#REF!/Financials!G31-1</f>
        <v>#REF!</v>
      </c>
      <c r="AX28" s="30" t="e">
        <f>Financials!#REF!/Financials!H31-1</f>
        <v>#REF!</v>
      </c>
      <c r="AY28" s="30" t="e">
        <f>Financials!#REF!/Financials!#REF!-1</f>
        <v>#REF!</v>
      </c>
      <c r="AZ28" s="30" t="e">
        <f>Financials!#REF!/Financials!#REF!-1</f>
        <v>#REF!</v>
      </c>
      <c r="BA28" s="30" t="e">
        <f>Financials!#REF!/Financials!#REF!-1</f>
        <v>#REF!</v>
      </c>
      <c r="BB28" s="30" t="e">
        <f>Financials!#REF!/Financials!#REF!-1</f>
        <v>#REF!</v>
      </c>
      <c r="BC28" s="30" t="e">
        <f>Financials!#REF!/Financials!#REF!-1</f>
        <v>#REF!</v>
      </c>
    </row>
    <row r="29" spans="1:55">
      <c r="A29" s="180"/>
      <c r="B29" s="24" t="s">
        <v>136</v>
      </c>
      <c r="C29" s="1"/>
      <c r="D29" s="26" t="e">
        <f>Financials!#REF!/Financials!#REF!-1</f>
        <v>#REF!</v>
      </c>
      <c r="E29" s="26" t="e">
        <f>Financials!#REF!/Financials!#REF!-1</f>
        <v>#REF!</v>
      </c>
      <c r="F29" s="26" t="e">
        <f>Financials!#REF!/Financials!#REF!-1</f>
        <v>#REF!</v>
      </c>
      <c r="G29" s="26" t="e">
        <f>Financials!#REF!/Financials!#REF!-1</f>
        <v>#REF!</v>
      </c>
      <c r="H29" s="26" t="e">
        <f>Financials!#REF!/Financials!#REF!-1</f>
        <v>#REF!</v>
      </c>
      <c r="I29" s="26" t="e">
        <f>Financials!#REF!/Financials!#REF!-1</f>
        <v>#REF!</v>
      </c>
      <c r="J29" s="26" t="e">
        <f>Financials!#REF!/Financials!#REF!-1</f>
        <v>#REF!</v>
      </c>
      <c r="K29" s="26" t="e">
        <f>Financials!#REF!/Financials!#REF!-1</f>
        <v>#REF!</v>
      </c>
      <c r="L29" s="26" t="e">
        <f>Financials!#REF!/Financials!#REF!-1</f>
        <v>#REF!</v>
      </c>
      <c r="M29" s="26" t="e">
        <f>Financials!#REF!/Financials!#REF!-1</f>
        <v>#REF!</v>
      </c>
      <c r="N29" s="26" t="e">
        <f>Financials!#REF!/Financials!#REF!-1</f>
        <v>#REF!</v>
      </c>
      <c r="O29" s="26" t="e">
        <f>Financials!#REF!/Financials!#REF!-1</f>
        <v>#REF!</v>
      </c>
      <c r="P29" s="26" t="e">
        <f>Financials!#REF!/Financials!#REF!-1</f>
        <v>#REF!</v>
      </c>
      <c r="Q29" s="26" t="e">
        <f>Financials!#REF!/Financials!#REF!-1</f>
        <v>#REF!</v>
      </c>
      <c r="R29" s="26" t="e">
        <f>Financials!#REF!/Financials!#REF!-1</f>
        <v>#REF!</v>
      </c>
      <c r="S29" s="30" t="e">
        <f>Financials!#REF!/Financials!#REF!-1</f>
        <v>#REF!</v>
      </c>
      <c r="T29" s="30" t="e">
        <f>Financials!#REF!/Financials!#REF!-1</f>
        <v>#REF!</v>
      </c>
      <c r="U29" s="30" t="e">
        <f>Financials!#REF!/Financials!#REF!-1</f>
        <v>#REF!</v>
      </c>
      <c r="V29" s="30" t="e">
        <f>Financials!#REF!/Financials!#REF!-1</f>
        <v>#REF!</v>
      </c>
      <c r="W29" s="30" t="e">
        <f>Financials!#REF!/Financials!#REF!-1</f>
        <v>#REF!</v>
      </c>
      <c r="X29" s="30" t="e">
        <f>Financials!#REF!/Financials!#REF!-1</f>
        <v>#REF!</v>
      </c>
      <c r="Y29" s="30" t="e">
        <f>Financials!#REF!/Financials!#REF!-1</f>
        <v>#REF!</v>
      </c>
      <c r="Z29" s="30" t="e">
        <f>Financials!#REF!/Financials!#REF!-1</f>
        <v>#REF!</v>
      </c>
      <c r="AA29" s="30" t="e">
        <f>Financials!#REF!/Financials!#REF!-1</f>
        <v>#REF!</v>
      </c>
      <c r="AB29" s="30" t="e">
        <f>Financials!#REF!/Financials!#REF!-1</f>
        <v>#REF!</v>
      </c>
      <c r="AC29" s="30" t="e">
        <f>Financials!#REF!/Financials!#REF!-1</f>
        <v>#REF!</v>
      </c>
      <c r="AD29" s="30" t="e">
        <f>Financials!#REF!/Financials!#REF!-1</f>
        <v>#REF!</v>
      </c>
      <c r="AE29" s="30" t="e">
        <f>Financials!#REF!/Financials!#REF!-1</f>
        <v>#REF!</v>
      </c>
      <c r="AF29" s="30" t="e">
        <f>Financials!#REF!/Financials!#REF!-1</f>
        <v>#REF!</v>
      </c>
      <c r="AG29" s="30" t="e">
        <f>Financials!#REF!/Financials!#REF!-1</f>
        <v>#REF!</v>
      </c>
      <c r="AH29" s="30" t="e">
        <f>Financials!#REF!/Financials!#REF!-1</f>
        <v>#REF!</v>
      </c>
      <c r="AI29" s="30" t="e">
        <f>Financials!#REF!/Financials!#REF!-1</f>
        <v>#REF!</v>
      </c>
      <c r="AJ29" s="30" t="e">
        <f>Financials!#REF!/Financials!#REF!-1</f>
        <v>#REF!</v>
      </c>
      <c r="AK29" s="30" t="e">
        <f>Financials!#REF!/Financials!#REF!-1</f>
        <v>#REF!</v>
      </c>
      <c r="AL29" s="30" t="e">
        <f>Financials!#REF!/Financials!#REF!-1</f>
        <v>#REF!</v>
      </c>
      <c r="AM29" s="30" t="e">
        <f>Financials!#REF!/Financials!#REF!-1</f>
        <v>#REF!</v>
      </c>
      <c r="AN29" s="30" t="e">
        <f>Financials!#REF!/Financials!#REF!-1</f>
        <v>#REF!</v>
      </c>
      <c r="AO29" s="30" t="e">
        <f>Financials!#REF!/Financials!#REF!-1</f>
        <v>#REF!</v>
      </c>
      <c r="AP29" s="30" t="e">
        <f>Financials!#REF!/Financials!#REF!-1</f>
        <v>#REF!</v>
      </c>
      <c r="AQ29" s="30" t="e">
        <f>Financials!#REF!/Financials!#REF!-1</f>
        <v>#REF!</v>
      </c>
      <c r="AR29" s="30" t="e">
        <f>Financials!#REF!/Financials!#REF!-1</f>
        <v>#REF!</v>
      </c>
      <c r="AS29" s="30" t="e">
        <f>Financials!#REF!/Financials!C11-1</f>
        <v>#REF!</v>
      </c>
      <c r="AT29" s="30" t="e">
        <f>Financials!#REF!/Financials!D11-1</f>
        <v>#REF!</v>
      </c>
      <c r="AU29" s="30" t="e">
        <f>Financials!#REF!/Financials!E11-1</f>
        <v>#REF!</v>
      </c>
      <c r="AV29" s="30" t="e">
        <f>Financials!#REF!/Financials!F11-1</f>
        <v>#REF!</v>
      </c>
      <c r="AW29" s="30" t="e">
        <f>Financials!#REF!/Financials!G11-1</f>
        <v>#REF!</v>
      </c>
      <c r="AX29" s="30" t="e">
        <f>Financials!#REF!/Financials!H11-1</f>
        <v>#REF!</v>
      </c>
      <c r="AY29" s="30" t="e">
        <f>Financials!#REF!/Financials!#REF!-1</f>
        <v>#REF!</v>
      </c>
      <c r="AZ29" s="30" t="e">
        <f>Financials!#REF!/Financials!#REF!-1</f>
        <v>#REF!</v>
      </c>
      <c r="BA29" s="30" t="e">
        <f>Financials!#REF!/Financials!#REF!-1</f>
        <v>#REF!</v>
      </c>
      <c r="BB29" s="30" t="e">
        <f>Financials!#REF!/Financials!#REF!-1</f>
        <v>#REF!</v>
      </c>
      <c r="BC29" s="30" t="e">
        <f>Financials!#REF!/Financials!#REF!-1</f>
        <v>#REF!</v>
      </c>
    </row>
    <row r="30" spans="1:55">
      <c r="A30" s="180"/>
      <c r="B30" s="24" t="s">
        <v>137</v>
      </c>
      <c r="C30" s="1"/>
      <c r="D30" s="26" t="e">
        <f>Financials!#REF!/Financials!#REF!-1</f>
        <v>#REF!</v>
      </c>
      <c r="E30" s="26" t="e">
        <f>Financials!#REF!/Financials!#REF!-1</f>
        <v>#REF!</v>
      </c>
      <c r="F30" s="26" t="e">
        <f>Financials!#REF!/Financials!#REF!-1</f>
        <v>#REF!</v>
      </c>
      <c r="G30" s="26" t="e">
        <f>Financials!#REF!/Financials!#REF!-1</f>
        <v>#REF!</v>
      </c>
      <c r="H30" s="26" t="e">
        <f>Financials!#REF!/Financials!#REF!-1</f>
        <v>#REF!</v>
      </c>
      <c r="I30" s="26" t="e">
        <f>Financials!#REF!/Financials!#REF!-1</f>
        <v>#REF!</v>
      </c>
      <c r="J30" s="26" t="e">
        <f>Financials!#REF!/Financials!#REF!-1</f>
        <v>#REF!</v>
      </c>
      <c r="K30" s="26" t="e">
        <f>Financials!#REF!/Financials!#REF!-1</f>
        <v>#REF!</v>
      </c>
      <c r="L30" s="26" t="e">
        <f>Financials!#REF!/Financials!#REF!-1</f>
        <v>#REF!</v>
      </c>
      <c r="M30" s="26" t="e">
        <f>Financials!#REF!/Financials!#REF!-1</f>
        <v>#REF!</v>
      </c>
      <c r="N30" s="26" t="e">
        <f>Financials!#REF!/Financials!#REF!-1</f>
        <v>#REF!</v>
      </c>
      <c r="O30" s="26" t="e">
        <f>Financials!#REF!/Financials!#REF!-1</f>
        <v>#REF!</v>
      </c>
      <c r="P30" s="26" t="e">
        <f>Financials!#REF!/Financials!#REF!-1</f>
        <v>#REF!</v>
      </c>
      <c r="Q30" s="26" t="e">
        <f>Financials!#REF!/Financials!#REF!-1</f>
        <v>#REF!</v>
      </c>
      <c r="R30" s="26" t="e">
        <f>Financials!#REF!/Financials!#REF!-1</f>
        <v>#REF!</v>
      </c>
      <c r="S30" s="30" t="e">
        <f>Financials!#REF!/Financials!#REF!-1</f>
        <v>#REF!</v>
      </c>
      <c r="T30" s="30" t="e">
        <f>Financials!#REF!/Financials!#REF!-1</f>
        <v>#REF!</v>
      </c>
      <c r="U30" s="30" t="e">
        <f>Financials!#REF!/Financials!#REF!-1</f>
        <v>#REF!</v>
      </c>
      <c r="V30" s="30" t="e">
        <f>Financials!#REF!/Financials!#REF!-1</f>
        <v>#REF!</v>
      </c>
      <c r="W30" s="30" t="e">
        <f>Financials!#REF!/Financials!#REF!-1</f>
        <v>#REF!</v>
      </c>
      <c r="X30" s="30" t="e">
        <f>Financials!#REF!/Financials!#REF!-1</f>
        <v>#REF!</v>
      </c>
      <c r="Y30" s="30" t="e">
        <f>Financials!#REF!/Financials!#REF!-1</f>
        <v>#REF!</v>
      </c>
      <c r="Z30" s="30" t="e">
        <f>Financials!#REF!/Financials!#REF!-1</f>
        <v>#REF!</v>
      </c>
      <c r="AA30" s="30" t="e">
        <f>Financials!#REF!/Financials!#REF!-1</f>
        <v>#REF!</v>
      </c>
      <c r="AB30" s="30" t="e">
        <f>Financials!#REF!/Financials!#REF!-1</f>
        <v>#REF!</v>
      </c>
      <c r="AC30" s="30" t="e">
        <f>Financials!#REF!/Financials!#REF!-1</f>
        <v>#REF!</v>
      </c>
      <c r="AD30" s="30" t="e">
        <f>Financials!#REF!/Financials!#REF!-1</f>
        <v>#REF!</v>
      </c>
      <c r="AE30" s="30" t="e">
        <f>Financials!#REF!/Financials!#REF!-1</f>
        <v>#REF!</v>
      </c>
      <c r="AF30" s="30" t="e">
        <f>Financials!#REF!/Financials!#REF!-1</f>
        <v>#REF!</v>
      </c>
      <c r="AG30" s="30" t="e">
        <f>Financials!#REF!/Financials!#REF!-1</f>
        <v>#REF!</v>
      </c>
      <c r="AH30" s="30" t="e">
        <f>Financials!#REF!/Financials!#REF!-1</f>
        <v>#REF!</v>
      </c>
      <c r="AI30" s="30" t="e">
        <f>Financials!#REF!/Financials!#REF!-1</f>
        <v>#REF!</v>
      </c>
      <c r="AJ30" s="30" t="e">
        <f>Financials!#REF!/Financials!#REF!-1</f>
        <v>#REF!</v>
      </c>
      <c r="AK30" s="30" t="e">
        <f>Financials!#REF!/Financials!#REF!-1</f>
        <v>#REF!</v>
      </c>
      <c r="AL30" s="30" t="e">
        <f>Financials!#REF!/Financials!#REF!-1</f>
        <v>#REF!</v>
      </c>
      <c r="AM30" s="30" t="e">
        <f>Financials!#REF!/Financials!#REF!-1</f>
        <v>#REF!</v>
      </c>
      <c r="AN30" s="30" t="e">
        <f>Financials!#REF!/Financials!#REF!-1</f>
        <v>#REF!</v>
      </c>
      <c r="AO30" s="30" t="e">
        <f>Financials!#REF!/Financials!#REF!-1</f>
        <v>#REF!</v>
      </c>
      <c r="AP30" s="30" t="e">
        <f>Financials!#REF!/Financials!#REF!-1</f>
        <v>#REF!</v>
      </c>
      <c r="AQ30" s="30" t="e">
        <f>Financials!#REF!/Financials!#REF!-1</f>
        <v>#REF!</v>
      </c>
      <c r="AR30" s="30" t="e">
        <f>Financials!#REF!/Financials!#REF!-1</f>
        <v>#REF!</v>
      </c>
      <c r="AS30" s="30" t="e">
        <f>Financials!#REF!/Financials!C37-1</f>
        <v>#REF!</v>
      </c>
      <c r="AT30" s="30" t="e">
        <f>Financials!#REF!/Financials!D37-1</f>
        <v>#REF!</v>
      </c>
      <c r="AU30" s="30" t="e">
        <f>Financials!#REF!/Financials!E37-1</f>
        <v>#REF!</v>
      </c>
      <c r="AV30" s="30" t="e">
        <f>Financials!#REF!/Financials!F37-1</f>
        <v>#REF!</v>
      </c>
      <c r="AW30" s="30" t="e">
        <f>Financials!#REF!/Financials!G37-1</f>
        <v>#REF!</v>
      </c>
      <c r="AX30" s="30" t="e">
        <f>Financials!#REF!/Financials!H37-1</f>
        <v>#REF!</v>
      </c>
      <c r="AY30" s="30" t="e">
        <f>Financials!#REF!/Financials!#REF!-1</f>
        <v>#REF!</v>
      </c>
      <c r="AZ30" s="30" t="e">
        <f>Financials!#REF!/Financials!#REF!-1</f>
        <v>#REF!</v>
      </c>
      <c r="BA30" s="30" t="e">
        <f>Financials!#REF!/Financials!#REF!-1</f>
        <v>#REF!</v>
      </c>
      <c r="BB30" s="30" t="e">
        <f>Financials!#REF!/Financials!#REF!-1</f>
        <v>#REF!</v>
      </c>
      <c r="BC30" s="30" t="e">
        <f>Financials!#REF!/Financials!#REF!-1</f>
        <v>#REF!</v>
      </c>
    </row>
    <row r="31" spans="1:55">
      <c r="A31" s="180"/>
      <c r="B31" s="24" t="s">
        <v>138</v>
      </c>
      <c r="C31" s="1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>
      <c r="A32" s="180"/>
      <c r="B32" s="24" t="s">
        <v>139</v>
      </c>
      <c r="C32" s="1"/>
      <c r="D32" s="26" t="e">
        <f>'Evolutitve SCI'!#REF!/'Evolutitve SCI'!#REF!-1</f>
        <v>#REF!</v>
      </c>
      <c r="E32" s="26" t="e">
        <f>'Evolutitve SCI'!#REF!/'Evolutitve SCI'!#REF!-1</f>
        <v>#REF!</v>
      </c>
      <c r="F32" s="26" t="e">
        <f>'Evolutitve SCI'!#REF!/'Evolutitve SCI'!#REF!-1</f>
        <v>#REF!</v>
      </c>
      <c r="G32" s="26" t="e">
        <f>'Evolutitve SCI'!#REF!/'Evolutitve SCI'!#REF!-1</f>
        <v>#REF!</v>
      </c>
      <c r="H32" s="26" t="e">
        <f>'Evolutitve SCI'!#REF!/'Evolutitve SCI'!#REF!-1</f>
        <v>#REF!</v>
      </c>
      <c r="I32" s="26" t="e">
        <f>'Evolutitve SCI'!#REF!/'Evolutitve SCI'!#REF!-1</f>
        <v>#REF!</v>
      </c>
      <c r="J32" s="26" t="e">
        <f>'Evolutitve SCI'!#REF!/'Evolutitve SCI'!#REF!-1</f>
        <v>#REF!</v>
      </c>
      <c r="K32" s="26" t="e">
        <f>'Evolutitve SCI'!#REF!/'Evolutitve SCI'!#REF!-1</f>
        <v>#REF!</v>
      </c>
      <c r="L32" s="26" t="e">
        <f>'Evolutitve SCI'!#REF!/'Evolutitve SCI'!#REF!-1</f>
        <v>#REF!</v>
      </c>
      <c r="M32" s="26" t="e">
        <f>'Evolutitve SCI'!#REF!/'Evolutitve SCI'!#REF!-1</f>
        <v>#REF!</v>
      </c>
      <c r="N32" s="26" t="e">
        <f>'Evolutitve SCI'!#REF!/'Evolutitve SCI'!#REF!-1</f>
        <v>#REF!</v>
      </c>
      <c r="O32" s="26" t="e">
        <f>'Evolutitve SCI'!#REF!/'Evolutitve SCI'!#REF!-1</f>
        <v>#REF!</v>
      </c>
      <c r="P32" s="26" t="e">
        <f>'Evolutitve SCI'!#REF!/'Evolutitve SCI'!#REF!-1</f>
        <v>#REF!</v>
      </c>
      <c r="Q32" s="26" t="e">
        <f>'Evolutitve SCI'!#REF!/'Evolutitve SCI'!#REF!-1</f>
        <v>#REF!</v>
      </c>
      <c r="R32" s="26" t="e">
        <f>'Evolutitve SCI'!#REF!/'Evolutitve SCI'!#REF!-1</f>
        <v>#REF!</v>
      </c>
      <c r="S32" s="30" t="e">
        <f>'Evolutitve SCI'!#REF!/'Evolutitve SCI'!#REF!-1</f>
        <v>#REF!</v>
      </c>
      <c r="T32" s="30" t="e">
        <f>'Evolutitve SCI'!#REF!/'Evolutitve SCI'!#REF!-1</f>
        <v>#REF!</v>
      </c>
      <c r="U32" s="30" t="e">
        <f>'Evolutitve SCI'!#REF!/'Evolutitve SCI'!#REF!-1</f>
        <v>#REF!</v>
      </c>
      <c r="V32" s="30" t="e">
        <f>'Evolutitve SCI'!#REF!/'Evolutitve SCI'!#REF!-1</f>
        <v>#REF!</v>
      </c>
      <c r="W32" s="30" t="e">
        <f>'Evolutitve SCI'!#REF!/'Evolutitve SCI'!#REF!-1</f>
        <v>#REF!</v>
      </c>
      <c r="X32" s="30" t="e">
        <f>'Evolutitve SCI'!#REF!/'Evolutitve SCI'!#REF!-1</f>
        <v>#REF!</v>
      </c>
      <c r="Y32" s="30" t="e">
        <f>'Evolutitve SCI'!#REF!/'Evolutitve SCI'!#REF!-1</f>
        <v>#REF!</v>
      </c>
      <c r="Z32" s="30" t="e">
        <f>'Evolutitve SCI'!#REF!/'Evolutitve SCI'!#REF!-1</f>
        <v>#REF!</v>
      </c>
      <c r="AA32" s="30" t="e">
        <f>'Evolutitve SCI'!#REF!/'Evolutitve SCI'!#REF!-1</f>
        <v>#REF!</v>
      </c>
      <c r="AB32" s="30" t="e">
        <f>'Evolutitve SCI'!#REF!/'Evolutitve SCI'!#REF!-1</f>
        <v>#REF!</v>
      </c>
      <c r="AC32" s="30" t="e">
        <f>'Evolutitve SCI'!#REF!/'Evolutitve SCI'!#REF!-1</f>
        <v>#REF!</v>
      </c>
      <c r="AD32" s="30" t="e">
        <f>'Evolutitve SCI'!#REF!/'Evolutitve SCI'!#REF!-1</f>
        <v>#REF!</v>
      </c>
      <c r="AE32" s="30" t="e">
        <f>'Evolutitve SCI'!#REF!/'Evolutitve SCI'!#REF!-1</f>
        <v>#REF!</v>
      </c>
      <c r="AF32" s="30" t="e">
        <f>'Evolutitve SCI'!#REF!/'Evolutitve SCI'!#REF!-1</f>
        <v>#REF!</v>
      </c>
      <c r="AG32" s="30" t="e">
        <f>'Evolutitve SCI'!#REF!/'Evolutitve SCI'!#REF!-1</f>
        <v>#REF!</v>
      </c>
      <c r="AH32" s="30" t="e">
        <f>'Evolutitve SCI'!#REF!/'Evolutitve SCI'!#REF!-1</f>
        <v>#REF!</v>
      </c>
      <c r="AI32" s="30" t="e">
        <f>'Evolutitve SCI'!#REF!/'Evolutitve SCI'!#REF!-1</f>
        <v>#REF!</v>
      </c>
      <c r="AJ32" s="30" t="e">
        <f>'Evolutitve SCI'!#REF!/'Evolutitve SCI'!#REF!-1</f>
        <v>#REF!</v>
      </c>
      <c r="AK32" s="30" t="e">
        <f>'Evolutitve SCI'!#REF!/'Evolutitve SCI'!#REF!-1</f>
        <v>#REF!</v>
      </c>
      <c r="AL32" s="30" t="e">
        <f>'Evolutitve SCI'!#REF!/'Evolutitve SCI'!#REF!-1</f>
        <v>#REF!</v>
      </c>
      <c r="AM32" s="30" t="e">
        <f>'Evolutitve SCI'!#REF!/'Evolutitve SCI'!#REF!-1</f>
        <v>#REF!</v>
      </c>
      <c r="AN32" s="30" t="e">
        <f>'Evolutitve SCI'!#REF!/'Evolutitve SCI'!#REF!-1</f>
        <v>#REF!</v>
      </c>
      <c r="AO32" s="30" t="e">
        <f>'Evolutitve SCI'!#REF!/'Evolutitve SCI'!#REF!-1</f>
        <v>#REF!</v>
      </c>
      <c r="AP32" s="30" t="e">
        <f>'Evolutitve SCI'!#REF!/'Evolutitve SCI'!#REF!-1</f>
        <v>#REF!</v>
      </c>
      <c r="AQ32" s="30" t="e">
        <f>'Evolutitve SCI'!#REF!/'Evolutitve SCI'!#REF!-1</f>
        <v>#REF!</v>
      </c>
      <c r="AR32" s="30" t="e">
        <f>'Evolutitve SCI'!#REF!/'Evolutitve SCI'!#REF!-1</f>
        <v>#REF!</v>
      </c>
      <c r="AS32" s="30" t="e">
        <f>'Evolutitve SCI'!#REF!/'Evolutitve SCI'!#REF!-1</f>
        <v>#REF!</v>
      </c>
      <c r="AT32" s="30" t="e">
        <f>'Evolutitve SCI'!#REF!/'Evolutitve SCI'!#REF!-1</f>
        <v>#REF!</v>
      </c>
      <c r="AU32" s="30" t="e">
        <f>'Evolutitve SCI'!#REF!/'Evolutitve SCI'!#REF!-1</f>
        <v>#REF!</v>
      </c>
      <c r="AV32" s="30" t="e">
        <f>'Evolutitve SCI'!#REF!/'Evolutitve SCI'!#REF!-1</f>
        <v>#REF!</v>
      </c>
      <c r="AW32" s="30" t="e">
        <f>'Evolutitve SCI'!#REF!/'Evolutitve SCI'!#REF!-1</f>
        <v>#REF!</v>
      </c>
      <c r="AX32" s="30" t="e">
        <f>'Evolutitve SCI'!#REF!/'Evolutitve SCI'!#REF!-1</f>
        <v>#REF!</v>
      </c>
      <c r="AY32" s="30" t="e">
        <f>'Evolutitve SCI'!#REF!/'Evolutitve SCI'!#REF!-1</f>
        <v>#REF!</v>
      </c>
      <c r="AZ32" s="30" t="e">
        <f>'Evolutitve SCI'!#REF!/'Evolutitve SCI'!#REF!-1</f>
        <v>#REF!</v>
      </c>
      <c r="BA32" s="30" t="e">
        <f>'Evolutitve SCI'!#REF!/'Evolutitve SCI'!#REF!-1</f>
        <v>#REF!</v>
      </c>
      <c r="BB32" s="30" t="e">
        <f>'Evolutitve SCI'!#REF!/'Evolutitve SCI'!#REF!-1</f>
        <v>#REF!</v>
      </c>
      <c r="BC32" s="30" t="e">
        <f>'Evolutitve SCI'!#REF!/'Evolutitve SCI'!#REF!-1</f>
        <v>#REF!</v>
      </c>
    </row>
    <row r="33" spans="1:55">
      <c r="A33" s="34" t="s">
        <v>140</v>
      </c>
      <c r="B33" s="24" t="s">
        <v>141</v>
      </c>
      <c r="C33" s="1"/>
      <c r="D33" s="26"/>
      <c r="E33" s="26" t="e">
        <f>Financials!#REF!/('Evolutive SFP'!#REF!+'Evolutive SFP'!#REF!)/2</f>
        <v>#REF!</v>
      </c>
      <c r="F33" s="26"/>
      <c r="G33" s="26"/>
      <c r="H33" s="26" t="e">
        <f>Financials!#REF!/('Evolutive SFP'!#REF!+'Evolutive SFP'!#REF!)/2</f>
        <v>#REF!</v>
      </c>
      <c r="I33" s="26" t="e">
        <f>Financials!#REF!/('Evolutive SFP'!#REF!+'Evolutive SFP'!#REF!)/2</f>
        <v>#REF!</v>
      </c>
      <c r="J33" s="26" t="e">
        <f>Financials!#REF!/('Evolutive SFP'!#REF!+'Evolutive SFP'!#REF!)/2</f>
        <v>#REF!</v>
      </c>
      <c r="K33" s="26" t="e">
        <f>Financials!#REF!/('Evolutive SFP'!#REF!+'Evolutive SFP'!#REF!)/2</f>
        <v>#REF!</v>
      </c>
      <c r="L33" s="26" t="e">
        <f>Financials!#REF!/('Evolutive SFP'!#REF!+'Evolutive SFP'!#REF!)/2</f>
        <v>#REF!</v>
      </c>
      <c r="M33" s="26" t="e">
        <f>Financials!#REF!/('Evolutive SFP'!#REF!+'Evolutive SFP'!#REF!)/2</f>
        <v>#REF!</v>
      </c>
      <c r="N33" s="26" t="e">
        <f>Financials!#REF!/('Evolutive SFP'!#REF!+'Evolutive SFP'!#REF!)/2</f>
        <v>#REF!</v>
      </c>
      <c r="O33" s="26" t="e">
        <f>Financials!#REF!/('Evolutive SFP'!#REF!+'Evolutive SFP'!#REF!)/2</f>
        <v>#REF!</v>
      </c>
      <c r="P33" s="26" t="e">
        <f>Financials!#REF!/('Evolutive SFP'!#REF!+'Evolutive SFP'!#REF!)/2</f>
        <v>#REF!</v>
      </c>
      <c r="Q33" s="26" t="e">
        <f>Financials!#REF!/('Evolutive SFP'!#REF!+'Evolutive SFP'!#REF!)/2</f>
        <v>#REF!</v>
      </c>
      <c r="R33" s="26" t="e">
        <f>Financials!#REF!/('Evolutive SFP'!#REF!+'Evolutive SFP'!#REF!)/2</f>
        <v>#REF!</v>
      </c>
      <c r="S33" s="30" t="e">
        <f>Financials!#REF!/('Evolutive SFP'!#REF!+'Evolutive SFP'!#REF!)/2</f>
        <v>#REF!</v>
      </c>
      <c r="T33" s="30" t="e">
        <f>Financials!#REF!/('Evolutive SFP'!#REF!+'Evolutive SFP'!#REF!)/2</f>
        <v>#REF!</v>
      </c>
      <c r="U33" s="30" t="e">
        <f>Financials!#REF!/('Evolutive SFP'!#REF!+'Evolutive SFP'!#REF!)/2</f>
        <v>#REF!</v>
      </c>
      <c r="V33" s="30" t="e">
        <f>Financials!#REF!/('Evolutive SFP'!#REF!+'Evolutive SFP'!#REF!)/2</f>
        <v>#REF!</v>
      </c>
      <c r="W33" s="30" t="e">
        <f>Financials!#REF!/('Evolutive SFP'!#REF!+'Evolutive SFP'!#REF!)/2</f>
        <v>#REF!</v>
      </c>
      <c r="X33" s="30" t="e">
        <f>Financials!#REF!/('Evolutive SFP'!#REF!+'Evolutive SFP'!#REF!)/2</f>
        <v>#REF!</v>
      </c>
      <c r="Y33" s="30" t="e">
        <f>Financials!#REF!/('Evolutive SFP'!#REF!+'Evolutive SFP'!#REF!)/2</f>
        <v>#REF!</v>
      </c>
      <c r="Z33" s="30" t="e">
        <f>Financials!#REF!/('Evolutive SFP'!#REF!+'Evolutive SFP'!#REF!)/2</f>
        <v>#REF!</v>
      </c>
      <c r="AA33" s="30" t="e">
        <f>Financials!#REF!/('Evolutive SFP'!#REF!+'Evolutive SFP'!#REF!)/2</f>
        <v>#REF!</v>
      </c>
      <c r="AB33" s="30" t="e">
        <f>Financials!#REF!/('Evolutive SFP'!#REF!+'Evolutive SFP'!#REF!)/2</f>
        <v>#REF!</v>
      </c>
      <c r="AC33" s="30" t="e">
        <f>Financials!#REF!/('Evolutive SFP'!#REF!+'Evolutive SFP'!#REF!)/2</f>
        <v>#REF!</v>
      </c>
      <c r="AD33" s="30" t="e">
        <f>Financials!#REF!/('Evolutive SFP'!#REF!+'Evolutive SFP'!#REF!)/2</f>
        <v>#REF!</v>
      </c>
      <c r="AE33" s="30" t="e">
        <f>Financials!#REF!/('Evolutive SFP'!#REF!+'Evolutive SFP'!#REF!)/2</f>
        <v>#REF!</v>
      </c>
      <c r="AF33" s="30" t="e">
        <f>Financials!#REF!/('Evolutive SFP'!#REF!+'Evolutive SFP'!#REF!)/2</f>
        <v>#REF!</v>
      </c>
      <c r="AG33" s="30" t="e">
        <f>Financials!#REF!/('Evolutive SFP'!#REF!+'Evolutive SFP'!#REF!)/2</f>
        <v>#REF!</v>
      </c>
      <c r="AH33" s="30" t="e">
        <f>Financials!#REF!/('Evolutive SFP'!#REF!+'Evolutive SFP'!#REF!)/2</f>
        <v>#REF!</v>
      </c>
      <c r="AI33" s="30" t="e">
        <f>Financials!#REF!/('Evolutive SFP'!#REF!+'Evolutive SFP'!#REF!)/2</f>
        <v>#REF!</v>
      </c>
      <c r="AJ33" s="30" t="e">
        <f>Financials!#REF!/('Evolutive SFP'!#REF!+'Evolutive SFP'!#REF!)/2</f>
        <v>#REF!</v>
      </c>
      <c r="AK33" s="30" t="e">
        <f>Financials!#REF!/('Evolutive SFP'!#REF!+'Evolutive SFP'!#REF!)/2</f>
        <v>#REF!</v>
      </c>
      <c r="AL33" s="30" t="e">
        <f>Financials!#REF!/('Evolutive SFP'!#REF!+'Evolutive SFP'!#REF!)/2</f>
        <v>#REF!</v>
      </c>
      <c r="AM33" s="30" t="e">
        <f>Financials!#REF!/('Evolutive SFP'!#REF!+'Evolutive SFP'!#REF!)/2</f>
        <v>#REF!</v>
      </c>
      <c r="AN33" s="30" t="e">
        <f>Financials!#REF!/('Evolutive SFP'!#REF!+'Evolutive SFP'!#REF!)/2</f>
        <v>#REF!</v>
      </c>
      <c r="AO33" s="30" t="e">
        <f>Financials!#REF!/('Evolutive SFP'!#REF!+'Evolutive SFP'!#REF!)/2</f>
        <v>#REF!</v>
      </c>
      <c r="AP33" s="30" t="e">
        <f>Financials!#REF!/('Evolutive SFP'!#REF!+'Evolutive SFP'!#REF!)/2</f>
        <v>#REF!</v>
      </c>
      <c r="AQ33" s="30" t="e">
        <f>Financials!#REF!/('Evolutive SFP'!#REF!+'Evolutive SFP'!#REF!)/2</f>
        <v>#REF!</v>
      </c>
      <c r="AR33" s="30" t="e">
        <f>Financials!#REF!/('Evolutive SFP'!#REF!+'Evolutive SFP'!#REF!)/2</f>
        <v>#REF!</v>
      </c>
      <c r="AS33" s="30" t="e">
        <f>Financials!C44/('Evolutive SFP'!#REF!+'Evolutive SFP'!#REF!)/2</f>
        <v>#REF!</v>
      </c>
      <c r="AT33" s="30" t="e">
        <f>Financials!D44/('Evolutive SFP'!#REF!+'Evolutive SFP'!C30)/2</f>
        <v>#REF!</v>
      </c>
      <c r="AU33" s="30" t="e">
        <f>Financials!E44/('Evolutive SFP'!C30+'Evolutive SFP'!#REF!)/2</f>
        <v>#REF!</v>
      </c>
      <c r="AV33" s="30" t="e">
        <f>Financials!F44/('Evolutive SFP'!#REF!+'Evolutive SFP'!#REF!)/2</f>
        <v>#REF!</v>
      </c>
      <c r="AW33" s="30" t="e">
        <f>Financials!G44/('Evolutive SFP'!#REF!+'Evolutive SFP'!#REF!)/2</f>
        <v>#REF!</v>
      </c>
      <c r="AX33" s="30" t="e">
        <f>Financials!H44/('Evolutive SFP'!#REF!+'Evolutive SFP'!#REF!)/2</f>
        <v>#REF!</v>
      </c>
      <c r="AY33" s="30" t="e">
        <f>Financials!#REF!/('Evolutive SFP'!#REF!+'Evolutive SFP'!#REF!)/2</f>
        <v>#REF!</v>
      </c>
      <c r="AZ33" s="30" t="e">
        <f>Financials!#REF!/('Evolutive SFP'!#REF!+'Evolutive SFP'!#REF!)/2</f>
        <v>#REF!</v>
      </c>
      <c r="BA33" s="30" t="e">
        <f>Financials!#REF!/('Evolutive SFP'!#REF!+'Evolutive SFP'!#REF!)/2</f>
        <v>#REF!</v>
      </c>
      <c r="BB33" s="30" t="e">
        <f>Financials!#REF!/('Evolutive SFP'!#REF!+'Evolutive SFP'!#REF!)/2</f>
        <v>#REF!</v>
      </c>
      <c r="BC33" s="30" t="e">
        <f>Financials!#REF!/('Evolutive SFP'!#REF!+'Evolutive SFP'!#REF!)/2</f>
        <v>#REF!</v>
      </c>
    </row>
    <row r="34" spans="1:55">
      <c r="A34" s="35"/>
      <c r="B34" s="24" t="s">
        <v>142</v>
      </c>
      <c r="C34" s="1"/>
      <c r="D34" s="26"/>
      <c r="E34" s="26" t="e">
        <f>Financials!#REF!/('Evolutive SFP'!#REF!+'Evolutive SFP'!#REF!)/2</f>
        <v>#REF!</v>
      </c>
      <c r="F34" s="26"/>
      <c r="G34" s="26"/>
      <c r="H34" s="26" t="e">
        <f>Financials!#REF!/('Evolutive SFP'!#REF!+'Evolutive SFP'!#REF!)/2</f>
        <v>#REF!</v>
      </c>
      <c r="I34" s="26" t="e">
        <f>Financials!#REF!/('Evolutive SFP'!#REF!+'Evolutive SFP'!#REF!)/2</f>
        <v>#REF!</v>
      </c>
      <c r="J34" s="26" t="e">
        <f>Financials!#REF!/('Evolutive SFP'!#REF!+'Evolutive SFP'!#REF!)/2</f>
        <v>#REF!</v>
      </c>
      <c r="K34" s="26" t="e">
        <f>Financials!#REF!/('Evolutive SFP'!#REF!+'Evolutive SFP'!#REF!)/2</f>
        <v>#REF!</v>
      </c>
      <c r="L34" s="26" t="e">
        <f>Financials!#REF!/('Evolutive SFP'!#REF!+'Evolutive SFP'!#REF!)/2</f>
        <v>#REF!</v>
      </c>
      <c r="M34" s="26" t="e">
        <f>Financials!#REF!/('Evolutive SFP'!#REF!+'Evolutive SFP'!#REF!)/2</f>
        <v>#REF!</v>
      </c>
      <c r="N34" s="26" t="e">
        <f>Financials!#REF!/('Evolutive SFP'!#REF!+'Evolutive SFP'!#REF!)/2</f>
        <v>#REF!</v>
      </c>
      <c r="O34" s="26" t="e">
        <f>Financials!#REF!/('Evolutive SFP'!#REF!+'Evolutive SFP'!#REF!)/2</f>
        <v>#REF!</v>
      </c>
      <c r="P34" s="26" t="e">
        <f>Financials!#REF!/('Evolutive SFP'!#REF!+'Evolutive SFP'!#REF!)/2</f>
        <v>#REF!</v>
      </c>
      <c r="Q34" s="26" t="e">
        <f>Financials!#REF!/('Evolutive SFP'!#REF!+'Evolutive SFP'!#REF!)/2</f>
        <v>#REF!</v>
      </c>
      <c r="R34" s="26" t="e">
        <f>Financials!#REF!/('Evolutive SFP'!#REF!+'Evolutive SFP'!#REF!)/2</f>
        <v>#REF!</v>
      </c>
      <c r="S34" s="30" t="e">
        <f>Financials!#REF!/('Evolutive SFP'!#REF!+'Evolutive SFP'!#REF!)/2</f>
        <v>#REF!</v>
      </c>
      <c r="T34" s="30" t="e">
        <f>Financials!#REF!/('Evolutive SFP'!#REF!+'Evolutive SFP'!#REF!)/2</f>
        <v>#REF!</v>
      </c>
      <c r="U34" s="30" t="e">
        <f>Financials!#REF!/('Evolutive SFP'!#REF!+'Evolutive SFP'!#REF!)/2</f>
        <v>#REF!</v>
      </c>
      <c r="V34" s="30" t="e">
        <f>Financials!#REF!/('Evolutive SFP'!#REF!+'Evolutive SFP'!#REF!)/2</f>
        <v>#REF!</v>
      </c>
      <c r="W34" s="30" t="e">
        <f>Financials!#REF!/('Evolutive SFP'!#REF!+'Evolutive SFP'!#REF!)/2</f>
        <v>#REF!</v>
      </c>
      <c r="X34" s="30" t="e">
        <f>Financials!#REF!/('Evolutive SFP'!#REF!+'Evolutive SFP'!#REF!)/2</f>
        <v>#REF!</v>
      </c>
      <c r="Y34" s="30" t="e">
        <f>Financials!#REF!/('Evolutive SFP'!#REF!+'Evolutive SFP'!#REF!)/2</f>
        <v>#REF!</v>
      </c>
      <c r="Z34" s="30" t="e">
        <f>Financials!#REF!/('Evolutive SFP'!#REF!+'Evolutive SFP'!#REF!)/2</f>
        <v>#REF!</v>
      </c>
      <c r="AA34" s="30" t="e">
        <f>Financials!#REF!/('Evolutive SFP'!#REF!+'Evolutive SFP'!#REF!)/2</f>
        <v>#REF!</v>
      </c>
      <c r="AB34" s="30" t="e">
        <f>Financials!#REF!/('Evolutive SFP'!#REF!+'Evolutive SFP'!#REF!)/2</f>
        <v>#REF!</v>
      </c>
      <c r="AC34" s="30" t="e">
        <f>Financials!#REF!/('Evolutive SFP'!#REF!+'Evolutive SFP'!#REF!)/2</f>
        <v>#REF!</v>
      </c>
      <c r="AD34" s="30" t="e">
        <f>Financials!#REF!/('Evolutive SFP'!#REF!+'Evolutive SFP'!#REF!)/2</f>
        <v>#REF!</v>
      </c>
      <c r="AE34" s="30" t="e">
        <f>Financials!#REF!/('Evolutive SFP'!#REF!+'Evolutive SFP'!#REF!)/2</f>
        <v>#REF!</v>
      </c>
      <c r="AF34" s="30" t="e">
        <f>Financials!#REF!/('Evolutive SFP'!#REF!+'Evolutive SFP'!#REF!)/2</f>
        <v>#REF!</v>
      </c>
      <c r="AG34" s="30" t="e">
        <f>Financials!#REF!/('Evolutive SFP'!#REF!+'Evolutive SFP'!#REF!)/2</f>
        <v>#REF!</v>
      </c>
      <c r="AH34" s="30" t="e">
        <f>Financials!#REF!/('Evolutive SFP'!#REF!+'Evolutive SFP'!#REF!)/2</f>
        <v>#REF!</v>
      </c>
      <c r="AI34" s="30" t="e">
        <f>Financials!#REF!/('Evolutive SFP'!#REF!+'Evolutive SFP'!#REF!)/2</f>
        <v>#REF!</v>
      </c>
      <c r="AJ34" s="30" t="e">
        <f>Financials!#REF!/('Evolutive SFP'!#REF!+'Evolutive SFP'!#REF!)/2</f>
        <v>#REF!</v>
      </c>
      <c r="AK34" s="30" t="e">
        <f>Financials!#REF!/('Evolutive SFP'!#REF!+'Evolutive SFP'!#REF!)/2</f>
        <v>#REF!</v>
      </c>
      <c r="AL34" s="30" t="e">
        <f>Financials!#REF!/('Evolutive SFP'!#REF!+'Evolutive SFP'!#REF!)/2</f>
        <v>#REF!</v>
      </c>
      <c r="AM34" s="30" t="e">
        <f>Financials!#REF!/('Evolutive SFP'!#REF!+'Evolutive SFP'!#REF!)/2</f>
        <v>#REF!</v>
      </c>
      <c r="AN34" s="30" t="e">
        <f>Financials!#REF!/('Evolutive SFP'!#REF!+'Evolutive SFP'!#REF!)/2</f>
        <v>#REF!</v>
      </c>
      <c r="AO34" s="30" t="e">
        <f>Financials!#REF!/('Evolutive SFP'!#REF!+'Evolutive SFP'!#REF!)/2</f>
        <v>#REF!</v>
      </c>
      <c r="AP34" s="30" t="e">
        <f>Financials!#REF!/('Evolutive SFP'!#REF!+'Evolutive SFP'!#REF!)/2</f>
        <v>#REF!</v>
      </c>
      <c r="AQ34" s="30" t="e">
        <f>Financials!#REF!/('Evolutive SFP'!#REF!+'Evolutive SFP'!#REF!)/2</f>
        <v>#REF!</v>
      </c>
      <c r="AR34" s="30" t="e">
        <f>Financials!#REF!/('Evolutive SFP'!#REF!+'Evolutive SFP'!#REF!)/2</f>
        <v>#REF!</v>
      </c>
      <c r="AS34" s="30" t="e">
        <f>Financials!C45/('Evolutive SFP'!#REF!+'Evolutive SFP'!#REF!)/2</f>
        <v>#REF!</v>
      </c>
      <c r="AT34" s="30" t="e">
        <f>Financials!D45/('Evolutive SFP'!#REF!+'Evolutive SFP'!C39)/2</f>
        <v>#REF!</v>
      </c>
      <c r="AU34" s="30" t="e">
        <f>Financials!E45/('Evolutive SFP'!C39+'Evolutive SFP'!#REF!)/2</f>
        <v>#REF!</v>
      </c>
      <c r="AV34" s="30" t="e">
        <f>Financials!F45/('Evolutive SFP'!#REF!+'Evolutive SFP'!#REF!)/2</f>
        <v>#REF!</v>
      </c>
      <c r="AW34" s="30" t="e">
        <f>Financials!G45/('Evolutive SFP'!#REF!+'Evolutive SFP'!#REF!)/2</f>
        <v>#REF!</v>
      </c>
      <c r="AX34" s="30" t="e">
        <f>Financials!H45/('Evolutive SFP'!#REF!+'Evolutive SFP'!#REF!)/2</f>
        <v>#REF!</v>
      </c>
      <c r="AY34" s="30" t="e">
        <f>Financials!#REF!/('Evolutive SFP'!#REF!+'Evolutive SFP'!#REF!)/2</f>
        <v>#REF!</v>
      </c>
      <c r="AZ34" s="30" t="e">
        <f>Financials!#REF!/('Evolutive SFP'!#REF!+'Evolutive SFP'!#REF!)/2</f>
        <v>#REF!</v>
      </c>
      <c r="BA34" s="30" t="e">
        <f>Financials!#REF!/('Evolutive SFP'!#REF!+'Evolutive SFP'!#REF!)/2</f>
        <v>#REF!</v>
      </c>
      <c r="BB34" s="30" t="e">
        <f>Financials!#REF!/('Evolutive SFP'!#REF!+'Evolutive SFP'!#REF!)/2</f>
        <v>#REF!</v>
      </c>
      <c r="BC34" s="30" t="e">
        <f>Financials!#REF!/('Evolutive SFP'!#REF!+'Evolutive SFP'!#REF!)/2</f>
        <v>#REF!</v>
      </c>
    </row>
    <row r="35" spans="1:55">
      <c r="A35" s="35"/>
      <c r="B35" s="24" t="s">
        <v>143</v>
      </c>
      <c r="C35" s="1"/>
      <c r="D35" s="26"/>
      <c r="E35" s="26" t="e">
        <f>Financials!#REF!/(Financials!#REF!+Financials!#REF!)/2</f>
        <v>#REF!</v>
      </c>
      <c r="F35" s="26"/>
      <c r="G35" s="26"/>
      <c r="H35" s="26" t="e">
        <f>Financials!#REF!/(Financials!#REF!+Financials!#REF!)/2</f>
        <v>#REF!</v>
      </c>
      <c r="I35" s="26" t="e">
        <f>Financials!#REF!/(Financials!#REF!+Financials!#REF!)/2</f>
        <v>#REF!</v>
      </c>
      <c r="J35" s="26" t="e">
        <f>Financials!#REF!/(Financials!#REF!+Financials!#REF!)/2</f>
        <v>#REF!</v>
      </c>
      <c r="K35" s="26" t="e">
        <f>Financials!#REF!/(Financials!#REF!+Financials!#REF!)/2</f>
        <v>#REF!</v>
      </c>
      <c r="L35" s="26" t="e">
        <f>Financials!#REF!/(Financials!#REF!+Financials!#REF!)/2</f>
        <v>#REF!</v>
      </c>
      <c r="M35" s="26" t="e">
        <f>Financials!#REF!/(Financials!#REF!+Financials!#REF!)/2</f>
        <v>#REF!</v>
      </c>
      <c r="N35" s="26" t="e">
        <f>Financials!#REF!/(Financials!#REF!+Financials!#REF!)/2</f>
        <v>#REF!</v>
      </c>
      <c r="O35" s="26" t="e">
        <f>Financials!#REF!/(Financials!#REF!+Financials!#REF!)/2</f>
        <v>#REF!</v>
      </c>
      <c r="P35" s="26" t="e">
        <f>Financials!#REF!/(Financials!#REF!+Financials!#REF!)/2</f>
        <v>#REF!</v>
      </c>
      <c r="Q35" s="26" t="e">
        <f>Financials!#REF!/(Financials!#REF!+Financials!#REF!)/2</f>
        <v>#REF!</v>
      </c>
      <c r="R35" s="26" t="e">
        <f>Financials!#REF!/(Financials!#REF!+Financials!#REF!)/2</f>
        <v>#REF!</v>
      </c>
      <c r="S35" s="30" t="e">
        <f>Financials!#REF!/(Financials!#REF!+Financials!#REF!)/2</f>
        <v>#REF!</v>
      </c>
      <c r="T35" s="30" t="e">
        <f>Financials!#REF!/(Financials!#REF!+Financials!#REF!)/2</f>
        <v>#REF!</v>
      </c>
      <c r="U35" s="30" t="e">
        <f>Financials!#REF!/(Financials!#REF!+Financials!#REF!)/2</f>
        <v>#REF!</v>
      </c>
      <c r="V35" s="30" t="e">
        <f>Financials!#REF!/(Financials!#REF!+Financials!#REF!)/2</f>
        <v>#REF!</v>
      </c>
      <c r="W35" s="30" t="e">
        <f>Financials!#REF!/(Financials!#REF!+Financials!#REF!)/2</f>
        <v>#REF!</v>
      </c>
      <c r="X35" s="30" t="e">
        <f>Financials!#REF!/(Financials!#REF!+Financials!#REF!)/2</f>
        <v>#REF!</v>
      </c>
      <c r="Y35" s="30" t="e">
        <f>Financials!#REF!/(Financials!#REF!+Financials!#REF!)/2</f>
        <v>#REF!</v>
      </c>
      <c r="Z35" s="30" t="e">
        <f>Financials!#REF!/(Financials!#REF!+Financials!#REF!)/2</f>
        <v>#REF!</v>
      </c>
      <c r="AA35" s="30" t="e">
        <f>Financials!#REF!/(Financials!#REF!+Financials!#REF!)/2</f>
        <v>#REF!</v>
      </c>
      <c r="AB35" s="30" t="e">
        <f>Financials!#REF!/(Financials!#REF!+Financials!#REF!)/2</f>
        <v>#REF!</v>
      </c>
      <c r="AC35" s="30" t="e">
        <f>Financials!#REF!/(Financials!#REF!+Financials!#REF!)/2</f>
        <v>#REF!</v>
      </c>
      <c r="AD35" s="30" t="e">
        <f>Financials!#REF!/(Financials!#REF!+Financials!#REF!)/2</f>
        <v>#REF!</v>
      </c>
      <c r="AE35" s="30" t="e">
        <f>Financials!#REF!/(Financials!#REF!+Financials!#REF!)/2</f>
        <v>#REF!</v>
      </c>
      <c r="AF35" s="30" t="e">
        <f>Financials!#REF!/(Financials!#REF!+Financials!#REF!)/2</f>
        <v>#REF!</v>
      </c>
      <c r="AG35" s="30" t="e">
        <f>Financials!#REF!/(Financials!#REF!+Financials!#REF!)/2</f>
        <v>#REF!</v>
      </c>
      <c r="AH35" s="30" t="e">
        <f>Financials!#REF!/(Financials!#REF!+Financials!#REF!)/2</f>
        <v>#REF!</v>
      </c>
      <c r="AI35" s="30" t="e">
        <f>Financials!#REF!/(Financials!#REF!+Financials!#REF!)/2</f>
        <v>#REF!</v>
      </c>
      <c r="AJ35" s="30" t="e">
        <f>Financials!#REF!/(Financials!#REF!+Financials!#REF!)/2</f>
        <v>#REF!</v>
      </c>
      <c r="AK35" s="30" t="e">
        <f>Financials!#REF!/(Financials!#REF!+Financials!#REF!)/2</f>
        <v>#REF!</v>
      </c>
      <c r="AL35" s="30" t="e">
        <f>Financials!#REF!/(Financials!#REF!+Financials!#REF!)/2</f>
        <v>#REF!</v>
      </c>
      <c r="AM35" s="30" t="e">
        <f>Financials!#REF!/(Financials!#REF!+Financials!#REF!)/2</f>
        <v>#REF!</v>
      </c>
      <c r="AN35" s="30" t="e">
        <f>Financials!#REF!/(Financials!#REF!+Financials!#REF!)/2</f>
        <v>#REF!</v>
      </c>
      <c r="AO35" s="30" t="e">
        <f>Financials!#REF!/(Financials!#REF!+Financials!#REF!)/2</f>
        <v>#REF!</v>
      </c>
      <c r="AP35" s="30" t="e">
        <f>Financials!#REF!/(Financials!#REF!+Financials!#REF!)/2</f>
        <v>#REF!</v>
      </c>
      <c r="AQ35" s="30" t="e">
        <f>Financials!#REF!/(Financials!#REF!+Financials!#REF!)/2</f>
        <v>#REF!</v>
      </c>
      <c r="AR35" s="30" t="e">
        <f>Financials!#REF!/(Financials!#REF!+Financials!#REF!)/2</f>
        <v>#REF!</v>
      </c>
      <c r="AS35" s="30" t="e">
        <f>Financials!C46/(Financials!#REF!+Financials!C31)/2</f>
        <v>#REF!</v>
      </c>
      <c r="AT35" s="30">
        <f>Financials!D46/(Financials!C31+Financials!D31)/2</f>
        <v>0</v>
      </c>
      <c r="AU35" s="30">
        <f>Financials!E46/(Financials!D31+Financials!E31)/2</f>
        <v>0</v>
      </c>
      <c r="AV35" s="30">
        <f>Financials!F46/(Financials!E31+Financials!F31)/2</f>
        <v>0</v>
      </c>
      <c r="AW35" s="30">
        <f>Financials!G46/(Financials!F31+Financials!G31)/2</f>
        <v>0</v>
      </c>
      <c r="AX35" s="30">
        <f>Financials!H46/(Financials!G31+Financials!H31)/2</f>
        <v>0</v>
      </c>
      <c r="AY35" s="30" t="e">
        <f>Financials!#REF!/(Financials!H31+Financials!#REF!)/2</f>
        <v>#REF!</v>
      </c>
      <c r="AZ35" s="30" t="e">
        <f>Financials!#REF!/(Financials!#REF!+Financials!#REF!)/2</f>
        <v>#REF!</v>
      </c>
      <c r="BA35" s="30" t="e">
        <f>Financials!#REF!/(Financials!#REF!+Financials!#REF!)/2</f>
        <v>#REF!</v>
      </c>
      <c r="BB35" s="30" t="e">
        <f>Financials!#REF!/(Financials!#REF!+Financials!#REF!)/2</f>
        <v>#REF!</v>
      </c>
      <c r="BC35" s="30" t="e">
        <f>Financials!#REF!/(Financials!#REF!+Financials!#REF!)/2</f>
        <v>#REF!</v>
      </c>
    </row>
    <row r="36" spans="1:55">
      <c r="A36" s="35"/>
      <c r="B36" s="24" t="s">
        <v>144</v>
      </c>
      <c r="C36" s="1"/>
      <c r="D36" s="26"/>
      <c r="E36" s="26" t="e">
        <f>Financials!#REF!/(Financials!#REF!+Financials!#REF!)/2</f>
        <v>#REF!</v>
      </c>
      <c r="F36" s="26"/>
      <c r="G36" s="26"/>
      <c r="H36" s="26" t="e">
        <f>Financials!#REF!/(Financials!#REF!+Financials!#REF!)/2</f>
        <v>#REF!</v>
      </c>
      <c r="I36" s="26" t="e">
        <f>Financials!#REF!/(Financials!#REF!+Financials!#REF!)/2</f>
        <v>#REF!</v>
      </c>
      <c r="J36" s="26" t="e">
        <f>Financials!#REF!/(Financials!#REF!+Financials!#REF!)/2</f>
        <v>#REF!</v>
      </c>
      <c r="K36" s="26" t="e">
        <f>Financials!#REF!/(Financials!#REF!+Financials!#REF!)/2</f>
        <v>#REF!</v>
      </c>
      <c r="L36" s="26" t="e">
        <f>Financials!#REF!/(Financials!#REF!+Financials!#REF!)/2</f>
        <v>#REF!</v>
      </c>
      <c r="M36" s="26" t="e">
        <f>Financials!#REF!/(Financials!#REF!+Financials!#REF!)/2</f>
        <v>#REF!</v>
      </c>
      <c r="N36" s="26" t="e">
        <f>Financials!#REF!/(Financials!#REF!+Financials!#REF!)/2</f>
        <v>#REF!</v>
      </c>
      <c r="O36" s="26" t="e">
        <f>Financials!#REF!/(Financials!#REF!+Financials!#REF!)/2</f>
        <v>#REF!</v>
      </c>
      <c r="P36" s="26" t="e">
        <f>Financials!#REF!/(Financials!#REF!+Financials!#REF!)/2</f>
        <v>#REF!</v>
      </c>
      <c r="Q36" s="26" t="e">
        <f>Financials!#REF!/(Financials!#REF!+Financials!#REF!)/2</f>
        <v>#REF!</v>
      </c>
      <c r="R36" s="26" t="e">
        <f>Financials!#REF!/(Financials!#REF!+Financials!#REF!)/2</f>
        <v>#REF!</v>
      </c>
      <c r="S36" s="30" t="e">
        <f>Financials!#REF!/(Financials!#REF!+Financials!#REF!)/2</f>
        <v>#REF!</v>
      </c>
      <c r="T36" s="30" t="e">
        <f>Financials!#REF!/(Financials!#REF!+Financials!#REF!)/2</f>
        <v>#REF!</v>
      </c>
      <c r="U36" s="30" t="e">
        <f>Financials!#REF!/(Financials!#REF!+Financials!#REF!)/2</f>
        <v>#REF!</v>
      </c>
      <c r="V36" s="30" t="e">
        <f>Financials!#REF!/(Financials!#REF!+Financials!#REF!)/2</f>
        <v>#REF!</v>
      </c>
      <c r="W36" s="30" t="e">
        <f>Financials!#REF!/(Financials!#REF!+Financials!#REF!)/2</f>
        <v>#REF!</v>
      </c>
      <c r="X36" s="30" t="e">
        <f>Financials!#REF!/(Financials!#REF!+Financials!#REF!)/2</f>
        <v>#REF!</v>
      </c>
      <c r="Y36" s="30" t="e">
        <f>Financials!#REF!/(Financials!#REF!+Financials!#REF!)/2</f>
        <v>#REF!</v>
      </c>
      <c r="Z36" s="30" t="e">
        <f>Financials!#REF!/(Financials!#REF!+Financials!#REF!)/2</f>
        <v>#REF!</v>
      </c>
      <c r="AA36" s="30" t="e">
        <f>Financials!#REF!/(Financials!#REF!+Financials!#REF!)/2</f>
        <v>#REF!</v>
      </c>
      <c r="AB36" s="30" t="e">
        <f>Financials!#REF!/(Financials!#REF!+Financials!#REF!)/2</f>
        <v>#REF!</v>
      </c>
      <c r="AC36" s="30" t="e">
        <f>Financials!#REF!/(Financials!#REF!+Financials!#REF!)/2</f>
        <v>#REF!</v>
      </c>
      <c r="AD36" s="30" t="e">
        <f>Financials!#REF!/(Financials!#REF!+Financials!#REF!)/2</f>
        <v>#REF!</v>
      </c>
      <c r="AE36" s="30" t="e">
        <f>Financials!#REF!/(Financials!#REF!+Financials!#REF!)/2</f>
        <v>#REF!</v>
      </c>
      <c r="AF36" s="30" t="e">
        <f>Financials!#REF!/(Financials!#REF!+Financials!#REF!)/2</f>
        <v>#REF!</v>
      </c>
      <c r="AG36" s="30" t="e">
        <f>Financials!#REF!/(Financials!#REF!+Financials!#REF!)/2</f>
        <v>#REF!</v>
      </c>
      <c r="AH36" s="30" t="e">
        <f>Financials!#REF!/(Financials!#REF!+Financials!#REF!)/2</f>
        <v>#REF!</v>
      </c>
      <c r="AI36" s="30" t="e">
        <f>Financials!#REF!/(Financials!#REF!+Financials!#REF!)/2</f>
        <v>#REF!</v>
      </c>
      <c r="AJ36" s="30" t="e">
        <f>Financials!#REF!/(Financials!#REF!+Financials!#REF!)/2</f>
        <v>#REF!</v>
      </c>
      <c r="AK36" s="30" t="e">
        <f>Financials!#REF!/(Financials!#REF!+Financials!#REF!)/2</f>
        <v>#REF!</v>
      </c>
      <c r="AL36" s="30" t="e">
        <f>Financials!#REF!/(Financials!#REF!+Financials!#REF!)/2</f>
        <v>#REF!</v>
      </c>
      <c r="AM36" s="30" t="e">
        <f>Financials!#REF!/(Financials!#REF!+Financials!#REF!)/2</f>
        <v>#REF!</v>
      </c>
      <c r="AN36" s="30" t="e">
        <f>Financials!#REF!/(Financials!#REF!+Financials!#REF!)/2</f>
        <v>#REF!</v>
      </c>
      <c r="AO36" s="30" t="e">
        <f>Financials!#REF!/(Financials!#REF!+Financials!#REF!)/2</f>
        <v>#REF!</v>
      </c>
      <c r="AP36" s="30" t="e">
        <f>Financials!#REF!/(Financials!#REF!+Financials!#REF!)/2</f>
        <v>#REF!</v>
      </c>
      <c r="AQ36" s="30" t="e">
        <f>Financials!#REF!/(Financials!#REF!+Financials!#REF!)/2</f>
        <v>#REF!</v>
      </c>
      <c r="AR36" s="30" t="e">
        <f>Financials!#REF!/(Financials!#REF!+Financials!#REF!)/2</f>
        <v>#REF!</v>
      </c>
      <c r="AS36" s="30" t="e">
        <f>Financials!C47/(Financials!#REF!+Financials!C4)/2</f>
        <v>#REF!</v>
      </c>
      <c r="AT36" s="30">
        <f>Financials!D47/(Financials!C4+Financials!D4)/2</f>
        <v>4.4985563648950819E-3</v>
      </c>
      <c r="AU36" s="30">
        <f>Financials!E47/(Financials!D4+Financials!E4)/2</f>
        <v>4.576848530892459E-3</v>
      </c>
      <c r="AV36" s="30">
        <f>Financials!F47/(Financials!E4+Financials!F4)/2</f>
        <v>4.8465444664309368E-3</v>
      </c>
      <c r="AW36" s="30">
        <f>Financials!G47/(Financials!F4+Financials!G4)/2</f>
        <v>5.7788240079373982E-4</v>
      </c>
      <c r="AX36" s="30">
        <f>Financials!H47/(Financials!G4+Financials!H4)/2</f>
        <v>1.142629509817684E-3</v>
      </c>
      <c r="AY36" s="30" t="e">
        <f>Financials!#REF!/(Financials!H4+Financials!#REF!)/2</f>
        <v>#REF!</v>
      </c>
      <c r="AZ36" s="30" t="e">
        <f>Financials!#REF!/(Financials!#REF!+Financials!#REF!)/2</f>
        <v>#REF!</v>
      </c>
      <c r="BA36" s="30" t="e">
        <f>Financials!#REF!/(Financials!#REF!+Financials!#REF!)/2</f>
        <v>#REF!</v>
      </c>
      <c r="BB36" s="30" t="e">
        <f>Financials!#REF!/(Financials!#REF!+Financials!#REF!)/2</f>
        <v>#REF!</v>
      </c>
      <c r="BC36" s="30" t="e">
        <f>Financials!#REF!/(Financials!#REF!+Financials!#REF!)/2</f>
        <v>#REF!</v>
      </c>
    </row>
    <row r="37" spans="1:55">
      <c r="A37" s="35"/>
      <c r="B37" s="24" t="s">
        <v>145</v>
      </c>
      <c r="C37" s="1"/>
      <c r="D37" s="26"/>
      <c r="E37" s="26" t="e">
        <f>Financials!#REF!/Financials!#REF!</f>
        <v>#REF!</v>
      </c>
      <c r="F37" s="26"/>
      <c r="G37" s="26"/>
      <c r="H37" s="26" t="e">
        <f>Financials!#REF!/Financials!#REF!</f>
        <v>#REF!</v>
      </c>
      <c r="I37" s="26" t="e">
        <f>Financials!#REF!/Financials!#REF!</f>
        <v>#REF!</v>
      </c>
      <c r="J37" s="26" t="e">
        <f>Financials!#REF!/Financials!#REF!</f>
        <v>#REF!</v>
      </c>
      <c r="K37" s="26" t="e">
        <f>Financials!#REF!/Financials!#REF!</f>
        <v>#REF!</v>
      </c>
      <c r="L37" s="26" t="e">
        <f>Financials!#REF!/Financials!#REF!</f>
        <v>#REF!</v>
      </c>
      <c r="M37" s="26" t="e">
        <f>Financials!#REF!/Financials!#REF!</f>
        <v>#REF!</v>
      </c>
      <c r="N37" s="26" t="e">
        <f>Financials!#REF!/Financials!#REF!</f>
        <v>#REF!</v>
      </c>
      <c r="O37" s="26" t="e">
        <f>Financials!#REF!/Financials!#REF!</f>
        <v>#REF!</v>
      </c>
      <c r="P37" s="26" t="e">
        <f>Financials!#REF!/Financials!#REF!</f>
        <v>#REF!</v>
      </c>
      <c r="Q37" s="26" t="e">
        <f>Financials!#REF!/Financials!#REF!</f>
        <v>#REF!</v>
      </c>
      <c r="R37" s="26" t="e">
        <f>Financials!#REF!/Financials!#REF!</f>
        <v>#REF!</v>
      </c>
      <c r="S37" s="30" t="e">
        <f>Financials!#REF!/Financials!#REF!</f>
        <v>#REF!</v>
      </c>
      <c r="T37" s="30" t="e">
        <f>Financials!#REF!/Financials!#REF!</f>
        <v>#REF!</v>
      </c>
      <c r="U37" s="30" t="e">
        <f>Financials!#REF!/Financials!#REF!</f>
        <v>#REF!</v>
      </c>
      <c r="V37" s="30" t="e">
        <f>Financials!#REF!/Financials!#REF!</f>
        <v>#REF!</v>
      </c>
      <c r="W37" s="30" t="e">
        <f>Financials!#REF!/Financials!#REF!</f>
        <v>#REF!</v>
      </c>
      <c r="X37" s="30" t="e">
        <f>Financials!#REF!/Financials!#REF!</f>
        <v>#REF!</v>
      </c>
      <c r="Y37" s="30" t="e">
        <f>Financials!#REF!/Financials!#REF!</f>
        <v>#REF!</v>
      </c>
      <c r="Z37" s="30" t="e">
        <f>Financials!#REF!/Financials!#REF!</f>
        <v>#REF!</v>
      </c>
      <c r="AA37" s="30" t="e">
        <f>Financials!#REF!/Financials!#REF!</f>
        <v>#REF!</v>
      </c>
      <c r="AB37" s="30" t="e">
        <f>Financials!#REF!/Financials!#REF!</f>
        <v>#REF!</v>
      </c>
      <c r="AC37" s="30" t="e">
        <f>Financials!#REF!/Financials!#REF!</f>
        <v>#REF!</v>
      </c>
      <c r="AD37" s="30" t="e">
        <f>Financials!#REF!/Financials!#REF!</f>
        <v>#REF!</v>
      </c>
      <c r="AE37" s="30" t="e">
        <f>Financials!#REF!/Financials!#REF!</f>
        <v>#REF!</v>
      </c>
      <c r="AF37" s="30" t="e">
        <f>Financials!#REF!/Financials!#REF!</f>
        <v>#REF!</v>
      </c>
      <c r="AG37" s="30" t="e">
        <f>Financials!#REF!/Financials!#REF!</f>
        <v>#REF!</v>
      </c>
      <c r="AH37" s="30" t="e">
        <f>Financials!#REF!/Financials!#REF!</f>
        <v>#REF!</v>
      </c>
      <c r="AI37" s="30" t="e">
        <f>Financials!#REF!/Financials!#REF!</f>
        <v>#REF!</v>
      </c>
      <c r="AJ37" s="30" t="e">
        <f>Financials!#REF!/Financials!#REF!</f>
        <v>#REF!</v>
      </c>
      <c r="AK37" s="30" t="e">
        <f>Financials!#REF!/Financials!#REF!</f>
        <v>#REF!</v>
      </c>
      <c r="AL37" s="30" t="e">
        <f>Financials!#REF!/Financials!#REF!</f>
        <v>#REF!</v>
      </c>
      <c r="AM37" s="30" t="e">
        <f>Financials!#REF!/Financials!#REF!</f>
        <v>#REF!</v>
      </c>
      <c r="AN37" s="30" t="e">
        <f>Financials!#REF!/Financials!#REF!</f>
        <v>#REF!</v>
      </c>
      <c r="AO37" s="30" t="e">
        <f>Financials!#REF!/Financials!#REF!</f>
        <v>#REF!</v>
      </c>
      <c r="AP37" s="30" t="e">
        <f>Financials!#REF!/Financials!#REF!</f>
        <v>#REF!</v>
      </c>
      <c r="AQ37" s="30" t="e">
        <f>Financials!#REF!/Financials!#REF!</f>
        <v>#REF!</v>
      </c>
      <c r="AR37" s="30" t="e">
        <f>Financials!#REF!/Financials!#REF!</f>
        <v>#REF!</v>
      </c>
      <c r="AS37" s="30">
        <f>Financials!C47/Financials!C37</f>
        <v>0.18519727774750788</v>
      </c>
      <c r="AT37" s="30">
        <f>Financials!D47/Financials!D37</f>
        <v>0.148442907510732</v>
      </c>
      <c r="AU37" s="30">
        <f>Financials!E47/Financials!E37</f>
        <v>0.15302853580217562</v>
      </c>
      <c r="AV37" s="30">
        <f>Financials!F47/Financials!F37</f>
        <v>0.16355394557639691</v>
      </c>
      <c r="AW37" s="30">
        <f>Financials!G47/Financials!G37</f>
        <v>0.56249112248651223</v>
      </c>
      <c r="AX37" s="30">
        <f>Financials!H47/Financials!H37</f>
        <v>0.55648149809039205</v>
      </c>
      <c r="AY37" s="30" t="e">
        <f>Financials!#REF!/Financials!#REF!</f>
        <v>#REF!</v>
      </c>
      <c r="AZ37" s="30" t="e">
        <f>Financials!#REF!/Financials!#REF!</f>
        <v>#REF!</v>
      </c>
      <c r="BA37" s="30" t="e">
        <f>Financials!#REF!/Financials!#REF!</f>
        <v>#REF!</v>
      </c>
      <c r="BB37" s="30" t="e">
        <f>Financials!#REF!/Financials!#REF!</f>
        <v>#REF!</v>
      </c>
      <c r="BC37" s="30" t="e">
        <f>Financials!#REF!/Financials!#REF!</f>
        <v>#REF!</v>
      </c>
    </row>
    <row r="38" spans="1:55">
      <c r="A38" s="35"/>
      <c r="B38" s="24" t="s">
        <v>146</v>
      </c>
      <c r="C38" s="1"/>
      <c r="D38" s="26"/>
      <c r="E38" s="26" t="e">
        <f>Financials!#REF!/('Evolutive SFP'!#REF!+'Evolutive SFP'!#REF!)/2</f>
        <v>#REF!</v>
      </c>
      <c r="F38" s="26"/>
      <c r="G38" s="26"/>
      <c r="H38" s="26" t="e">
        <f>Financials!#REF!/('Evolutive SFP'!#REF!+'Evolutive SFP'!#REF!)/2</f>
        <v>#REF!</v>
      </c>
      <c r="I38" s="26" t="e">
        <f>Financials!#REF!/('Evolutive SFP'!#REF!+'Evolutive SFP'!#REF!)/2</f>
        <v>#REF!</v>
      </c>
      <c r="J38" s="26" t="e">
        <f>Financials!#REF!/('Evolutive SFP'!#REF!+'Evolutive SFP'!#REF!)/2</f>
        <v>#REF!</v>
      </c>
      <c r="K38" s="26" t="e">
        <f>Financials!#REF!/('Evolutive SFP'!#REF!+'Evolutive SFP'!#REF!)/2</f>
        <v>#REF!</v>
      </c>
      <c r="L38" s="26" t="e">
        <f>Financials!#REF!/('Evolutive SFP'!#REF!+'Evolutive SFP'!#REF!)/2</f>
        <v>#REF!</v>
      </c>
      <c r="M38" s="26" t="e">
        <f>Financials!#REF!/('Evolutive SFP'!#REF!+'Evolutive SFP'!#REF!)/2</f>
        <v>#REF!</v>
      </c>
      <c r="N38" s="26" t="e">
        <f>Financials!#REF!/('Evolutive SFP'!#REF!+'Evolutive SFP'!#REF!)/2</f>
        <v>#REF!</v>
      </c>
      <c r="O38" s="26" t="e">
        <f>Financials!#REF!/('Evolutive SFP'!#REF!+'Evolutive SFP'!#REF!)/2</f>
        <v>#REF!</v>
      </c>
      <c r="P38" s="26" t="e">
        <f>Financials!#REF!/('Evolutive SFP'!#REF!+'Evolutive SFP'!#REF!)/2</f>
        <v>#REF!</v>
      </c>
      <c r="Q38" s="26" t="e">
        <f>Financials!#REF!/('Evolutive SFP'!#REF!+'Evolutive SFP'!#REF!)/2</f>
        <v>#REF!</v>
      </c>
      <c r="R38" s="26" t="e">
        <f>Financials!#REF!/('Evolutive SFP'!#REF!+'Evolutive SFP'!#REF!)/2</f>
        <v>#REF!</v>
      </c>
      <c r="S38" s="30" t="e">
        <f>Financials!#REF!/('Evolutive SFP'!#REF!+'Evolutive SFP'!#REF!)/2</f>
        <v>#REF!</v>
      </c>
      <c r="T38" s="30" t="e">
        <f>Financials!#REF!/('Evolutive SFP'!#REF!+'Evolutive SFP'!#REF!)/2</f>
        <v>#REF!</v>
      </c>
      <c r="U38" s="30" t="e">
        <f>Financials!#REF!/('Evolutive SFP'!#REF!+'Evolutive SFP'!#REF!)/2</f>
        <v>#REF!</v>
      </c>
      <c r="V38" s="30" t="e">
        <f>Financials!#REF!/('Evolutive SFP'!#REF!+'Evolutive SFP'!#REF!)/2</f>
        <v>#REF!</v>
      </c>
      <c r="W38" s="30" t="e">
        <f>Financials!#REF!/('Evolutive SFP'!#REF!+'Evolutive SFP'!#REF!)/2</f>
        <v>#REF!</v>
      </c>
      <c r="X38" s="30" t="e">
        <f>Financials!#REF!/('Evolutive SFP'!#REF!+'Evolutive SFP'!#REF!)/2</f>
        <v>#REF!</v>
      </c>
      <c r="Y38" s="30" t="e">
        <f>Financials!#REF!/('Evolutive SFP'!#REF!+'Evolutive SFP'!#REF!)/2</f>
        <v>#REF!</v>
      </c>
      <c r="Z38" s="30" t="e">
        <f>Financials!#REF!/('Evolutive SFP'!#REF!+'Evolutive SFP'!#REF!)/2</f>
        <v>#REF!</v>
      </c>
      <c r="AA38" s="30" t="e">
        <f>Financials!#REF!/('Evolutive SFP'!#REF!+'Evolutive SFP'!#REF!)/2</f>
        <v>#REF!</v>
      </c>
      <c r="AB38" s="30" t="e">
        <f>Financials!#REF!/('Evolutive SFP'!#REF!+'Evolutive SFP'!#REF!)/2</f>
        <v>#REF!</v>
      </c>
      <c r="AC38" s="30" t="e">
        <f>Financials!#REF!/('Evolutive SFP'!#REF!+'Evolutive SFP'!#REF!)/2</f>
        <v>#REF!</v>
      </c>
      <c r="AD38" s="30" t="e">
        <f>Financials!#REF!/('Evolutive SFP'!#REF!+'Evolutive SFP'!#REF!)/2</f>
        <v>#REF!</v>
      </c>
      <c r="AE38" s="30" t="e">
        <f>Financials!#REF!/('Evolutive SFP'!#REF!+'Evolutive SFP'!#REF!)/2</f>
        <v>#REF!</v>
      </c>
      <c r="AF38" s="30" t="e">
        <f>Financials!#REF!/('Evolutive SFP'!#REF!+'Evolutive SFP'!#REF!)/2</f>
        <v>#REF!</v>
      </c>
      <c r="AG38" s="30" t="e">
        <f>Financials!#REF!/('Evolutive SFP'!#REF!+'Evolutive SFP'!#REF!)/2</f>
        <v>#REF!</v>
      </c>
      <c r="AH38" s="30" t="e">
        <f>Financials!#REF!/('Evolutive SFP'!#REF!+'Evolutive SFP'!#REF!)/2</f>
        <v>#REF!</v>
      </c>
      <c r="AI38" s="30" t="e">
        <f>Financials!#REF!/('Evolutive SFP'!#REF!+'Evolutive SFP'!#REF!)/2</f>
        <v>#REF!</v>
      </c>
      <c r="AJ38" s="30" t="e">
        <f>Financials!#REF!/('Evolutive SFP'!#REF!+'Evolutive SFP'!#REF!)/2</f>
        <v>#REF!</v>
      </c>
      <c r="AK38" s="30" t="e">
        <f>Financials!#REF!/('Evolutive SFP'!#REF!+'Evolutive SFP'!#REF!)/2</f>
        <v>#REF!</v>
      </c>
      <c r="AL38" s="30" t="e">
        <f>Financials!#REF!/('Evolutive SFP'!#REF!+'Evolutive SFP'!#REF!)/2</f>
        <v>#REF!</v>
      </c>
      <c r="AM38" s="30" t="e">
        <f>Financials!#REF!/('Evolutive SFP'!#REF!+'Evolutive SFP'!#REF!)/2</f>
        <v>#REF!</v>
      </c>
      <c r="AN38" s="30" t="e">
        <f>Financials!#REF!/('Evolutive SFP'!#REF!+'Evolutive SFP'!#REF!)/2</f>
        <v>#REF!</v>
      </c>
      <c r="AO38" s="30" t="e">
        <f>Financials!#REF!/('Evolutive SFP'!#REF!+'Evolutive SFP'!#REF!)/2</f>
        <v>#REF!</v>
      </c>
      <c r="AP38" s="30" t="e">
        <f>Financials!#REF!/('Evolutive SFP'!#REF!+'Evolutive SFP'!#REF!)/2</f>
        <v>#REF!</v>
      </c>
      <c r="AQ38" s="30" t="e">
        <f>Financials!#REF!/('Evolutive SFP'!#REF!+'Evolutive SFP'!#REF!)/2</f>
        <v>#REF!</v>
      </c>
      <c r="AR38" s="30" t="e">
        <f>Financials!#REF!/('Evolutive SFP'!#REF!+'Evolutive SFP'!#REF!)/2</f>
        <v>#REF!</v>
      </c>
      <c r="AS38" s="30" t="e">
        <f>Financials!C38/('Evolutive SFP'!#REF!+'Evolutive SFP'!#REF!)/2</f>
        <v>#REF!</v>
      </c>
      <c r="AT38" s="30" t="e">
        <f>Financials!D38/('Evolutive SFP'!C14+'Evolutive SFP'!#REF!)/2</f>
        <v>#REF!</v>
      </c>
      <c r="AU38" s="30" t="e">
        <f>Financials!E38/('Evolutive SFP'!#REF!+'Evolutive SFP'!C14)/2</f>
        <v>#REF!</v>
      </c>
      <c r="AV38" s="30" t="e">
        <f>Financials!F38/('Evolutive SFP'!#REF!+'Evolutive SFP'!#REF!)/2</f>
        <v>#REF!</v>
      </c>
      <c r="AW38" s="30" t="e">
        <f>Financials!G38/('Evolutive SFP'!#REF!+'Evolutive SFP'!#REF!)/2</f>
        <v>#REF!</v>
      </c>
      <c r="AX38" s="30" t="e">
        <f>Financials!H38/('Evolutive SFP'!#REF!+'Evolutive SFP'!#REF!)/2</f>
        <v>#REF!</v>
      </c>
      <c r="AY38" s="30" t="e">
        <f>Financials!#REF!/('Evolutive SFP'!#REF!+'Evolutive SFP'!#REF!)/2</f>
        <v>#REF!</v>
      </c>
      <c r="AZ38" s="30" t="e">
        <f>Financials!#REF!/('Evolutive SFP'!#REF!+'Evolutive SFP'!#REF!)/2</f>
        <v>#REF!</v>
      </c>
      <c r="BA38" s="30" t="e">
        <f>Financials!#REF!/('Evolutive SFP'!#REF!+'Evolutive SFP'!#REF!)/2</f>
        <v>#REF!</v>
      </c>
      <c r="BB38" s="30" t="e">
        <f>Financials!#REF!/('Evolutive SFP'!#REF!+'Evolutive SFP'!#REF!)/2</f>
        <v>#REF!</v>
      </c>
      <c r="BC38" s="30" t="e">
        <f>Financials!#REF!/('Evolutive SFP'!#REF!+'Evolutive SFP'!#REF!)/2</f>
        <v>#REF!</v>
      </c>
    </row>
    <row r="39" spans="1:55">
      <c r="A39" s="35"/>
      <c r="B39" s="24" t="s">
        <v>147</v>
      </c>
      <c r="C39" s="1"/>
      <c r="D39" s="26"/>
      <c r="E39" s="26" t="e">
        <f>Financials!#REF!/('Evolutive SFP'!#REF!+'Evolutive SFP'!#REF!)/2</f>
        <v>#REF!</v>
      </c>
      <c r="F39" s="26"/>
      <c r="G39" s="26"/>
      <c r="H39" s="26" t="e">
        <f>Financials!#REF!/('Evolutive SFP'!#REF!+'Evolutive SFP'!#REF!)/2</f>
        <v>#REF!</v>
      </c>
      <c r="I39" s="26" t="e">
        <f>Financials!#REF!/('Evolutive SFP'!#REF!+'Evolutive SFP'!#REF!)/2</f>
        <v>#REF!</v>
      </c>
      <c r="J39" s="26" t="e">
        <f>Financials!#REF!/('Evolutive SFP'!#REF!+'Evolutive SFP'!#REF!)/2</f>
        <v>#REF!</v>
      </c>
      <c r="K39" s="26" t="e">
        <f>Financials!#REF!/('Evolutive SFP'!#REF!+'Evolutive SFP'!#REF!)/2</f>
        <v>#REF!</v>
      </c>
      <c r="L39" s="26" t="e">
        <f>Financials!#REF!/('Evolutive SFP'!#REF!+'Evolutive SFP'!#REF!)/2</f>
        <v>#REF!</v>
      </c>
      <c r="M39" s="26" t="e">
        <f>Financials!#REF!/('Evolutive SFP'!#REF!+'Evolutive SFP'!#REF!)/2</f>
        <v>#REF!</v>
      </c>
      <c r="N39" s="26" t="e">
        <f>Financials!#REF!/('Evolutive SFP'!#REF!+'Evolutive SFP'!#REF!)/2</f>
        <v>#REF!</v>
      </c>
      <c r="O39" s="26" t="e">
        <f>Financials!#REF!/('Evolutive SFP'!#REF!+'Evolutive SFP'!#REF!)/2</f>
        <v>#REF!</v>
      </c>
      <c r="P39" s="26" t="e">
        <f>Financials!#REF!/('Evolutive SFP'!#REF!+'Evolutive SFP'!#REF!)/2</f>
        <v>#REF!</v>
      </c>
      <c r="Q39" s="26" t="e">
        <f>Financials!#REF!/('Evolutive SFP'!#REF!+'Evolutive SFP'!#REF!)/2</f>
        <v>#REF!</v>
      </c>
      <c r="R39" s="26" t="e">
        <f>Financials!#REF!/('Evolutive SFP'!#REF!+'Evolutive SFP'!#REF!)/2</f>
        <v>#REF!</v>
      </c>
      <c r="S39" s="30" t="e">
        <f>Financials!#REF!/('Evolutive SFP'!#REF!+'Evolutive SFP'!#REF!)/2</f>
        <v>#REF!</v>
      </c>
      <c r="T39" s="30" t="e">
        <f>Financials!#REF!/('Evolutive SFP'!#REF!+'Evolutive SFP'!#REF!)/2</f>
        <v>#REF!</v>
      </c>
      <c r="U39" s="30" t="e">
        <f>Financials!#REF!/('Evolutive SFP'!#REF!+'Evolutive SFP'!#REF!)/2</f>
        <v>#REF!</v>
      </c>
      <c r="V39" s="30" t="e">
        <f>Financials!#REF!/('Evolutive SFP'!#REF!+'Evolutive SFP'!#REF!)/2</f>
        <v>#REF!</v>
      </c>
      <c r="W39" s="30" t="e">
        <f>Financials!#REF!/('Evolutive SFP'!#REF!+'Evolutive SFP'!#REF!)/2</f>
        <v>#REF!</v>
      </c>
      <c r="X39" s="30" t="e">
        <f>Financials!#REF!/('Evolutive SFP'!#REF!+'Evolutive SFP'!#REF!)/2</f>
        <v>#REF!</v>
      </c>
      <c r="Y39" s="30" t="e">
        <f>Financials!#REF!/('Evolutive SFP'!#REF!+'Evolutive SFP'!#REF!)/2</f>
        <v>#REF!</v>
      </c>
      <c r="Z39" s="30" t="e">
        <f>Financials!#REF!/('Evolutive SFP'!#REF!+'Evolutive SFP'!#REF!)/2</f>
        <v>#REF!</v>
      </c>
      <c r="AA39" s="30" t="e">
        <f>Financials!#REF!/('Evolutive SFP'!#REF!+'Evolutive SFP'!#REF!)/2</f>
        <v>#REF!</v>
      </c>
      <c r="AB39" s="30" t="e">
        <f>Financials!#REF!/('Evolutive SFP'!#REF!+'Evolutive SFP'!#REF!)/2</f>
        <v>#REF!</v>
      </c>
      <c r="AC39" s="30" t="e">
        <f>Financials!#REF!/('Evolutive SFP'!#REF!+'Evolutive SFP'!#REF!)/2</f>
        <v>#REF!</v>
      </c>
      <c r="AD39" s="30" t="e">
        <f>Financials!#REF!/('Evolutive SFP'!#REF!+'Evolutive SFP'!#REF!)/2</f>
        <v>#REF!</v>
      </c>
      <c r="AE39" s="30" t="e">
        <f>Financials!#REF!/('Evolutive SFP'!#REF!+'Evolutive SFP'!#REF!)/2</f>
        <v>#REF!</v>
      </c>
      <c r="AF39" s="30" t="e">
        <f>Financials!#REF!/('Evolutive SFP'!#REF!+'Evolutive SFP'!#REF!)/2</f>
        <v>#REF!</v>
      </c>
      <c r="AG39" s="30" t="e">
        <f>Financials!#REF!/('Evolutive SFP'!#REF!+'Evolutive SFP'!#REF!)/2</f>
        <v>#REF!</v>
      </c>
      <c r="AH39" s="30" t="e">
        <f>Financials!#REF!/('Evolutive SFP'!#REF!+'Evolutive SFP'!#REF!)/2</f>
        <v>#REF!</v>
      </c>
      <c r="AI39" s="30" t="e">
        <f>Financials!#REF!/('Evolutive SFP'!#REF!+'Evolutive SFP'!#REF!)/2</f>
        <v>#REF!</v>
      </c>
      <c r="AJ39" s="30" t="e">
        <f>Financials!#REF!/('Evolutive SFP'!#REF!+'Evolutive SFP'!#REF!)/2</f>
        <v>#REF!</v>
      </c>
      <c r="AK39" s="30" t="e">
        <f>Financials!#REF!/('Evolutive SFP'!#REF!+'Evolutive SFP'!#REF!)/2</f>
        <v>#REF!</v>
      </c>
      <c r="AL39" s="30" t="e">
        <f>Financials!#REF!/('Evolutive SFP'!#REF!+'Evolutive SFP'!#REF!)/2</f>
        <v>#REF!</v>
      </c>
      <c r="AM39" s="30" t="e">
        <f>Financials!#REF!/('Evolutive SFP'!#REF!+'Evolutive SFP'!#REF!)/2</f>
        <v>#REF!</v>
      </c>
      <c r="AN39" s="30" t="e">
        <f>Financials!#REF!/('Evolutive SFP'!#REF!+'Evolutive SFP'!#REF!)/2</f>
        <v>#REF!</v>
      </c>
      <c r="AO39" s="30" t="e">
        <f>Financials!#REF!/('Evolutive SFP'!#REF!+'Evolutive SFP'!#REF!)/2</f>
        <v>#REF!</v>
      </c>
      <c r="AP39" s="30" t="e">
        <f>Financials!#REF!/('Evolutive SFP'!#REF!+'Evolutive SFP'!#REF!)/2</f>
        <v>#REF!</v>
      </c>
      <c r="AQ39" s="30" t="e">
        <f>Financials!#REF!/('Evolutive SFP'!#REF!+'Evolutive SFP'!#REF!)/2</f>
        <v>#REF!</v>
      </c>
      <c r="AR39" s="30" t="e">
        <f>Financials!#REF!/('Evolutive SFP'!#REF!+'Evolutive SFP'!#REF!)/2</f>
        <v>#REF!</v>
      </c>
      <c r="AS39" s="30" t="e">
        <f>Financials!C37/('Evolutive SFP'!#REF!+'Evolutive SFP'!#REF!)/2</f>
        <v>#REF!</v>
      </c>
      <c r="AT39" s="30" t="e">
        <f>Financials!D37/('Evolutive SFP'!C15+'Evolutive SFP'!#REF!)/2</f>
        <v>#REF!</v>
      </c>
      <c r="AU39" s="30" t="e">
        <f>Financials!E37/('Evolutive SFP'!#REF!+'Evolutive SFP'!C15)/2</f>
        <v>#REF!</v>
      </c>
      <c r="AV39" s="30" t="e">
        <f>Financials!F37/('Evolutive SFP'!#REF!+'Evolutive SFP'!#REF!)/2</f>
        <v>#REF!</v>
      </c>
      <c r="AW39" s="30" t="e">
        <f>Financials!G37/('Evolutive SFP'!#REF!+'Evolutive SFP'!#REF!)/2</f>
        <v>#REF!</v>
      </c>
      <c r="AX39" s="30" t="e">
        <f>Financials!H37/('Evolutive SFP'!#REF!+'Evolutive SFP'!#REF!)/2</f>
        <v>#REF!</v>
      </c>
      <c r="AY39" s="30" t="e">
        <f>Financials!#REF!/('Evolutive SFP'!#REF!+'Evolutive SFP'!#REF!)/2</f>
        <v>#REF!</v>
      </c>
      <c r="AZ39" s="30" t="e">
        <f>Financials!#REF!/('Evolutive SFP'!#REF!+'Evolutive SFP'!#REF!)/2</f>
        <v>#REF!</v>
      </c>
      <c r="BA39" s="30" t="e">
        <f>Financials!#REF!/('Evolutive SFP'!#REF!+'Evolutive SFP'!#REF!)/2</f>
        <v>#REF!</v>
      </c>
      <c r="BB39" s="30" t="e">
        <f>Financials!#REF!/('Evolutive SFP'!#REF!+'Evolutive SFP'!#REF!)/2</f>
        <v>#REF!</v>
      </c>
      <c r="BC39" s="30" t="e">
        <f>Financials!#REF!/('Evolutive SFP'!#REF!+'Evolutive SFP'!#REF!)/2</f>
        <v>#REF!</v>
      </c>
    </row>
    <row r="40" spans="1:55">
      <c r="A40" s="3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spans="1:55" ht="15" thickBot="1">
      <c r="A41" s="37" t="s">
        <v>148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zoomScale="79" zoomScaleNormal="79" workbookViewId="0">
      <pane xSplit="2" ySplit="2" topLeftCell="C3" activePane="bottomRight" state="frozen"/>
      <selection pane="bottomRight" activeCell="F3" sqref="F3"/>
      <selection pane="bottomLeft" activeCell="A3" sqref="A3"/>
      <selection pane="topRight" activeCell="C1" sqref="C1"/>
    </sheetView>
  </sheetViews>
  <sheetFormatPr defaultRowHeight="15" customHeight="1"/>
  <cols>
    <col min="1" max="1" width="5.5703125" bestFit="1" customWidth="1"/>
    <col min="2" max="2" width="37.5703125" bestFit="1" customWidth="1"/>
    <col min="3" max="3" width="15" customWidth="1"/>
    <col min="4" max="4" width="14.7109375" customWidth="1"/>
    <col min="5" max="8" width="15" customWidth="1"/>
  </cols>
  <sheetData>
    <row r="1" spans="1:8">
      <c r="A1" s="8"/>
      <c r="B1" s="40" t="s">
        <v>149</v>
      </c>
    </row>
    <row r="2" spans="1:8">
      <c r="A2" s="8"/>
      <c r="B2" s="9" t="s">
        <v>150</v>
      </c>
      <c r="C2" s="41" t="s">
        <v>94</v>
      </c>
      <c r="D2" s="41" t="s">
        <v>95</v>
      </c>
      <c r="E2" s="41" t="s">
        <v>2</v>
      </c>
      <c r="F2" s="41" t="s">
        <v>3</v>
      </c>
      <c r="G2" s="41" t="s">
        <v>151</v>
      </c>
      <c r="H2" s="41" t="s">
        <v>152</v>
      </c>
    </row>
    <row r="3" spans="1:8">
      <c r="A3" s="10">
        <v>1</v>
      </c>
      <c r="B3" s="10" t="s">
        <v>138</v>
      </c>
    </row>
    <row r="4" spans="1:8">
      <c r="A4" s="10">
        <v>2</v>
      </c>
      <c r="B4" s="10" t="s">
        <v>28</v>
      </c>
      <c r="C4" s="42">
        <f>'Evolutive SFP'!B27</f>
        <v>12197688843</v>
      </c>
      <c r="D4" s="42">
        <f>'Evolutive SFP'!C27</f>
        <v>12867644756</v>
      </c>
      <c r="E4" s="42">
        <f>'Evolutive SFP'!D27</f>
        <v>14083966198</v>
      </c>
      <c r="F4" s="42">
        <f>'Evolutive SFP'!E27</f>
        <v>15152783404</v>
      </c>
      <c r="G4" s="42">
        <f>'Evolutive SFP'!F27</f>
        <v>15152783405</v>
      </c>
      <c r="H4" s="42">
        <f>'Evolutive SFP'!G27</f>
        <v>15152783406</v>
      </c>
    </row>
    <row r="5" spans="1:8">
      <c r="A5" s="10">
        <v>3</v>
      </c>
      <c r="B5" s="10" t="s">
        <v>132</v>
      </c>
      <c r="C5" s="42">
        <f>'Evolutive SFP'!B31</f>
        <v>9308242190</v>
      </c>
      <c r="D5" s="42">
        <f>'Evolutive SFP'!C31</f>
        <v>9697740685</v>
      </c>
      <c r="E5" s="42">
        <f>'Evolutive SFP'!D31</f>
        <v>10714387089</v>
      </c>
      <c r="F5" s="42">
        <f>'Evolutive SFP'!E31</f>
        <v>11437862918</v>
      </c>
      <c r="G5" s="42">
        <f>'Evolutive SFP'!F31</f>
        <v>11464798774.15</v>
      </c>
      <c r="H5" s="42">
        <f>'Evolutive SFP'!G31</f>
        <v>11597540301.76</v>
      </c>
    </row>
    <row r="6" spans="1:8">
      <c r="A6" s="10">
        <v>3.1</v>
      </c>
      <c r="B6" s="11" t="s">
        <v>153</v>
      </c>
      <c r="C6" s="42">
        <f>'Evolutive SFP'!B30</f>
        <v>8601823903</v>
      </c>
      <c r="D6" s="42">
        <f>'Evolutive SFP'!C30</f>
        <v>716184437</v>
      </c>
      <c r="E6" s="42">
        <f>'Evolutive SFP'!D30</f>
        <v>921136038</v>
      </c>
      <c r="F6" s="42">
        <f>'Evolutive SFP'!E30</f>
        <v>10447124598</v>
      </c>
      <c r="G6" s="42">
        <f>'Evolutive SFP'!F30</f>
        <v>10493304826.27</v>
      </c>
      <c r="H6" s="42">
        <f>'Evolutive SFP'!G30</f>
        <v>10588786868.49</v>
      </c>
    </row>
    <row r="7" spans="1:8">
      <c r="A7" s="10">
        <v>3.2</v>
      </c>
      <c r="B7" s="11" t="s">
        <v>154</v>
      </c>
      <c r="C7" s="42">
        <f>('Evolutive SFP'!B28+'Evolutive SFP'!B29)</f>
        <v>706418287</v>
      </c>
      <c r="D7" s="42">
        <f>('Evolutive SFP'!C28+'Evolutive SFP'!C29)</f>
        <v>8981556248</v>
      </c>
      <c r="E7" s="42">
        <f>('Evolutive SFP'!D28+'Evolutive SFP'!D29)</f>
        <v>9793251051</v>
      </c>
      <c r="F7" s="42">
        <f>('Evolutive SFP'!E28+'Evolutive SFP'!E29)</f>
        <v>990738320</v>
      </c>
      <c r="G7" s="42">
        <f>('Evolutive SFP'!F28+'Evolutive SFP'!F29)</f>
        <v>971493947.88</v>
      </c>
      <c r="H7" s="42">
        <f>('Evolutive SFP'!G28+'Evolutive SFP'!G29)</f>
        <v>1008753433.27</v>
      </c>
    </row>
    <row r="8" spans="1:8">
      <c r="A8" s="10">
        <v>4</v>
      </c>
      <c r="B8" s="10" t="s">
        <v>155</v>
      </c>
      <c r="C8" s="42">
        <f>'Evolutive SFP'!B37</f>
        <v>0</v>
      </c>
      <c r="D8" s="42">
        <f>'Evolutive SFP'!C37</f>
        <v>0</v>
      </c>
      <c r="E8" s="42">
        <f>'Evolutive SFP'!D37</f>
        <v>0</v>
      </c>
      <c r="F8" s="42">
        <f>'Evolutive SFP'!E37</f>
        <v>0</v>
      </c>
      <c r="G8" s="42">
        <f>'Evolutive SFP'!F37</f>
        <v>0</v>
      </c>
      <c r="H8" s="42">
        <f>'Evolutive SFP'!G37</f>
        <v>0</v>
      </c>
    </row>
    <row r="9" spans="1:8" thickBot="1">
      <c r="A9" s="10"/>
      <c r="B9" s="47" t="s">
        <v>156</v>
      </c>
      <c r="C9" s="42">
        <f>SUM('Evolutive SFP'!B32:B36)</f>
        <v>876278677</v>
      </c>
      <c r="D9" s="42">
        <f>SUM('Evolutive SFP'!C32:C36)</f>
        <v>1013615614</v>
      </c>
      <c r="E9" s="42">
        <f>SUM('Evolutive SFP'!D32:D36)</f>
        <v>1041193850</v>
      </c>
      <c r="F9" s="42">
        <f>SUM('Evolutive SFP'!E32:E36)</f>
        <v>1190443748</v>
      </c>
      <c r="G9" s="42">
        <f>SUM('Evolutive SFP'!F32:F36)</f>
        <v>1266396974.51</v>
      </c>
      <c r="H9" s="42">
        <f>SUM('Evolutive SFP'!G32:G36)</f>
        <v>1358676316.3099999</v>
      </c>
    </row>
    <row r="10" spans="1:8">
      <c r="A10" s="12">
        <v>5</v>
      </c>
      <c r="B10" s="8" t="s">
        <v>157</v>
      </c>
      <c r="C10" s="42"/>
      <c r="D10" s="42"/>
      <c r="E10" s="42"/>
      <c r="F10" s="42"/>
      <c r="G10" s="42"/>
      <c r="H10" s="42"/>
    </row>
    <row r="11" spans="1:8" s="7" customFormat="1">
      <c r="A11" s="20">
        <v>5.0999999999999996</v>
      </c>
      <c r="B11" s="8" t="s">
        <v>97</v>
      </c>
      <c r="C11" s="43">
        <f t="shared" ref="C11" si="0">C14-C22</f>
        <v>2013167975</v>
      </c>
      <c r="D11" s="43">
        <f t="shared" ref="D11:H11" si="1">D14-D22</f>
        <v>2037469386</v>
      </c>
      <c r="E11" s="43">
        <f t="shared" ref="E11:H11" si="2">E14-E22</f>
        <v>2208772917</v>
      </c>
      <c r="F11" s="43">
        <f t="shared" si="2"/>
        <v>2391539474</v>
      </c>
      <c r="G11" s="43">
        <f t="shared" si="2"/>
        <v>2370050495.1799998</v>
      </c>
      <c r="H11" s="43">
        <f t="shared" si="2"/>
        <v>2429360535.23</v>
      </c>
    </row>
    <row r="12" spans="1:8" s="7" customFormat="1">
      <c r="A12" s="20">
        <v>5.2</v>
      </c>
      <c r="B12" s="8" t="s">
        <v>158</v>
      </c>
      <c r="C12" s="43">
        <f>C11-C15</f>
        <v>1124426474</v>
      </c>
      <c r="D12" s="43">
        <f>D11-D15</f>
        <v>1099774530</v>
      </c>
      <c r="E12" s="43">
        <f t="shared" ref="E12:H12" si="3">E11-E15</f>
        <v>1222940737</v>
      </c>
      <c r="F12" s="43">
        <f t="shared" si="3"/>
        <v>1368069937</v>
      </c>
      <c r="G12" s="43">
        <f t="shared" si="3"/>
        <v>1344482138.4099998</v>
      </c>
      <c r="H12" s="43">
        <f t="shared" si="3"/>
        <v>1401842380.75</v>
      </c>
    </row>
    <row r="13" spans="1:8">
      <c r="A13" s="12"/>
      <c r="B13" s="8"/>
      <c r="C13" s="42"/>
      <c r="D13" s="42"/>
      <c r="E13" s="42"/>
      <c r="F13" s="42"/>
      <c r="G13" s="42"/>
      <c r="H13" s="42"/>
    </row>
    <row r="14" spans="1:8" s="7" customFormat="1">
      <c r="A14" s="20">
        <v>5.3</v>
      </c>
      <c r="B14" s="8" t="s">
        <v>159</v>
      </c>
      <c r="C14" s="43">
        <f t="shared" ref="C14" si="4">C15+C16+C17+C18+C19+C20+C21</f>
        <v>2013167975</v>
      </c>
      <c r="D14" s="43">
        <f t="shared" ref="D14:H14" si="5">D15+D16+D17+D18+D19+D20+D21</f>
        <v>2159369717</v>
      </c>
      <c r="E14" s="43">
        <f t="shared" ref="E14:H14" si="6">E15+E16+E17+E18+E19+E20+E21</f>
        <v>2327072779</v>
      </c>
      <c r="F14" s="43">
        <f t="shared" si="6"/>
        <v>2523078035</v>
      </c>
      <c r="G14" s="43">
        <f t="shared" si="6"/>
        <v>2501589056.1799998</v>
      </c>
      <c r="H14" s="43">
        <f t="shared" si="6"/>
        <v>2560899096.23</v>
      </c>
    </row>
    <row r="15" spans="1:8">
      <c r="A15" s="12" t="s">
        <v>160</v>
      </c>
      <c r="B15" s="13" t="s">
        <v>161</v>
      </c>
      <c r="C15" s="42">
        <f>'Evolutive SFP'!B39</f>
        <v>888741501</v>
      </c>
      <c r="D15" s="42">
        <f>'Evolutive SFP'!C39</f>
        <v>937694856</v>
      </c>
      <c r="E15" s="42">
        <f>'Evolutive SFP'!D39</f>
        <v>985832180</v>
      </c>
      <c r="F15" s="42">
        <f>'Evolutive SFP'!E39</f>
        <v>1023469537</v>
      </c>
      <c r="G15" s="42">
        <f>'Evolutive SFP'!F39</f>
        <v>1025568356.77</v>
      </c>
      <c r="H15" s="42">
        <f>'Evolutive SFP'!G39</f>
        <v>1027518154.48</v>
      </c>
    </row>
    <row r="16" spans="1:8">
      <c r="A16" s="12" t="s">
        <v>162</v>
      </c>
      <c r="B16" s="14" t="s">
        <v>163</v>
      </c>
      <c r="C16" s="42"/>
      <c r="D16" s="42"/>
      <c r="E16" s="42"/>
      <c r="F16" s="42"/>
      <c r="G16" s="42"/>
      <c r="H16" s="42"/>
    </row>
    <row r="17" spans="1:8">
      <c r="A17" s="12" t="s">
        <v>164</v>
      </c>
      <c r="B17" s="11" t="s">
        <v>165</v>
      </c>
      <c r="C17" s="42">
        <f>'Evolutive SFP'!B41</f>
        <v>452216551</v>
      </c>
      <c r="D17" s="42">
        <f>'Evolutive SFP'!C41</f>
        <v>345182891</v>
      </c>
      <c r="E17" s="42">
        <f>'Evolutive SFP'!D41</f>
        <v>549784126</v>
      </c>
      <c r="F17" s="42">
        <f>'Evolutive SFP'!E41</f>
        <v>701193835</v>
      </c>
      <c r="G17" s="42">
        <f>'Evolutive SFP'!F41</f>
        <v>740920976.23000002</v>
      </c>
      <c r="H17" s="42">
        <f>'Evolutive SFP'!G41</f>
        <v>740920976.23000002</v>
      </c>
    </row>
    <row r="18" spans="1:8">
      <c r="A18" s="12" t="s">
        <v>166</v>
      </c>
      <c r="B18" s="11" t="s">
        <v>167</v>
      </c>
      <c r="C18" s="42">
        <f>'Evolutive SFP'!B42</f>
        <v>178836162</v>
      </c>
      <c r="D18" s="42">
        <f>'Evolutive SFP'!C42</f>
        <v>204601235</v>
      </c>
      <c r="E18" s="42">
        <f>'Evolutive SFP'!D42</f>
        <v>152873456</v>
      </c>
      <c r="F18" s="42">
        <f>'Evolutive SFP'!E42</f>
        <v>41840972</v>
      </c>
      <c r="G18" s="42">
        <f>'Evolutive SFP'!F42</f>
        <v>-22872669.960000001</v>
      </c>
      <c r="H18" s="42">
        <f>'Evolutive SFP'!G42</f>
        <v>34487572.380000003</v>
      </c>
    </row>
    <row r="19" spans="1:8">
      <c r="A19" s="12" t="s">
        <v>168</v>
      </c>
      <c r="B19" s="11" t="s">
        <v>44</v>
      </c>
      <c r="C19" s="42">
        <f>'Evolutive SFP'!B43</f>
        <v>376882310</v>
      </c>
      <c r="D19" s="42">
        <f>'Evolutive SFP'!C43</f>
        <v>417802557</v>
      </c>
      <c r="E19" s="42">
        <f>'Evolutive SFP'!D43</f>
        <v>465377242</v>
      </c>
      <c r="F19" s="42">
        <f>'Evolutive SFP'!E43</f>
        <v>554487703</v>
      </c>
      <c r="G19" s="42">
        <f>'Evolutive SFP'!F43</f>
        <v>554487703.13999999</v>
      </c>
      <c r="H19" s="42">
        <f>'Evolutive SFP'!G43</f>
        <v>554487703.13999999</v>
      </c>
    </row>
    <row r="20" spans="1:8">
      <c r="A20" s="12" t="s">
        <v>169</v>
      </c>
      <c r="B20" s="11" t="s">
        <v>170</v>
      </c>
      <c r="C20" s="42">
        <f>('Evolutive SFP'!B44)</f>
        <v>116491451</v>
      </c>
      <c r="D20" s="42">
        <f>('Evolutive SFP'!C44)</f>
        <v>132187847</v>
      </c>
      <c r="E20" s="42">
        <f>('Evolutive SFP'!D44)</f>
        <v>54905913</v>
      </c>
      <c r="F20" s="42">
        <f>('Evolutive SFP'!E44)</f>
        <v>70547427</v>
      </c>
      <c r="G20" s="42">
        <f>('Evolutive SFP'!F44)</f>
        <v>71946129</v>
      </c>
      <c r="H20" s="42">
        <f>('Evolutive SFP'!G44)</f>
        <v>71946129</v>
      </c>
    </row>
    <row r="21" spans="1:8">
      <c r="A21" s="12" t="s">
        <v>171</v>
      </c>
      <c r="B21" s="15" t="s">
        <v>172</v>
      </c>
      <c r="C21" s="42">
        <f t="shared" ref="C21" si="7">C22+C23</f>
        <v>0</v>
      </c>
      <c r="D21" s="42">
        <f t="shared" ref="D21:H21" si="8">D22+D23</f>
        <v>121900331</v>
      </c>
      <c r="E21" s="42">
        <f t="shared" ref="E21:H21" si="9">E22+E23</f>
        <v>118299862</v>
      </c>
      <c r="F21" s="42">
        <f t="shared" si="9"/>
        <v>131538561</v>
      </c>
      <c r="G21" s="42">
        <f t="shared" si="9"/>
        <v>131538561</v>
      </c>
      <c r="H21" s="42">
        <f t="shared" si="9"/>
        <v>131538561</v>
      </c>
    </row>
    <row r="22" spans="1:8">
      <c r="A22" s="16" t="s">
        <v>173</v>
      </c>
      <c r="B22" s="11" t="s">
        <v>47</v>
      </c>
      <c r="C22" s="42">
        <f>'Evolutive SFP'!B46</f>
        <v>0</v>
      </c>
      <c r="D22" s="42">
        <f>'Evolutive SFP'!C46</f>
        <v>121900331</v>
      </c>
      <c r="E22" s="42">
        <f>'Evolutive SFP'!D46</f>
        <v>118299862</v>
      </c>
      <c r="F22" s="42">
        <f>'Evolutive SFP'!E46</f>
        <v>131538561</v>
      </c>
      <c r="G22" s="42">
        <f>'Evolutive SFP'!F46</f>
        <v>131538561</v>
      </c>
      <c r="H22" s="42">
        <f>'Evolutive SFP'!G46</f>
        <v>131538561</v>
      </c>
    </row>
    <row r="23" spans="1:8">
      <c r="A23" s="16" t="s">
        <v>174</v>
      </c>
      <c r="B23" s="11" t="s">
        <v>175</v>
      </c>
      <c r="C23" s="42"/>
      <c r="D23" s="42"/>
      <c r="E23" s="42"/>
      <c r="F23" s="42"/>
      <c r="G23" s="42"/>
      <c r="H23" s="42"/>
    </row>
    <row r="24" spans="1:8">
      <c r="A24" s="10"/>
      <c r="B24" s="17"/>
      <c r="C24" s="42"/>
      <c r="D24" s="42"/>
      <c r="E24" s="42"/>
      <c r="F24" s="42"/>
      <c r="G24" s="42"/>
      <c r="H24" s="42"/>
    </row>
    <row r="25" spans="1:8" s="7" customFormat="1">
      <c r="A25" s="20">
        <v>6</v>
      </c>
      <c r="B25" s="15" t="s">
        <v>176</v>
      </c>
      <c r="C25" s="43">
        <f t="shared" ref="C25" si="10">C26+C27+C28</f>
        <v>425967642</v>
      </c>
      <c r="D25" s="43">
        <f t="shared" ref="D25:H25" si="11">D26+D27+D28</f>
        <v>397200000</v>
      </c>
      <c r="E25" s="43">
        <f t="shared" ref="E25:H25" si="12">E26+E27+E28</f>
        <v>45090898</v>
      </c>
      <c r="F25" s="43">
        <f t="shared" si="12"/>
        <v>530860144</v>
      </c>
      <c r="G25" s="43">
        <f t="shared" si="12"/>
        <v>530860144</v>
      </c>
      <c r="H25" s="43">
        <f t="shared" si="12"/>
        <v>530860144</v>
      </c>
    </row>
    <row r="26" spans="1:8">
      <c r="A26" s="12">
        <v>6.1</v>
      </c>
      <c r="B26" s="11" t="s">
        <v>177</v>
      </c>
      <c r="C26" s="42">
        <f>'Evolutive SFP'!B13</f>
        <v>0</v>
      </c>
      <c r="D26" s="42">
        <f>'Evolutive SFP'!C13</f>
        <v>0</v>
      </c>
      <c r="E26" s="42">
        <f>'Evolutive SFP'!D13</f>
        <v>22545449</v>
      </c>
      <c r="F26" s="42">
        <f>'Evolutive SFP'!E13</f>
        <v>13868999</v>
      </c>
      <c r="G26" s="42">
        <f>'Evolutive SFP'!F13</f>
        <v>13868999</v>
      </c>
      <c r="H26" s="42">
        <f>'Evolutive SFP'!G13</f>
        <v>13868999</v>
      </c>
    </row>
    <row r="27" spans="1:8">
      <c r="A27" s="12">
        <v>6.2</v>
      </c>
      <c r="B27" s="11" t="s">
        <v>178</v>
      </c>
      <c r="C27" s="42">
        <f>'Evolutive SFP'!B10+'Evolutive SFP'!B13</f>
        <v>411814027</v>
      </c>
      <c r="D27" s="42">
        <f>'Evolutive SFP'!C10+'Evolutive SFP'!C13</f>
        <v>0</v>
      </c>
      <c r="E27" s="42">
        <f>'Evolutive SFP'!D10+'Evolutive SFP'!D13</f>
        <v>22545449</v>
      </c>
      <c r="F27" s="42">
        <f>'Evolutive SFP'!E10+'Evolutive SFP'!E13</f>
        <v>13868999</v>
      </c>
      <c r="G27" s="42">
        <f>'Evolutive SFP'!F10+'Evolutive SFP'!F13</f>
        <v>13868999</v>
      </c>
      <c r="H27" s="42">
        <f>'Evolutive SFP'!G10+'Evolutive SFP'!G13</f>
        <v>13868999</v>
      </c>
    </row>
    <row r="28" spans="1:8">
      <c r="A28" s="12">
        <v>6.3</v>
      </c>
      <c r="B28" s="11" t="s">
        <v>179</v>
      </c>
      <c r="C28" s="42">
        <f>'Evolutive SFP'!B11</f>
        <v>14153615</v>
      </c>
      <c r="D28" s="42">
        <f>'Evolutive SFP'!C11</f>
        <v>397200000</v>
      </c>
      <c r="E28" s="42">
        <f>'Evolutive SFP'!D11</f>
        <v>0</v>
      </c>
      <c r="F28" s="42">
        <f>'Evolutive SFP'!E11</f>
        <v>503122146</v>
      </c>
      <c r="G28" s="42">
        <f>'Evolutive SFP'!F11</f>
        <v>503122146</v>
      </c>
      <c r="H28" s="42">
        <f>'Evolutive SFP'!G11</f>
        <v>503122146</v>
      </c>
    </row>
    <row r="29" spans="1:8">
      <c r="A29" s="10"/>
      <c r="B29" s="11"/>
      <c r="C29" s="42"/>
      <c r="D29" s="42"/>
      <c r="E29" s="42"/>
      <c r="F29" s="42"/>
      <c r="G29" s="42"/>
      <c r="H29" s="42"/>
    </row>
    <row r="30" spans="1:8">
      <c r="A30" s="12">
        <v>7</v>
      </c>
      <c r="B30" s="10" t="s">
        <v>180</v>
      </c>
      <c r="C30" s="42">
        <f>'Evolutive SFP'!B14</f>
        <v>8297125538</v>
      </c>
      <c r="D30" s="42">
        <f>'Evolutive SFP'!C14</f>
        <v>8313754552</v>
      </c>
      <c r="E30" s="42">
        <f>'Evolutive SFP'!D14</f>
        <v>8241685920</v>
      </c>
      <c r="F30" s="42">
        <f>'Evolutive SFP'!E14</f>
        <v>8686477474</v>
      </c>
      <c r="G30" s="42">
        <f>'Evolutive SFP'!F14</f>
        <v>8686477474</v>
      </c>
      <c r="H30" s="42">
        <f>'Evolutive SFP'!G14</f>
        <v>8686477474</v>
      </c>
    </row>
    <row r="31" spans="1:8">
      <c r="A31" s="12">
        <v>7.1</v>
      </c>
      <c r="B31" s="10" t="s">
        <v>181</v>
      </c>
      <c r="C31" s="42">
        <f>'Evolutive SFP'!B15</f>
        <v>8320111836</v>
      </c>
      <c r="D31" s="42">
        <f>'Evolutive SFP'!C15</f>
        <v>8414359918</v>
      </c>
      <c r="E31" s="42">
        <f>'Evolutive SFP'!D15</f>
        <v>8419219143</v>
      </c>
      <c r="F31" s="42">
        <f>'Evolutive SFP'!E15</f>
        <v>8851981817</v>
      </c>
      <c r="G31" s="42">
        <f>'Evolutive SFP'!F15</f>
        <v>8851981817</v>
      </c>
      <c r="H31" s="42">
        <f>'Evolutive SFP'!G15</f>
        <v>8851981817</v>
      </c>
    </row>
    <row r="32" spans="1:8">
      <c r="A32" s="12">
        <v>7.2</v>
      </c>
      <c r="B32" s="10" t="s">
        <v>182</v>
      </c>
      <c r="C32" s="42">
        <f>'Evolutive SFP'!B16</f>
        <v>22986298</v>
      </c>
      <c r="D32" s="42">
        <f>'Evolutive SFP'!C16</f>
        <v>100605366</v>
      </c>
      <c r="E32" s="42">
        <f>'Evolutive SFP'!D16</f>
        <v>177533223</v>
      </c>
      <c r="F32" s="42">
        <f>'Evolutive SFP'!E16</f>
        <v>165504343</v>
      </c>
      <c r="G32" s="42">
        <f>'Evolutive SFP'!F16</f>
        <v>165504343</v>
      </c>
      <c r="H32" s="42">
        <f>'Evolutive SFP'!G16</f>
        <v>165504343</v>
      </c>
    </row>
    <row r="33" spans="1:8">
      <c r="A33" s="10"/>
      <c r="B33" s="10"/>
      <c r="C33" s="42"/>
      <c r="D33" s="42"/>
      <c r="E33" s="42"/>
      <c r="F33" s="42"/>
      <c r="G33" s="42"/>
      <c r="H33" s="42"/>
    </row>
    <row r="34" spans="1:8">
      <c r="A34" s="12">
        <v>8</v>
      </c>
      <c r="B34" s="10" t="s">
        <v>183</v>
      </c>
      <c r="C34" s="42">
        <f>'Evolutive SFP'!B21+'Evolutive SFP'!B7</f>
        <v>87283665</v>
      </c>
      <c r="D34" s="42">
        <f>'Evolutive SFP'!C21+'Evolutive SFP'!C7</f>
        <v>142278687</v>
      </c>
      <c r="E34" s="42">
        <f>'Evolutive SFP'!D21+'Evolutive SFP'!D7</f>
        <v>79604796</v>
      </c>
      <c r="F34" s="42">
        <f>'Evolutive SFP'!E21+'Evolutive SFP'!E7</f>
        <v>96902607</v>
      </c>
      <c r="G34" s="42">
        <f>'Evolutive SFP'!F21+'Evolutive SFP'!F7</f>
        <v>96902607</v>
      </c>
      <c r="H34" s="42">
        <f>'Evolutive SFP'!G21+'Evolutive SFP'!G7</f>
        <v>96902607</v>
      </c>
    </row>
    <row r="35" spans="1:8">
      <c r="A35" s="12">
        <v>8.1</v>
      </c>
      <c r="B35" s="10" t="s">
        <v>24</v>
      </c>
      <c r="C35" s="42">
        <f>'Evolutive SFP'!B23</f>
        <v>10067211</v>
      </c>
      <c r="D35" s="42">
        <f>'Evolutive SFP'!C23</f>
        <v>9366513</v>
      </c>
      <c r="E35" s="42">
        <f>'Evolutive SFP'!D23</f>
        <v>8550088</v>
      </c>
      <c r="F35" s="42">
        <f>'Evolutive SFP'!E23</f>
        <v>0</v>
      </c>
      <c r="G35" s="42">
        <f>'Evolutive SFP'!F23</f>
        <v>0</v>
      </c>
      <c r="H35" s="42">
        <f>'Evolutive SFP'!G23</f>
        <v>0</v>
      </c>
    </row>
    <row r="36" spans="1:8">
      <c r="A36" s="8"/>
      <c r="B36" s="97" t="s">
        <v>184</v>
      </c>
      <c r="C36" s="42">
        <f>'Evolutive SFP'!B4</f>
        <v>3387311998</v>
      </c>
      <c r="D36" s="42">
        <f>'Evolutive SFP'!C4</f>
        <v>3991429849</v>
      </c>
      <c r="E36" s="42">
        <f>'Evolutive SFP'!D4</f>
        <v>5290319261</v>
      </c>
      <c r="F36" s="42">
        <f>'Evolutive SFP'!E4</f>
        <v>5829694681</v>
      </c>
      <c r="G36" s="42">
        <f>'Evolutive SFP'!F4</f>
        <v>5829694682</v>
      </c>
      <c r="H36" s="42">
        <f>'Evolutive SFP'!G4</f>
        <v>5829694683</v>
      </c>
    </row>
    <row r="37" spans="1:8">
      <c r="A37" s="12">
        <v>9</v>
      </c>
      <c r="B37" s="10" t="s">
        <v>137</v>
      </c>
      <c r="C37" s="42">
        <f>'Evolutitve SCI'!B3</f>
        <v>1382591516</v>
      </c>
      <c r="D37" s="42">
        <f>'Evolutitve SCI'!C3</f>
        <v>1519207861</v>
      </c>
      <c r="E37" s="42">
        <f>'Evolutitve SCI'!D3</f>
        <v>1612162599</v>
      </c>
      <c r="F37" s="42">
        <f>'Evolutitve SCI'!E3</f>
        <v>1732727468</v>
      </c>
      <c r="G37" s="42">
        <f>'Evolutitve SCI'!F3</f>
        <v>62269618.149999999</v>
      </c>
      <c r="H37" s="42">
        <f>'Evolutitve SCI'!G3</f>
        <v>124453499.60000001</v>
      </c>
    </row>
    <row r="38" spans="1:8">
      <c r="A38" s="10">
        <v>9.1</v>
      </c>
      <c r="B38" s="10" t="s">
        <v>185</v>
      </c>
      <c r="C38" s="42">
        <f>'Evolutitve SCI'!B5</f>
        <v>1091195937</v>
      </c>
      <c r="D38" s="42">
        <f>'Evolutitve SCI'!C5</f>
        <v>1149461775</v>
      </c>
      <c r="E38" s="42">
        <f>'Evolutitve SCI'!D5</f>
        <v>1133667494</v>
      </c>
      <c r="F38" s="42">
        <f>'Evolutitve SCI'!E5</f>
        <v>1172851375</v>
      </c>
      <c r="G38" s="42">
        <f>'Evolutitve SCI'!F5</f>
        <v>46083977.75</v>
      </c>
      <c r="H38" s="42">
        <f>'Evolutitve SCI'!G5</f>
        <v>93927488.930000007</v>
      </c>
    </row>
    <row r="39" spans="1:8">
      <c r="A39" s="10">
        <v>9.1999999999999993</v>
      </c>
      <c r="B39" s="10" t="s">
        <v>186</v>
      </c>
      <c r="C39" s="42">
        <f>'Evolutitve SCI'!B7</f>
        <v>282491435</v>
      </c>
      <c r="D39" s="42">
        <f>'Evolutitve SCI'!C7</f>
        <v>359933161</v>
      </c>
      <c r="E39" s="42">
        <f>'Evolutitve SCI'!D7</f>
        <v>468375793</v>
      </c>
      <c r="F39" s="42">
        <f>'Evolutitve SCI'!E7</f>
        <v>547295706</v>
      </c>
      <c r="G39" s="42">
        <f>'Evolutitve SCI'!F7</f>
        <v>12547277.26</v>
      </c>
      <c r="H39" s="42">
        <f>'Evolutitve SCI'!G7</f>
        <v>24063109.75</v>
      </c>
    </row>
    <row r="40" spans="1:8">
      <c r="A40" s="10">
        <v>9.3000000000000007</v>
      </c>
      <c r="B40" s="10" t="s">
        <v>187</v>
      </c>
      <c r="C40" s="42">
        <f>'Evolutitve SCI'!B6</f>
        <v>8904144</v>
      </c>
      <c r="D40" s="42">
        <f>'Evolutitve SCI'!C6</f>
        <v>9812925</v>
      </c>
      <c r="E40" s="42">
        <f>'Evolutitve SCI'!D6</f>
        <v>10119312</v>
      </c>
      <c r="F40" s="42">
        <f>'Evolutitve SCI'!E6</f>
        <v>12580387</v>
      </c>
      <c r="G40" s="42">
        <f>'Evolutitve SCI'!F6</f>
        <v>3638363.14</v>
      </c>
      <c r="H40" s="42">
        <f>'Evolutitve SCI'!G6</f>
        <v>6462900.9199999999</v>
      </c>
    </row>
    <row r="41" spans="1:8">
      <c r="A41" s="10">
        <v>9.4</v>
      </c>
      <c r="B41" s="10" t="s">
        <v>188</v>
      </c>
      <c r="C41" s="26">
        <f>'Evolutitve SCI'!B5/'Evolutive SFP'!B15</f>
        <v>0.13115159489546074</v>
      </c>
      <c r="D41" s="26">
        <f>'Evolutitve SCI'!C5/'Evolutive SFP'!C15</f>
        <v>0.13660715564841375</v>
      </c>
      <c r="E41" s="26">
        <f>'Evolutitve SCI'!D5/'Evolutive SFP'!D15</f>
        <v>0.13465233232972279</v>
      </c>
      <c r="F41" s="26">
        <f>'Evolutitve SCI'!E5/'Evolutive SFP'!E15</f>
        <v>0.13249590874074882</v>
      </c>
      <c r="G41" s="26">
        <f>'Evolutitve SCI'!F5/'Evolutive SFP'!F15</f>
        <v>5.2060633090656519E-3</v>
      </c>
      <c r="H41" s="26">
        <f>'Evolutitve SCI'!G5/'Evolutive SFP'!G15</f>
        <v>1.0610899442836035E-2</v>
      </c>
    </row>
    <row r="42" spans="1:8">
      <c r="A42" s="10"/>
      <c r="B42" s="10"/>
      <c r="C42" s="42"/>
      <c r="D42" s="42"/>
      <c r="E42" s="42"/>
      <c r="F42" s="42"/>
      <c r="G42" s="42"/>
      <c r="H42" s="42"/>
    </row>
    <row r="43" spans="1:8">
      <c r="A43" s="12">
        <v>10</v>
      </c>
      <c r="B43" s="18" t="s">
        <v>189</v>
      </c>
      <c r="C43" s="43">
        <f t="shared" ref="C43:H43" si="13">SUM(C44:C47)</f>
        <v>1010001131</v>
      </c>
      <c r="D43" s="43">
        <f t="shared" si="13"/>
        <v>1127097612</v>
      </c>
      <c r="E43" s="43">
        <f t="shared" si="13"/>
        <v>1219835746</v>
      </c>
      <c r="F43" s="43">
        <f t="shared" si="13"/>
        <v>1356515836</v>
      </c>
      <c r="G43" s="43">
        <f t="shared" si="13"/>
        <v>43121057.689999998</v>
      </c>
      <c r="H43" s="43">
        <f t="shared" si="13"/>
        <v>84947270.400000006</v>
      </c>
    </row>
    <row r="44" spans="1:8">
      <c r="A44" s="10">
        <v>10.1</v>
      </c>
      <c r="B44" s="10" t="s">
        <v>190</v>
      </c>
      <c r="C44" s="42">
        <f>'Evolutitve SCI'!B13</f>
        <v>753948946</v>
      </c>
      <c r="D44" s="42">
        <f>'Evolutitve SCI'!C13</f>
        <v>901581980</v>
      </c>
      <c r="E44" s="42">
        <f>'Evolutitve SCI'!D13</f>
        <v>973128864</v>
      </c>
      <c r="F44" s="42">
        <f>'Evolutitve SCI'!E13</f>
        <v>1073121422</v>
      </c>
      <c r="G44" s="42">
        <f>'Evolutitve SCI'!F13</f>
        <v>8094950.2800000003</v>
      </c>
      <c r="H44" s="42">
        <f>'Evolutitve SCI'!G13</f>
        <v>15691200.5</v>
      </c>
    </row>
    <row r="45" spans="1:8">
      <c r="A45" s="10">
        <v>10.199999999999999</v>
      </c>
      <c r="B45" s="10" t="s">
        <v>191</v>
      </c>
      <c r="C45" s="42">
        <f>'Evolutitve SCI'!B15</f>
        <v>0</v>
      </c>
      <c r="D45" s="42">
        <f>'Evolutitve SCI'!C15</f>
        <v>0</v>
      </c>
      <c r="E45" s="42">
        <f>'Evolutitve SCI'!D15</f>
        <v>0</v>
      </c>
      <c r="F45" s="42">
        <f>'Evolutitve SCI'!E15</f>
        <v>0</v>
      </c>
      <c r="G45" s="42">
        <f>'Evolutitve SCI'!F15</f>
        <v>0</v>
      </c>
      <c r="H45" s="42">
        <f>'Evolutitve SCI'!G15</f>
        <v>0</v>
      </c>
    </row>
    <row r="46" spans="1:8">
      <c r="A46" s="10">
        <v>10.3</v>
      </c>
      <c r="B46" s="10" t="s">
        <v>192</v>
      </c>
      <c r="C46" s="42">
        <f>'Evolutitve SCI'!B14</f>
        <v>0</v>
      </c>
      <c r="D46" s="42">
        <f>'Evolutitve SCI'!C14</f>
        <v>0</v>
      </c>
      <c r="E46" s="42">
        <f>'Evolutitve SCI'!D14</f>
        <v>0</v>
      </c>
      <c r="F46" s="42">
        <f>'Evolutitve SCI'!E14</f>
        <v>0</v>
      </c>
      <c r="G46" s="42">
        <f>'Evolutitve SCI'!F14</f>
        <v>0</v>
      </c>
      <c r="H46" s="42">
        <f>'Evolutitve SCI'!G14</f>
        <v>0</v>
      </c>
    </row>
    <row r="47" spans="1:8">
      <c r="A47" s="10">
        <v>10.4</v>
      </c>
      <c r="B47" s="10" t="s">
        <v>193</v>
      </c>
      <c r="C47" s="42">
        <f>'Evolutitve SCI'!B23</f>
        <v>256052185</v>
      </c>
      <c r="D47" s="42">
        <f>'Evolutitve SCI'!C23</f>
        <v>225515632</v>
      </c>
      <c r="E47" s="42">
        <f>'Evolutitve SCI'!D23</f>
        <v>246706882</v>
      </c>
      <c r="F47" s="42">
        <f>'Evolutitve SCI'!E23</f>
        <v>283394414</v>
      </c>
      <c r="G47" s="42">
        <f>'Evolutitve SCI'!F23</f>
        <v>35026107.409999996</v>
      </c>
      <c r="H47" s="42">
        <f>'Evolutitve SCI'!G23</f>
        <v>69256069.900000006</v>
      </c>
    </row>
    <row r="48" spans="1:8"/>
    <row r="50" spans="2:2" ht="15.75">
      <c r="B50" s="107"/>
    </row>
    <row r="51" spans="2:2">
      <c r="B51" s="108"/>
    </row>
    <row r="52" spans="2:2">
      <c r="B52" s="108"/>
    </row>
    <row r="53" spans="2:2">
      <c r="B53" s="108"/>
    </row>
    <row r="54" spans="2:2">
      <c r="B54" s="108"/>
    </row>
    <row r="55" spans="2:2">
      <c r="B55" s="108"/>
    </row>
    <row r="56" spans="2:2">
      <c r="B56" s="108"/>
    </row>
    <row r="57" spans="2:2">
      <c r="B57" s="108"/>
    </row>
    <row r="58" spans="2:2">
      <c r="B58" s="108"/>
    </row>
    <row r="59" spans="2:2">
      <c r="B59" s="108"/>
    </row>
    <row r="60" spans="2:2">
      <c r="B60" s="1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63"/>
  <sheetViews>
    <sheetView zoomScale="86" zoomScaleNormal="86" zoomScaleSheetLayoutView="100" workbookViewId="0">
      <pane xSplit="3" topLeftCell="D1" activePane="topRight" state="frozen"/>
      <selection pane="topRight" activeCell="K7" sqref="K7"/>
    </sheetView>
  </sheetViews>
  <sheetFormatPr defaultColWidth="9.140625" defaultRowHeight="12.75" customHeight="1"/>
  <cols>
    <col min="1" max="1" width="34" style="50" customWidth="1"/>
    <col min="2" max="2" width="10.42578125" style="49" bestFit="1" customWidth="1"/>
    <col min="3" max="3" width="5.85546875" style="50" bestFit="1" customWidth="1"/>
    <col min="4" max="4" width="12.85546875" style="50" customWidth="1"/>
    <col min="5" max="16384" width="9.140625" style="50"/>
  </cols>
  <sheetData>
    <row r="1" spans="1:9">
      <c r="A1" s="48" t="s">
        <v>194</v>
      </c>
    </row>
    <row r="2" spans="1:9">
      <c r="A2" s="51"/>
    </row>
    <row r="3" spans="1:9" s="51" customFormat="1" ht="15" customHeight="1">
      <c r="A3" s="52"/>
      <c r="B3" s="53"/>
      <c r="C3" s="54"/>
    </row>
    <row r="4" spans="1:9" s="51" customFormat="1" ht="31.5">
      <c r="A4" s="55" t="s">
        <v>195</v>
      </c>
      <c r="B4" s="56" t="s">
        <v>196</v>
      </c>
      <c r="C4" s="57" t="s">
        <v>197</v>
      </c>
      <c r="D4" s="58" t="s">
        <v>94</v>
      </c>
      <c r="E4" s="58" t="s">
        <v>95</v>
      </c>
      <c r="F4" s="58" t="s">
        <v>2</v>
      </c>
      <c r="G4" s="58" t="s">
        <v>3</v>
      </c>
      <c r="H4" s="58" t="s">
        <v>151</v>
      </c>
      <c r="I4" s="58">
        <v>45139</v>
      </c>
    </row>
    <row r="5" spans="1:9" s="51" customFormat="1">
      <c r="A5" s="59" t="s">
        <v>198</v>
      </c>
      <c r="B5" s="60"/>
      <c r="C5" s="61"/>
    </row>
    <row r="6" spans="1:9" s="51" customFormat="1">
      <c r="A6" s="63" t="s">
        <v>199</v>
      </c>
      <c r="B6" s="64" t="s">
        <v>200</v>
      </c>
      <c r="C6" s="65" t="s">
        <v>201</v>
      </c>
      <c r="D6" s="66">
        <f>Financials!C11/1000000</f>
        <v>2013.1679750000001</v>
      </c>
      <c r="E6" s="66">
        <f>Financials!D11/1000000</f>
        <v>2037.469386</v>
      </c>
      <c r="F6" s="66">
        <f>Financials!E11/1000000</f>
        <v>2208.7729169999998</v>
      </c>
      <c r="G6" s="66">
        <f>Financials!F11/1000000</f>
        <v>2391.5394740000002</v>
      </c>
      <c r="H6" s="66">
        <f>Financials!G11/1000000</f>
        <v>2370.0504951799999</v>
      </c>
      <c r="I6" s="66">
        <f>Financials!H11/1000000</f>
        <v>2429.3605352300001</v>
      </c>
    </row>
    <row r="7" spans="1:9" s="51" customFormat="1">
      <c r="A7" s="63" t="s">
        <v>202</v>
      </c>
      <c r="B7" s="64" t="s">
        <v>203</v>
      </c>
      <c r="C7" s="65" t="s">
        <v>204</v>
      </c>
      <c r="D7" s="67">
        <f>Financials!C11/Financials!C4</f>
        <v>0.16504503442513335</v>
      </c>
      <c r="E7" s="67">
        <f>Financials!D11/Financials!D4</f>
        <v>0.15834050633469321</v>
      </c>
      <c r="F7" s="67">
        <f>Financials!E11/Financials!E4</f>
        <v>0.1568288993276381</v>
      </c>
      <c r="G7" s="67">
        <f>Financials!F11/Financials!F4</f>
        <v>0.15782839431128451</v>
      </c>
      <c r="H7" s="67">
        <f>Financials!G11/Financials!G4</f>
        <v>0.15641024040493764</v>
      </c>
      <c r="I7" s="67">
        <f>Financials!H11/Financials!H4</f>
        <v>0.1603243754060428</v>
      </c>
    </row>
    <row r="8" spans="1:9" s="51" customFormat="1">
      <c r="A8" s="63" t="s">
        <v>205</v>
      </c>
      <c r="B8" s="64" t="s">
        <v>206</v>
      </c>
      <c r="C8" s="65" t="s">
        <v>207</v>
      </c>
      <c r="D8" s="67">
        <f>Financials!C11/Financials!C5</f>
        <v>0.21627799684485863</v>
      </c>
      <c r="E8" s="67">
        <f>Financials!D11/Financials!D5</f>
        <v>0.21009732598351077</v>
      </c>
      <c r="F8" s="67">
        <f>Financials!E11/Financials!E5</f>
        <v>0.20615018840113142</v>
      </c>
      <c r="G8" s="67">
        <f>Financials!F11/Financials!F5</f>
        <v>0.20908971292498926</v>
      </c>
      <c r="H8" s="67">
        <f>Financials!G11/Financials!G5</f>
        <v>0.2067241250255363</v>
      </c>
      <c r="I8" s="67">
        <f>Financials!H11/Financials!H5</f>
        <v>0.20947204941907632</v>
      </c>
    </row>
    <row r="9" spans="1:9" s="51" customFormat="1">
      <c r="A9" s="68" t="s">
        <v>208</v>
      </c>
      <c r="B9" s="64" t="s">
        <v>209</v>
      </c>
      <c r="C9" s="65" t="s">
        <v>210</v>
      </c>
      <c r="D9" s="67">
        <f>Financials!C15/Financials!C4</f>
        <v>7.2861466826974378E-2</v>
      </c>
      <c r="E9" s="67">
        <f>Financials!D15/Financials!D4</f>
        <v>7.2872298993393189E-2</v>
      </c>
      <c r="F9" s="67">
        <f>Financials!E15/Financials!E4</f>
        <v>6.9996772652010028E-2</v>
      </c>
      <c r="G9" s="67">
        <f>Financials!F15/Financials!F4</f>
        <v>6.7543335749775626E-2</v>
      </c>
      <c r="H9" s="67">
        <f>Financials!G15/Financials!G4</f>
        <v>6.7681846256153227E-2</v>
      </c>
      <c r="I9" s="67">
        <f>Financials!H15/Financials!H4</f>
        <v>6.781052212975848E-2</v>
      </c>
    </row>
    <row r="10" spans="1:9" s="51" customFormat="1">
      <c r="A10" s="68" t="s">
        <v>211</v>
      </c>
      <c r="B10" s="64" t="s">
        <v>206</v>
      </c>
      <c r="C10" s="65" t="s">
        <v>210</v>
      </c>
      <c r="D10" s="67">
        <f>Financials!C12/Financials!C4</f>
        <v>9.2183567598158975E-2</v>
      </c>
      <c r="E10" s="67">
        <f>Financials!D12/Financials!D4</f>
        <v>8.5468207341300034E-2</v>
      </c>
      <c r="F10" s="67">
        <f>Financials!E12/Financials!E4</f>
        <v>8.6832126675628077E-2</v>
      </c>
      <c r="G10" s="67">
        <f>Financials!F12/Financials!F4</f>
        <v>9.0285058561508882E-2</v>
      </c>
      <c r="H10" s="67">
        <f>Financials!G12/Financials!G4</f>
        <v>8.8728394148784431E-2</v>
      </c>
      <c r="I10" s="67">
        <f>Financials!H12/Financials!H4</f>
        <v>9.2513853276284336E-2</v>
      </c>
    </row>
    <row r="11" spans="1:9" s="51" customFormat="1">
      <c r="A11" s="63"/>
      <c r="B11" s="69"/>
      <c r="C11" s="70"/>
      <c r="D11" s="67"/>
      <c r="E11" s="67"/>
      <c r="F11" s="67"/>
      <c r="G11" s="67"/>
      <c r="H11" s="67"/>
      <c r="I11" s="67"/>
    </row>
    <row r="12" spans="1:9" s="51" customFormat="1">
      <c r="A12" s="59" t="s">
        <v>212</v>
      </c>
      <c r="B12" s="60"/>
      <c r="C12" s="61"/>
      <c r="D12" s="62"/>
      <c r="E12" s="62"/>
      <c r="F12" s="62"/>
      <c r="G12" s="62"/>
      <c r="H12" s="62"/>
      <c r="I12" s="62"/>
    </row>
    <row r="13" spans="1:9" s="51" customFormat="1">
      <c r="A13" s="59" t="s">
        <v>213</v>
      </c>
      <c r="B13" s="60"/>
      <c r="C13" s="61"/>
      <c r="D13" s="62"/>
      <c r="E13" s="62"/>
      <c r="F13" s="62"/>
      <c r="G13" s="62"/>
      <c r="H13" s="62"/>
      <c r="I13" s="62"/>
    </row>
    <row r="14" spans="1:9" s="51" customFormat="1">
      <c r="A14" s="68" t="s">
        <v>214</v>
      </c>
      <c r="B14" s="64" t="s">
        <v>215</v>
      </c>
      <c r="C14" s="65">
        <v>48.1</v>
      </c>
      <c r="D14" s="67">
        <f>('Evolutive SFP'!B7+'Evolutive SFP'!B17+'Evolutive SFP'!B21)/'Evolutive SFP'!B27</f>
        <v>7.1557543501439853E-3</v>
      </c>
      <c r="E14" s="67">
        <f>('Evolutive SFP'!C7+'Evolutive SFP'!C17+'Evolutive SFP'!C21)/'Evolutive SFP'!C27</f>
        <v>1.1057088511373261E-2</v>
      </c>
      <c r="F14" s="67">
        <f>('Evolutive SFP'!D7+'Evolutive SFP'!D17+'Evolutive SFP'!D21)/'Evolutive SFP'!D27</f>
        <v>5.6521575585224224E-3</v>
      </c>
      <c r="G14" s="67">
        <f>('Evolutive SFP'!E7+'Evolutive SFP'!E17+'Evolutive SFP'!E21)/'Evolutive SFP'!E27</f>
        <v>6.395036767596101E-3</v>
      </c>
      <c r="H14" s="67">
        <f>('Evolutive SFP'!F7+'Evolutive SFP'!F17+'Evolutive SFP'!F21)/'Evolutive SFP'!F27</f>
        <v>6.3950367671740636E-3</v>
      </c>
      <c r="I14" s="67">
        <f>('Evolutive SFP'!G7+'Evolutive SFP'!G17+'Evolutive SFP'!G21)/'Evolutive SFP'!G27</f>
        <v>6.3950367667520262E-3</v>
      </c>
    </row>
    <row r="15" spans="1:9" s="51" customFormat="1">
      <c r="A15" s="63" t="s">
        <v>216</v>
      </c>
      <c r="B15" s="64" t="s">
        <v>217</v>
      </c>
      <c r="C15" s="65">
        <v>48.1</v>
      </c>
      <c r="D15" s="67">
        <f>Financials!C35/Financials!C4</f>
        <v>8.2533758071533063E-4</v>
      </c>
      <c r="E15" s="67">
        <f>Financials!D35/Financials!D4</f>
        <v>7.2791199769736638E-4</v>
      </c>
      <c r="F15" s="67">
        <f>Financials!E35/Financials!E4</f>
        <v>6.0707955981988647E-4</v>
      </c>
      <c r="G15" s="67">
        <f>Financials!F35/Financials!F4</f>
        <v>0</v>
      </c>
      <c r="H15" s="67">
        <f>Financials!G35/Financials!G4</f>
        <v>0</v>
      </c>
      <c r="I15" s="67">
        <f>Financials!H35/Financials!H4</f>
        <v>0</v>
      </c>
    </row>
    <row r="16" spans="1:9" s="51" customFormat="1">
      <c r="A16" s="63" t="s">
        <v>218</v>
      </c>
      <c r="B16" s="64" t="s">
        <v>219</v>
      </c>
      <c r="C16" s="65">
        <v>41</v>
      </c>
      <c r="D16" s="71"/>
      <c r="E16" s="71"/>
      <c r="F16" s="71"/>
      <c r="G16" s="71"/>
      <c r="H16" s="71"/>
      <c r="I16" s="71"/>
    </row>
    <row r="17" spans="1:9" s="51" customFormat="1">
      <c r="A17" s="63"/>
      <c r="B17" s="64"/>
      <c r="C17" s="65"/>
      <c r="D17" s="67"/>
      <c r="E17" s="67"/>
      <c r="F17" s="67"/>
      <c r="G17" s="67"/>
      <c r="H17" s="67"/>
      <c r="I17" s="67"/>
    </row>
    <row r="18" spans="1:9" s="51" customFormat="1">
      <c r="A18" s="59" t="s">
        <v>220</v>
      </c>
      <c r="B18" s="64"/>
      <c r="C18" s="65"/>
      <c r="D18" s="67"/>
      <c r="E18" s="67"/>
      <c r="F18" s="67"/>
      <c r="G18" s="67"/>
      <c r="H18" s="67"/>
      <c r="I18" s="67"/>
    </row>
    <row r="19" spans="1:9" s="51" customFormat="1">
      <c r="A19" s="63" t="s">
        <v>221</v>
      </c>
      <c r="B19" s="64" t="s">
        <v>217</v>
      </c>
      <c r="C19" s="65">
        <v>48.4</v>
      </c>
      <c r="D19" s="67">
        <f>Financials!C25/Financials!C5</f>
        <v>4.5762414997927769E-2</v>
      </c>
      <c r="E19" s="67">
        <f>Financials!D25/Financials!D5</f>
        <v>4.0957993506092596E-2</v>
      </c>
      <c r="F19" s="67">
        <f>Financials!E25/Financials!E5</f>
        <v>4.2084439945512964E-3</v>
      </c>
      <c r="G19" s="67">
        <f>Financials!F25/Financials!F5</f>
        <v>4.6412528966803271E-2</v>
      </c>
      <c r="H19" s="67">
        <f>Financials!G25/Financials!G5</f>
        <v>4.6303485517508174E-2</v>
      </c>
      <c r="I19" s="67">
        <f>Financials!H25/Financials!H5</f>
        <v>4.5773511467723772E-2</v>
      </c>
    </row>
    <row r="20" spans="1:9" s="51" customFormat="1">
      <c r="A20" s="63" t="s">
        <v>222</v>
      </c>
      <c r="B20" s="64" t="s">
        <v>223</v>
      </c>
      <c r="C20" s="65">
        <v>48.4</v>
      </c>
      <c r="D20" s="67">
        <f>Financials!C25/Financials!C11</f>
        <v>0.2115907104075605</v>
      </c>
      <c r="E20" s="67">
        <f>Financials!D25/Financials!D11</f>
        <v>0.1949477144193027</v>
      </c>
      <c r="F20" s="67">
        <f>Financials!E25/Financials!E11</f>
        <v>2.0414456213653401E-2</v>
      </c>
      <c r="G20" s="67">
        <f>Financials!F25/Financials!F11</f>
        <v>0.22197423449260617</v>
      </c>
      <c r="H20" s="67">
        <f>Financials!G25/Financials!G11</f>
        <v>0.22398684968088936</v>
      </c>
      <c r="I20" s="67">
        <f>Financials!H25/Financials!H11</f>
        <v>0.21851846866761618</v>
      </c>
    </row>
    <row r="21" spans="1:9" s="51" customFormat="1">
      <c r="A21" s="68" t="s">
        <v>224</v>
      </c>
      <c r="B21" s="72" t="s">
        <v>225</v>
      </c>
      <c r="C21" s="73"/>
      <c r="D21" s="67">
        <f>Financials!C30/Financials!C4</f>
        <v>0.68022111768833549</v>
      </c>
      <c r="E21" s="67">
        <f>Financials!D30/Financials!D4</f>
        <v>0.64609761223967688</v>
      </c>
      <c r="F21" s="67">
        <f>Financials!E30/Financials!E4</f>
        <v>0.58518217128143668</v>
      </c>
      <c r="G21" s="67">
        <f>Financials!F30/Financials!F4</f>
        <v>0.57325952878775799</v>
      </c>
      <c r="H21" s="67">
        <f>Financials!G30/Financials!G4</f>
        <v>0.57325952874992603</v>
      </c>
      <c r="I21" s="67">
        <f>Financials!H30/Financials!H4</f>
        <v>0.57325952871209407</v>
      </c>
    </row>
    <row r="22" spans="1:9" s="51" customFormat="1">
      <c r="A22" s="59"/>
      <c r="B22" s="60"/>
      <c r="C22" s="61"/>
      <c r="D22" s="62"/>
      <c r="E22" s="62"/>
      <c r="F22" s="62"/>
      <c r="G22" s="62"/>
      <c r="H22" s="62"/>
      <c r="I22" s="62"/>
    </row>
    <row r="23" spans="1:9" s="51" customFormat="1">
      <c r="A23" s="59" t="s">
        <v>127</v>
      </c>
      <c r="B23" s="60"/>
      <c r="C23" s="61"/>
      <c r="D23" s="74"/>
      <c r="E23" s="74"/>
      <c r="F23" s="74"/>
      <c r="G23" s="74"/>
      <c r="H23" s="74"/>
      <c r="I23" s="74"/>
    </row>
    <row r="24" spans="1:9" s="51" customFormat="1">
      <c r="A24" s="68" t="s">
        <v>128</v>
      </c>
      <c r="B24" s="72" t="s">
        <v>225</v>
      </c>
      <c r="C24" s="75"/>
      <c r="D24" s="67">
        <f>Financials!C5/Financials!C4</f>
        <v>0.76311523517357194</v>
      </c>
      <c r="E24" s="67">
        <f>Financials!D5/Financials!D4</f>
        <v>0.75365312525262884</v>
      </c>
      <c r="F24" s="67">
        <f>Financials!E5/Financials!E4</f>
        <v>0.76075069610160673</v>
      </c>
      <c r="G24" s="67">
        <f>Financials!F5/Financials!F4</f>
        <v>0.75483576931355445</v>
      </c>
      <c r="H24" s="67">
        <f>Financials!G5/Financials!G4</f>
        <v>0.75661338697462888</v>
      </c>
      <c r="I24" s="67">
        <f>Financials!H5/Financials!H4</f>
        <v>0.76537359447557063</v>
      </c>
    </row>
    <row r="25" spans="1:9" s="51" customFormat="1">
      <c r="A25" s="76" t="s">
        <v>129</v>
      </c>
      <c r="B25" s="77" t="s">
        <v>225</v>
      </c>
      <c r="C25" s="78"/>
      <c r="D25" s="79">
        <f>Financials!C6/Financials!C4</f>
        <v>0.70520112569820204</v>
      </c>
      <c r="E25" s="79">
        <f>Financials!D6/Financials!D4</f>
        <v>5.5657771921784935E-2</v>
      </c>
      <c r="F25" s="79">
        <f>Financials!E6/Financials!E4</f>
        <v>6.5403170175941369E-2</v>
      </c>
      <c r="G25" s="79">
        <f>Financials!F6/Financials!F4</f>
        <v>0.68945251307704891</v>
      </c>
      <c r="H25" s="79">
        <f>Financials!G6/Financials!G4</f>
        <v>0.69250015299548862</v>
      </c>
      <c r="I25" s="79">
        <f>Financials!H6/Financials!H4</f>
        <v>0.69880144028833613</v>
      </c>
    </row>
    <row r="26" spans="1:9" s="51" customFormat="1">
      <c r="A26" s="76" t="s">
        <v>130</v>
      </c>
      <c r="B26" s="77" t="s">
        <v>225</v>
      </c>
      <c r="C26" s="78"/>
      <c r="D26" s="79">
        <f>Financials!C7/Financials!C4</f>
        <v>5.7914109475369902E-2</v>
      </c>
      <c r="E26" s="79">
        <f>Financials!D7/Financials!D4</f>
        <v>0.69799535333084384</v>
      </c>
      <c r="F26" s="79">
        <f>Financials!E7/Financials!E4</f>
        <v>0.6953475259256654</v>
      </c>
      <c r="G26" s="79">
        <f>Financials!F7/Financials!F4</f>
        <v>6.5383256236505496E-2</v>
      </c>
      <c r="H26" s="79">
        <f>Financials!G7/Financials!G4</f>
        <v>6.4113233979140344E-2</v>
      </c>
      <c r="I26" s="79">
        <f>Financials!H7/Financials!H4</f>
        <v>6.6572154187234472E-2</v>
      </c>
    </row>
    <row r="27" spans="1:9" s="51" customFormat="1">
      <c r="A27" s="68" t="s">
        <v>226</v>
      </c>
      <c r="B27" s="64" t="s">
        <v>227</v>
      </c>
      <c r="C27" s="65">
        <v>35.1</v>
      </c>
      <c r="D27" s="67">
        <f>Financials!C8/Financials!C4</f>
        <v>0</v>
      </c>
      <c r="E27" s="67">
        <f>Financials!D8/Financials!D4</f>
        <v>0</v>
      </c>
      <c r="F27" s="67">
        <f>Financials!E8/Financials!E4</f>
        <v>0</v>
      </c>
      <c r="G27" s="67">
        <f>Financials!F8/Financials!F4</f>
        <v>0</v>
      </c>
      <c r="H27" s="67">
        <f>Financials!G8/Financials!G4</f>
        <v>0</v>
      </c>
      <c r="I27" s="67">
        <f>Financials!H8/Financials!H4</f>
        <v>0</v>
      </c>
    </row>
    <row r="28" spans="1:9" s="51" customFormat="1">
      <c r="A28" s="63"/>
      <c r="B28" s="80"/>
      <c r="C28" s="73"/>
      <c r="D28" s="62"/>
      <c r="E28" s="62"/>
      <c r="F28" s="62"/>
      <c r="G28" s="62"/>
      <c r="H28" s="62"/>
      <c r="I28" s="62"/>
    </row>
    <row r="29" spans="1:9" s="51" customFormat="1">
      <c r="A29" s="59" t="s">
        <v>228</v>
      </c>
      <c r="B29" s="60"/>
      <c r="C29" s="61"/>
      <c r="D29" s="74"/>
      <c r="E29" s="74"/>
      <c r="F29" s="74"/>
      <c r="G29" s="74"/>
      <c r="H29" s="74"/>
      <c r="I29" s="74"/>
    </row>
    <row r="30" spans="1:9">
      <c r="A30" s="68" t="s">
        <v>28</v>
      </c>
      <c r="B30" s="72" t="s">
        <v>225</v>
      </c>
      <c r="C30" s="75"/>
      <c r="D30" s="126"/>
      <c r="E30" s="126"/>
      <c r="F30" s="126"/>
      <c r="G30" s="126"/>
      <c r="H30" s="126"/>
      <c r="I30" s="126"/>
    </row>
    <row r="31" spans="1:9">
      <c r="A31" s="68" t="s">
        <v>132</v>
      </c>
      <c r="B31" s="72" t="s">
        <v>225</v>
      </c>
      <c r="C31" s="75"/>
      <c r="D31" s="126"/>
      <c r="E31" s="126"/>
      <c r="F31" s="126"/>
      <c r="G31" s="126"/>
      <c r="H31" s="126"/>
      <c r="I31" s="126"/>
    </row>
    <row r="32" spans="1:9">
      <c r="A32" s="82" t="s">
        <v>134</v>
      </c>
      <c r="B32" s="72" t="s">
        <v>225</v>
      </c>
      <c r="C32" s="75"/>
      <c r="D32" s="126"/>
      <c r="E32" s="126"/>
      <c r="F32" s="126"/>
      <c r="G32" s="126"/>
      <c r="H32" s="126"/>
      <c r="I32" s="126"/>
    </row>
    <row r="33" spans="1:9">
      <c r="A33" s="82" t="s">
        <v>133</v>
      </c>
      <c r="B33" s="72" t="s">
        <v>225</v>
      </c>
      <c r="C33" s="75"/>
      <c r="D33" s="126"/>
      <c r="E33" s="126"/>
      <c r="F33" s="126"/>
      <c r="G33" s="126"/>
      <c r="H33" s="126"/>
      <c r="I33" s="126"/>
    </row>
    <row r="34" spans="1:9">
      <c r="A34" s="68" t="s">
        <v>229</v>
      </c>
      <c r="B34" s="72" t="s">
        <v>225</v>
      </c>
      <c r="C34" s="75"/>
      <c r="D34" s="126"/>
      <c r="E34" s="126"/>
      <c r="F34" s="126"/>
      <c r="G34" s="126"/>
      <c r="H34" s="126"/>
      <c r="I34" s="126"/>
    </row>
    <row r="35" spans="1:9">
      <c r="A35" s="68" t="s">
        <v>136</v>
      </c>
      <c r="B35" s="72" t="s">
        <v>225</v>
      </c>
      <c r="C35" s="75"/>
      <c r="D35" s="126"/>
      <c r="E35" s="126"/>
      <c r="F35" s="126"/>
      <c r="G35" s="126"/>
      <c r="H35" s="126"/>
      <c r="I35" s="126"/>
    </row>
    <row r="36" spans="1:9">
      <c r="A36" s="68" t="s">
        <v>230</v>
      </c>
      <c r="B36" s="72" t="s">
        <v>225</v>
      </c>
      <c r="C36" s="75"/>
      <c r="D36" s="126"/>
      <c r="E36" s="126"/>
      <c r="F36" s="126"/>
      <c r="G36" s="126"/>
      <c r="H36" s="126"/>
      <c r="I36" s="126"/>
    </row>
    <row r="37" spans="1:9">
      <c r="A37" s="68" t="s">
        <v>138</v>
      </c>
      <c r="B37" s="72" t="s">
        <v>225</v>
      </c>
      <c r="C37" s="75"/>
      <c r="D37" s="83"/>
      <c r="E37" s="83"/>
      <c r="F37" s="83"/>
      <c r="G37" s="83"/>
      <c r="H37" s="83"/>
      <c r="I37" s="83"/>
    </row>
    <row r="38" spans="1:9" hidden="1">
      <c r="A38" s="68"/>
      <c r="B38" s="80"/>
      <c r="C38" s="73"/>
      <c r="D38" s="84"/>
      <c r="E38" s="84"/>
      <c r="F38" s="84"/>
      <c r="G38" s="84"/>
      <c r="H38" s="84"/>
      <c r="I38" s="84"/>
    </row>
    <row r="39" spans="1:9" hidden="1">
      <c r="A39" s="85" t="s">
        <v>140</v>
      </c>
      <c r="B39" s="80"/>
      <c r="C39" s="73"/>
      <c r="D39" s="86"/>
      <c r="E39" s="86"/>
      <c r="F39" s="86"/>
      <c r="G39" s="86"/>
      <c r="H39" s="86"/>
      <c r="I39" s="86"/>
    </row>
    <row r="40" spans="1:9" hidden="1">
      <c r="A40" s="68" t="s">
        <v>231</v>
      </c>
      <c r="B40" s="72" t="s">
        <v>225</v>
      </c>
      <c r="C40" s="73"/>
      <c r="D40" s="81"/>
      <c r="E40" s="81"/>
      <c r="F40" s="81"/>
      <c r="G40" s="81"/>
      <c r="H40" s="81"/>
      <c r="I40" s="81"/>
    </row>
    <row r="41" spans="1:9" hidden="1">
      <c r="A41" s="68" t="s">
        <v>232</v>
      </c>
      <c r="B41" s="72" t="s">
        <v>225</v>
      </c>
      <c r="C41" s="73"/>
      <c r="D41" s="81"/>
      <c r="E41" s="81"/>
      <c r="F41" s="81"/>
      <c r="G41" s="81"/>
      <c r="H41" s="81"/>
      <c r="I41" s="81"/>
    </row>
    <row r="42" spans="1:9" hidden="1">
      <c r="A42" s="68" t="s">
        <v>233</v>
      </c>
      <c r="B42" s="72" t="s">
        <v>225</v>
      </c>
      <c r="C42" s="73"/>
      <c r="D42" s="81"/>
      <c r="E42" s="81"/>
      <c r="F42" s="81"/>
      <c r="G42" s="81"/>
      <c r="H42" s="81"/>
      <c r="I42" s="81"/>
    </row>
    <row r="43" spans="1:9" hidden="1">
      <c r="A43" s="68" t="s">
        <v>144</v>
      </c>
      <c r="B43" s="72" t="s">
        <v>225</v>
      </c>
      <c r="C43" s="73"/>
      <c r="D43" s="81"/>
      <c r="E43" s="81"/>
      <c r="F43" s="81"/>
      <c r="G43" s="81"/>
      <c r="H43" s="81"/>
      <c r="I43" s="81"/>
    </row>
    <row r="44" spans="1:9" hidden="1">
      <c r="A44" s="68" t="s">
        <v>146</v>
      </c>
      <c r="B44" s="72" t="s">
        <v>225</v>
      </c>
      <c r="C44" s="73"/>
      <c r="D44" s="81"/>
      <c r="E44" s="81"/>
      <c r="F44" s="81"/>
      <c r="G44" s="81"/>
      <c r="H44" s="81"/>
      <c r="I44" s="81"/>
    </row>
    <row r="45" spans="1:9" hidden="1">
      <c r="A45" s="85"/>
      <c r="B45" s="80"/>
      <c r="C45" s="73"/>
      <c r="D45" s="87"/>
      <c r="E45" s="87"/>
      <c r="F45" s="87"/>
      <c r="G45" s="87"/>
      <c r="H45" s="87"/>
      <c r="I45" s="87"/>
    </row>
    <row r="46" spans="1:9">
      <c r="A46" s="85" t="s">
        <v>234</v>
      </c>
      <c r="B46" s="80"/>
      <c r="C46" s="73"/>
      <c r="D46" s="88"/>
      <c r="E46" s="88"/>
      <c r="F46" s="88"/>
      <c r="G46" s="88"/>
      <c r="H46" s="88"/>
      <c r="I46" s="88"/>
    </row>
    <row r="47" spans="1:9">
      <c r="A47" s="68" t="s">
        <v>235</v>
      </c>
      <c r="B47" s="89">
        <v>0.15</v>
      </c>
      <c r="C47" s="65">
        <v>13.2</v>
      </c>
      <c r="D47" s="125">
        <f>('Evolutive SFP'!B4+'Evolutive SFP'!B11)/('Evolutive SFP'!B28+'Evolutive SFP'!B29+'Evolutive SFP'!B32+'Evolutive SFP'!B33+'Evolutive SFP'!B34+'Evolutive SFP'!B35+'Evolutive SFP'!B36)</f>
        <v>2.1491578554642379</v>
      </c>
      <c r="E47" s="125">
        <f>('Evolutive SFP'!C4+'Evolutive SFP'!C11)/('Evolutive SFP'!C28+'Evolutive SFP'!C29+'Evolutive SFP'!C32+'Evolutive SFP'!C33+'Evolutive SFP'!C34+'Evolutive SFP'!C35+'Evolutive SFP'!C36)</f>
        <v>0.43907497635782022</v>
      </c>
      <c r="F47" s="125">
        <f>('Evolutive SFP'!D4+'Evolutive SFP'!D11)/('Evolutive SFP'!D28+'Evolutive SFP'!D29+'Evolutive SFP'!D32+'Evolutive SFP'!D33+'Evolutive SFP'!D34+'Evolutive SFP'!D35+'Evolutive SFP'!D36)</f>
        <v>0.48828706125144566</v>
      </c>
      <c r="G47" s="125">
        <f>('Evolutive SFP'!E4+'Evolutive SFP'!E11)/('Evolutive SFP'!E28+'Evolutive SFP'!E29+'Evolutive SFP'!E32+'Evolutive SFP'!E33+'Evolutive SFP'!E34+'Evolutive SFP'!E35+'Evolutive SFP'!E36)</f>
        <v>2.9033875346347289</v>
      </c>
      <c r="H47" s="125">
        <f>('Evolutive SFP'!F4+'Evolutive SFP'!F11)/('Evolutive SFP'!F28+'Evolutive SFP'!F29+'Evolutive SFP'!F32+'Evolutive SFP'!F33+'Evolutive SFP'!F34+'Evolutive SFP'!F35+'Evolutive SFP'!F36)</f>
        <v>2.8298147888444638</v>
      </c>
      <c r="I47" s="125">
        <f>('Evolutive SFP'!G4+'Evolutive SFP'!G11)/('Evolutive SFP'!G28+'Evolutive SFP'!G29+'Evolutive SFP'!G32+'Evolutive SFP'!G33+'Evolutive SFP'!G34+'Evolutive SFP'!G35+'Evolutive SFP'!G36)</f>
        <v>2.6749756059809124</v>
      </c>
    </row>
    <row r="48" spans="1:9" hidden="1">
      <c r="A48" s="90"/>
      <c r="B48" s="80"/>
      <c r="C48" s="65"/>
      <c r="D48" s="91"/>
      <c r="E48" s="66">
        <f>Financials!D53/1000000</f>
        <v>0</v>
      </c>
      <c r="F48" s="66">
        <f>Financials!E53/1000000</f>
        <v>0</v>
      </c>
      <c r="G48" s="66">
        <f>Financials!F53/1000000</f>
        <v>0</v>
      </c>
      <c r="H48" s="66">
        <f>Financials!G53/1000000</f>
        <v>0</v>
      </c>
      <c r="I48" s="66">
        <f>Financials!H53/1000000</f>
        <v>0</v>
      </c>
    </row>
    <row r="49" spans="1:9" hidden="1">
      <c r="A49" s="85" t="s">
        <v>236</v>
      </c>
      <c r="B49" s="80"/>
      <c r="C49" s="65"/>
      <c r="D49" s="81"/>
      <c r="E49" s="67" t="e">
        <f>Financials!D53/Financials!D46</f>
        <v>#DIV/0!</v>
      </c>
      <c r="F49" s="67" t="e">
        <f>Financials!E53/Financials!E46</f>
        <v>#DIV/0!</v>
      </c>
      <c r="G49" s="67" t="e">
        <f>Financials!F53/Financials!F46</f>
        <v>#DIV/0!</v>
      </c>
      <c r="H49" s="67" t="e">
        <f>Financials!G53/Financials!G46</f>
        <v>#DIV/0!</v>
      </c>
      <c r="I49" s="67" t="e">
        <f>Financials!H53/Financials!H46</f>
        <v>#DIV/0!</v>
      </c>
    </row>
    <row r="50" spans="1:9" hidden="1">
      <c r="A50" s="92" t="s">
        <v>237</v>
      </c>
      <c r="B50" s="93">
        <v>1</v>
      </c>
      <c r="C50" s="94">
        <v>44.1</v>
      </c>
      <c r="D50" s="95"/>
      <c r="E50" s="67">
        <f>Financials!D53/Financials!D47</f>
        <v>0</v>
      </c>
      <c r="F50" s="67">
        <f>Financials!E53/Financials!E47</f>
        <v>0</v>
      </c>
      <c r="G50" s="67">
        <f>Financials!F53/Financials!F47</f>
        <v>0</v>
      </c>
      <c r="H50" s="67">
        <f>Financials!G53/Financials!G47</f>
        <v>0</v>
      </c>
      <c r="I50" s="67">
        <f>Financials!H53/Financials!H47</f>
        <v>0</v>
      </c>
    </row>
    <row r="51" spans="1:9">
      <c r="A51" s="96"/>
      <c r="E51" s="67"/>
      <c r="F51" s="67"/>
      <c r="G51" s="67"/>
      <c r="H51" s="67"/>
      <c r="I51" s="67"/>
    </row>
    <row r="52" spans="1:9">
      <c r="E52" s="67"/>
      <c r="F52" s="67"/>
      <c r="G52" s="67"/>
      <c r="H52" s="67"/>
      <c r="I52" s="67"/>
    </row>
    <row r="53" spans="1:9"/>
    <row r="54" spans="1:9"/>
    <row r="55" spans="1:9">
      <c r="E55" s="125"/>
    </row>
    <row r="56" spans="1:9">
      <c r="E56" s="125"/>
    </row>
    <row r="57" spans="1:9">
      <c r="E57" s="125"/>
    </row>
    <row r="58" spans="1:9">
      <c r="E58" s="125"/>
    </row>
    <row r="59" spans="1:9">
      <c r="E59" s="125"/>
    </row>
    <row r="60" spans="1:9">
      <c r="E60" s="125"/>
    </row>
    <row r="61" spans="1:9"/>
    <row r="63" spans="1:9"/>
  </sheetData>
  <phoneticPr fontId="37" type="noConversion"/>
  <pageMargins left="0.7" right="0.7" top="0.75" bottom="0.75" header="0.3" footer="0.3"/>
  <pageSetup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A0E1-A5EA-4397-9256-A4164926E54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C42D041F-7085-4F08-A12E-03AB1E0AD214}"/>
</file>

<file path=customXml/itemProps2.xml><?xml version="1.0" encoding="utf-8"?>
<ds:datastoreItem xmlns:ds="http://schemas.openxmlformats.org/officeDocument/2006/customXml" ds:itemID="{C14D2BAE-0F2A-47C2-A5C7-48EC6DFD8CCD}"/>
</file>

<file path=customXml/itemProps3.xml><?xml version="1.0" encoding="utf-8"?>
<ds:datastoreItem xmlns:ds="http://schemas.openxmlformats.org/officeDocument/2006/customXml" ds:itemID="{1ADD120C-3661-4158-8510-2F1A1B41F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2023-10-19T13:39:43Z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2021-08-23T07:14:16Z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02c6d16e-0288-474d-b199-8f8f1abcb9e4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
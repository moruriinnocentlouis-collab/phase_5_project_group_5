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K-PILLAR- 6569/Accounts Approval/"/>
    </mc:Choice>
  </mc:AlternateContent>
  <xr:revisionPtr revIDLastSave="32" documentId="8_{EED2E6E9-902A-4048-A73E-5E933A92A69F}" xr6:coauthVersionLast="47" xr6:coauthVersionMax="47" xr10:uidLastSave="{F18A2BEF-3AA2-4FF3-A440-4CACC75EAABC}"/>
  <bookViews>
    <workbookView xWindow="-108" yWindow="-108" windowWidth="23256" windowHeight="12456" activeTab="1" xr2:uid="{00000000-000D-0000-FFFF-FFFF00000000}"/>
  </bookViews>
  <sheets>
    <sheet name="Evolutive SFP" sheetId="1" r:id="rId1"/>
    <sheet name="Evolutitve SCI" sheetId="2" r:id="rId2"/>
    <sheet name="FORM 4 2021" sheetId="4" r:id="rId3"/>
    <sheet name="FORM 4 2022" sheetId="10" r:id="rId4"/>
    <sheet name="CAELS" sheetId="3" r:id="rId5"/>
    <sheet name="Financials" sheetId="5" r:id="rId6"/>
    <sheet name="CAELS Rating" sheetId="7" r:id="rId7"/>
    <sheet name="compliance audited 2021" sheetId="9" r:id="rId8"/>
    <sheet name="CashFlow Stmnt" sheetId="6" r:id="rId9"/>
    <sheet name="Compliance Status" sheetId="8" r:id="rId10"/>
  </sheets>
  <calcPr calcId="181029"/>
</workbook>
</file>

<file path=xl/calcChain.xml><?xml version="1.0" encoding="utf-8"?>
<calcChain xmlns="http://schemas.openxmlformats.org/spreadsheetml/2006/main">
  <c r="I10" i="9" l="1"/>
  <c r="I15" i="9"/>
  <c r="I24" i="9"/>
  <c r="I25" i="9"/>
  <c r="I29" i="9"/>
  <c r="I11" i="9" s="1"/>
  <c r="I30" i="9"/>
  <c r="I31" i="9"/>
  <c r="I32" i="9"/>
  <c r="I33" i="9"/>
  <c r="I6" i="9" s="1"/>
  <c r="I34" i="9"/>
  <c r="I8" i="9" s="1"/>
  <c r="I35" i="9"/>
  <c r="I36" i="9"/>
  <c r="I37" i="9"/>
  <c r="I38" i="9"/>
  <c r="I12" i="9" s="1"/>
  <c r="I39" i="9"/>
  <c r="I26" i="9" s="1"/>
  <c r="I40" i="9"/>
  <c r="I22" i="9" s="1"/>
  <c r="I41" i="9"/>
  <c r="I20" i="9" s="1"/>
  <c r="I43" i="9"/>
  <c r="I44" i="9"/>
  <c r="I45" i="9"/>
  <c r="I46" i="9"/>
  <c r="I27" i="9" s="1"/>
  <c r="I47" i="9"/>
  <c r="I18" i="9" s="1"/>
  <c r="I48" i="9"/>
  <c r="I49" i="9"/>
  <c r="I16" i="9" s="1"/>
  <c r="I50" i="9"/>
  <c r="I17" i="9" s="1"/>
  <c r="Z6" i="9"/>
  <c r="P10" i="9"/>
  <c r="P15" i="9"/>
  <c r="T17" i="9"/>
  <c r="R21" i="9"/>
  <c r="AF25" i="9"/>
  <c r="K29" i="9"/>
  <c r="K21" i="9" s="1"/>
  <c r="L29" i="9"/>
  <c r="L21" i="9" s="1"/>
  <c r="M29" i="9"/>
  <c r="M21" i="9" s="1"/>
  <c r="O29" i="9"/>
  <c r="O21" i="9" s="1"/>
  <c r="P29" i="9"/>
  <c r="P21" i="9" s="1"/>
  <c r="Q29" i="9"/>
  <c r="Q21" i="9" s="1"/>
  <c r="R29" i="9"/>
  <c r="S29" i="9"/>
  <c r="S21" i="9" s="1"/>
  <c r="T29" i="9"/>
  <c r="T21" i="9" s="1"/>
  <c r="U29" i="9"/>
  <c r="U21" i="9" s="1"/>
  <c r="V29" i="9"/>
  <c r="V21" i="9" s="1"/>
  <c r="W29" i="9"/>
  <c r="W21" i="9" s="1"/>
  <c r="X29" i="9"/>
  <c r="X21" i="9" s="1"/>
  <c r="Y29" i="9"/>
  <c r="Y21" i="9" s="1"/>
  <c r="Z29" i="9"/>
  <c r="Z21" i="9" s="1"/>
  <c r="AA29" i="9"/>
  <c r="AA21" i="9" s="1"/>
  <c r="AB29" i="9"/>
  <c r="AB21" i="9" s="1"/>
  <c r="AC29" i="9"/>
  <c r="AC21" i="9" s="1"/>
  <c r="AD29" i="9"/>
  <c r="AE29" i="9"/>
  <c r="AE21" i="9" s="1"/>
  <c r="AF29" i="9"/>
  <c r="AF21" i="9" s="1"/>
  <c r="K30" i="9"/>
  <c r="L30" i="9"/>
  <c r="M30" i="9"/>
  <c r="O30" i="9"/>
  <c r="P30" i="9"/>
  <c r="Q30" i="9"/>
  <c r="R30" i="9"/>
  <c r="S30" i="9"/>
  <c r="T30" i="9"/>
  <c r="U30" i="9"/>
  <c r="V30" i="9"/>
  <c r="W30" i="9"/>
  <c r="X30" i="9"/>
  <c r="Y30" i="9"/>
  <c r="Z30" i="9"/>
  <c r="AB30" i="9"/>
  <c r="AC30" i="9"/>
  <c r="AD30" i="9"/>
  <c r="AE30" i="9"/>
  <c r="AF30" i="9"/>
  <c r="K31" i="9"/>
  <c r="L31" i="9"/>
  <c r="M31" i="9"/>
  <c r="O31" i="9"/>
  <c r="P31" i="9"/>
  <c r="Q31" i="9"/>
  <c r="R31" i="9"/>
  <c r="S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K32" i="9"/>
  <c r="L32" i="9"/>
  <c r="L25" i="9" s="1"/>
  <c r="M32" i="9"/>
  <c r="M25" i="9" s="1"/>
  <c r="N32" i="9"/>
  <c r="O32" i="9"/>
  <c r="P32" i="9"/>
  <c r="P24" i="9" s="1"/>
  <c r="Q32" i="9"/>
  <c r="Q25" i="9" s="1"/>
  <c r="R32" i="9"/>
  <c r="R25" i="9" s="1"/>
  <c r="S32" i="9"/>
  <c r="T32" i="9"/>
  <c r="T25" i="9" s="1"/>
  <c r="U32" i="9"/>
  <c r="U25" i="9" s="1"/>
  <c r="V32" i="9"/>
  <c r="V25" i="9" s="1"/>
  <c r="W32" i="9"/>
  <c r="X32" i="9"/>
  <c r="X24" i="9" s="1"/>
  <c r="Y32" i="9"/>
  <c r="Y25" i="9" s="1"/>
  <c r="Z32" i="9"/>
  <c r="Z25" i="9" s="1"/>
  <c r="AA32" i="9"/>
  <c r="AB32" i="9"/>
  <c r="AB25" i="9" s="1"/>
  <c r="AC32" i="9"/>
  <c r="AC25" i="9" s="1"/>
  <c r="AD32" i="9"/>
  <c r="AD25" i="9" s="1"/>
  <c r="AE32" i="9"/>
  <c r="AF32" i="9"/>
  <c r="AF24" i="9" s="1"/>
  <c r="K33" i="9"/>
  <c r="K6" i="9" s="1"/>
  <c r="L33" i="9"/>
  <c r="L6" i="9" s="1"/>
  <c r="M33" i="9"/>
  <c r="M7" i="9" s="1"/>
  <c r="O33" i="9"/>
  <c r="O7" i="9" s="1"/>
  <c r="P33" i="9"/>
  <c r="P7" i="9" s="1"/>
  <c r="Q33" i="9"/>
  <c r="Q7" i="9" s="1"/>
  <c r="R33" i="9"/>
  <c r="R7" i="9" s="1"/>
  <c r="S33" i="9"/>
  <c r="S6" i="9" s="1"/>
  <c r="T33" i="9"/>
  <c r="T6" i="9" s="1"/>
  <c r="U33" i="9"/>
  <c r="U7" i="9" s="1"/>
  <c r="V33" i="9"/>
  <c r="V7" i="9" s="1"/>
  <c r="W33" i="9"/>
  <c r="W7" i="9" s="1"/>
  <c r="X33" i="9"/>
  <c r="X7" i="9" s="1"/>
  <c r="Y33" i="9"/>
  <c r="Y7" i="9" s="1"/>
  <c r="Z33" i="9"/>
  <c r="Z7" i="9" s="1"/>
  <c r="AA33" i="9"/>
  <c r="AA6" i="9" s="1"/>
  <c r="AB33" i="9"/>
  <c r="AB6" i="9" s="1"/>
  <c r="AC33" i="9"/>
  <c r="AC7" i="9" s="1"/>
  <c r="AD33" i="9"/>
  <c r="AD7" i="9" s="1"/>
  <c r="AE33" i="9"/>
  <c r="AE7" i="9" s="1"/>
  <c r="AF33" i="9"/>
  <c r="AF7" i="9" s="1"/>
  <c r="L34" i="9"/>
  <c r="L8" i="9" s="1"/>
  <c r="M34" i="9"/>
  <c r="M8" i="9" s="1"/>
  <c r="P34" i="9"/>
  <c r="P8" i="9" s="1"/>
  <c r="R34" i="9"/>
  <c r="R8" i="9" s="1"/>
  <c r="T34" i="9"/>
  <c r="T8" i="9" s="1"/>
  <c r="U34" i="9"/>
  <c r="U8" i="9" s="1"/>
  <c r="X34" i="9"/>
  <c r="X8" i="9" s="1"/>
  <c r="Z34" i="9"/>
  <c r="Z8" i="9" s="1"/>
  <c r="AA34" i="9"/>
  <c r="AA8" i="9" s="1"/>
  <c r="AB34" i="9"/>
  <c r="AB8" i="9" s="1"/>
  <c r="AC34" i="9"/>
  <c r="AC8" i="9" s="1"/>
  <c r="AF34" i="9"/>
  <c r="AF8" i="9" s="1"/>
  <c r="K35" i="9"/>
  <c r="K10" i="9" s="1"/>
  <c r="L35" i="9"/>
  <c r="L10" i="9" s="1"/>
  <c r="M35" i="9"/>
  <c r="N35" i="9"/>
  <c r="O35" i="9"/>
  <c r="O10" i="9" s="1"/>
  <c r="P35" i="9"/>
  <c r="Q35" i="9"/>
  <c r="R35" i="9"/>
  <c r="R10" i="9" s="1"/>
  <c r="S35" i="9"/>
  <c r="S10" i="9" s="1"/>
  <c r="T35" i="9"/>
  <c r="T10" i="9" s="1"/>
  <c r="U35" i="9"/>
  <c r="V35" i="9"/>
  <c r="V10" i="9" s="1"/>
  <c r="W35" i="9"/>
  <c r="W10" i="9" s="1"/>
  <c r="X35" i="9"/>
  <c r="X10" i="9" s="1"/>
  <c r="Y35" i="9"/>
  <c r="Z35" i="9"/>
  <c r="Z10" i="9" s="1"/>
  <c r="AA35" i="9"/>
  <c r="AA10" i="9" s="1"/>
  <c r="AB35" i="9"/>
  <c r="AB10" i="9" s="1"/>
  <c r="AC35" i="9"/>
  <c r="AD35" i="9"/>
  <c r="AD10" i="9" s="1"/>
  <c r="AE35" i="9"/>
  <c r="AE10" i="9" s="1"/>
  <c r="AF35" i="9"/>
  <c r="AF10" i="9" s="1"/>
  <c r="K36" i="9"/>
  <c r="L36" i="9"/>
  <c r="L11" i="9" s="1"/>
  <c r="M36" i="9"/>
  <c r="M11" i="9" s="1"/>
  <c r="N36" i="9"/>
  <c r="O36" i="9"/>
  <c r="P36" i="9"/>
  <c r="P11" i="9" s="1"/>
  <c r="Q36" i="9"/>
  <c r="Q11" i="9" s="1"/>
  <c r="R36" i="9"/>
  <c r="R11" i="9" s="1"/>
  <c r="S36" i="9"/>
  <c r="T36" i="9"/>
  <c r="T11" i="9" s="1"/>
  <c r="U36" i="9"/>
  <c r="U11" i="9" s="1"/>
  <c r="V36" i="9"/>
  <c r="V11" i="9" s="1"/>
  <c r="W36" i="9"/>
  <c r="X36" i="9"/>
  <c r="X11" i="9" s="1"/>
  <c r="Y36" i="9"/>
  <c r="Y11" i="9" s="1"/>
  <c r="Z36" i="9"/>
  <c r="Z11" i="9" s="1"/>
  <c r="AA36" i="9"/>
  <c r="AB36" i="9"/>
  <c r="AB11" i="9" s="1"/>
  <c r="AC36" i="9"/>
  <c r="AC11" i="9" s="1"/>
  <c r="AD36" i="9"/>
  <c r="AD11" i="9" s="1"/>
  <c r="AE36" i="9"/>
  <c r="AF36" i="9"/>
  <c r="AF11" i="9" s="1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K38" i="9"/>
  <c r="L38" i="9"/>
  <c r="L13" i="9" s="1"/>
  <c r="M38" i="9"/>
  <c r="M12" i="9" s="1"/>
  <c r="N38" i="9"/>
  <c r="O38" i="9"/>
  <c r="P38" i="9"/>
  <c r="P13" i="9" s="1"/>
  <c r="Q38" i="9"/>
  <c r="Q13" i="9" s="1"/>
  <c r="R38" i="9"/>
  <c r="R13" i="9" s="1"/>
  <c r="S38" i="9"/>
  <c r="T38" i="9"/>
  <c r="T13" i="9" s="1"/>
  <c r="U38" i="9"/>
  <c r="U12" i="9" s="1"/>
  <c r="V38" i="9"/>
  <c r="V12" i="9" s="1"/>
  <c r="W38" i="9"/>
  <c r="X38" i="9"/>
  <c r="X13" i="9" s="1"/>
  <c r="Y38" i="9"/>
  <c r="Y13" i="9" s="1"/>
  <c r="Z38" i="9"/>
  <c r="Z13" i="9" s="1"/>
  <c r="AA38" i="9"/>
  <c r="AB38" i="9"/>
  <c r="AB13" i="9" s="1"/>
  <c r="AC38" i="9"/>
  <c r="AC12" i="9" s="1"/>
  <c r="AD38" i="9"/>
  <c r="AD12" i="9" s="1"/>
  <c r="AE38" i="9"/>
  <c r="AF38" i="9"/>
  <c r="AF13" i="9" s="1"/>
  <c r="K39" i="9"/>
  <c r="L39" i="9"/>
  <c r="L26" i="9" s="1"/>
  <c r="M39" i="9"/>
  <c r="M26" i="9" s="1"/>
  <c r="O39" i="9"/>
  <c r="P39" i="9"/>
  <c r="P26" i="9" s="1"/>
  <c r="Q39" i="9"/>
  <c r="Q26" i="9" s="1"/>
  <c r="R39" i="9"/>
  <c r="R26" i="9" s="1"/>
  <c r="S39" i="9"/>
  <c r="T39" i="9"/>
  <c r="T26" i="9" s="1"/>
  <c r="U39" i="9"/>
  <c r="U26" i="9" s="1"/>
  <c r="V39" i="9"/>
  <c r="V26" i="9" s="1"/>
  <c r="W39" i="9"/>
  <c r="X39" i="9"/>
  <c r="X26" i="9" s="1"/>
  <c r="Y39" i="9"/>
  <c r="Y26" i="9" s="1"/>
  <c r="Z39" i="9"/>
  <c r="Z26" i="9" s="1"/>
  <c r="AA39" i="9"/>
  <c r="AB39" i="9"/>
  <c r="AB26" i="9" s="1"/>
  <c r="AC39" i="9"/>
  <c r="AC26" i="9" s="1"/>
  <c r="AD39" i="9"/>
  <c r="AD26" i="9" s="1"/>
  <c r="AE39" i="9"/>
  <c r="AF39" i="9"/>
  <c r="AF26" i="9" s="1"/>
  <c r="K40" i="9"/>
  <c r="L40" i="9"/>
  <c r="L20" i="9" s="1"/>
  <c r="M40" i="9"/>
  <c r="M22" i="9" s="1"/>
  <c r="O40" i="9"/>
  <c r="P40" i="9"/>
  <c r="P22" i="9" s="1"/>
  <c r="Q40" i="9"/>
  <c r="R40" i="9"/>
  <c r="S40" i="9"/>
  <c r="T40" i="9"/>
  <c r="T20" i="9" s="1"/>
  <c r="U40" i="9"/>
  <c r="U22" i="9" s="1"/>
  <c r="V40" i="9"/>
  <c r="V22" i="9" s="1"/>
  <c r="W40" i="9"/>
  <c r="X40" i="9"/>
  <c r="X22" i="9" s="1"/>
  <c r="Y40" i="9"/>
  <c r="Z40" i="9"/>
  <c r="AA40" i="9"/>
  <c r="AB40" i="9"/>
  <c r="AB20" i="9" s="1"/>
  <c r="AC40" i="9"/>
  <c r="AC22" i="9" s="1"/>
  <c r="AD40" i="9"/>
  <c r="AD22" i="9" s="1"/>
  <c r="AE40" i="9"/>
  <c r="AF40" i="9"/>
  <c r="AF22" i="9" s="1"/>
  <c r="K41" i="9"/>
  <c r="L41" i="9"/>
  <c r="M41" i="9"/>
  <c r="N41" i="9"/>
  <c r="O41" i="9"/>
  <c r="P41" i="9"/>
  <c r="Q41" i="9"/>
  <c r="R41" i="9"/>
  <c r="S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Y43" i="9"/>
  <c r="Z43" i="9"/>
  <c r="AA43" i="9"/>
  <c r="AB43" i="9"/>
  <c r="AC43" i="9"/>
  <c r="AD43" i="9"/>
  <c r="AE43" i="9"/>
  <c r="AF43" i="9"/>
  <c r="K44" i="9"/>
  <c r="L44" i="9"/>
  <c r="M44" i="9"/>
  <c r="O44" i="9"/>
  <c r="P44" i="9"/>
  <c r="Q44" i="9"/>
  <c r="R44" i="9"/>
  <c r="R16" i="9" s="1"/>
  <c r="S44" i="9"/>
  <c r="T44" i="9"/>
  <c r="U44" i="9"/>
  <c r="V44" i="9"/>
  <c r="W44" i="9"/>
  <c r="X44" i="9"/>
  <c r="Y44" i="9"/>
  <c r="Z44" i="9"/>
  <c r="Z16" i="9" s="1"/>
  <c r="AA44" i="9"/>
  <c r="AB44" i="9"/>
  <c r="AC44" i="9"/>
  <c r="AD44" i="9"/>
  <c r="AD18" i="9" s="1"/>
  <c r="AE44" i="9"/>
  <c r="AF44" i="9"/>
  <c r="K45" i="9"/>
  <c r="L45" i="9"/>
  <c r="M45" i="9"/>
  <c r="O45" i="9"/>
  <c r="P45" i="9"/>
  <c r="Q45" i="9"/>
  <c r="R45" i="9"/>
  <c r="S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K46" i="9"/>
  <c r="K27" i="9" s="1"/>
  <c r="L46" i="9"/>
  <c r="L27" i="9" s="1"/>
  <c r="M46" i="9"/>
  <c r="M27" i="9" s="1"/>
  <c r="N46" i="9"/>
  <c r="O46" i="9"/>
  <c r="O27" i="9" s="1"/>
  <c r="P46" i="9"/>
  <c r="P27" i="9" s="1"/>
  <c r="Q46" i="9"/>
  <c r="Q27" i="9" s="1"/>
  <c r="R46" i="9"/>
  <c r="R27" i="9" s="1"/>
  <c r="S46" i="9"/>
  <c r="S27" i="9" s="1"/>
  <c r="T46" i="9"/>
  <c r="T27" i="9" s="1"/>
  <c r="U46" i="9"/>
  <c r="U27" i="9" s="1"/>
  <c r="V46" i="9"/>
  <c r="W46" i="9"/>
  <c r="W27" i="9" s="1"/>
  <c r="X46" i="9"/>
  <c r="X27" i="9" s="1"/>
  <c r="Y46" i="9"/>
  <c r="Y27" i="9" s="1"/>
  <c r="Z46" i="9"/>
  <c r="Z27" i="9" s="1"/>
  <c r="AA46" i="9"/>
  <c r="AA27" i="9" s="1"/>
  <c r="AB46" i="9"/>
  <c r="AB27" i="9" s="1"/>
  <c r="AC46" i="9"/>
  <c r="AC27" i="9" s="1"/>
  <c r="AD46" i="9"/>
  <c r="AE46" i="9"/>
  <c r="AE27" i="9" s="1"/>
  <c r="AF46" i="9"/>
  <c r="AF27" i="9" s="1"/>
  <c r="K47" i="9"/>
  <c r="K18" i="9" s="1"/>
  <c r="L47" i="9"/>
  <c r="L18" i="9" s="1"/>
  <c r="M47" i="9"/>
  <c r="M18" i="9" s="1"/>
  <c r="N47" i="9"/>
  <c r="O47" i="9"/>
  <c r="O18" i="9" s="1"/>
  <c r="P47" i="9"/>
  <c r="P18" i="9" s="1"/>
  <c r="Q47" i="9"/>
  <c r="Q18" i="9" s="1"/>
  <c r="R47" i="9"/>
  <c r="S47" i="9"/>
  <c r="S18" i="9" s="1"/>
  <c r="T47" i="9"/>
  <c r="T18" i="9" s="1"/>
  <c r="U47" i="9"/>
  <c r="U18" i="9" s="1"/>
  <c r="V47" i="9"/>
  <c r="V18" i="9" s="1"/>
  <c r="W47" i="9"/>
  <c r="W18" i="9" s="1"/>
  <c r="X47" i="9"/>
  <c r="X18" i="9" s="1"/>
  <c r="Y47" i="9"/>
  <c r="Y18" i="9" s="1"/>
  <c r="Z47" i="9"/>
  <c r="AA47" i="9"/>
  <c r="AA18" i="9" s="1"/>
  <c r="AB47" i="9"/>
  <c r="AB18" i="9" s="1"/>
  <c r="AC47" i="9"/>
  <c r="AC18" i="9" s="1"/>
  <c r="AD47" i="9"/>
  <c r="AE47" i="9"/>
  <c r="AE18" i="9" s="1"/>
  <c r="AF47" i="9"/>
  <c r="AF18" i="9" s="1"/>
  <c r="K48" i="9"/>
  <c r="K15" i="9" s="1"/>
  <c r="L48" i="9"/>
  <c r="L15" i="9" s="1"/>
  <c r="M48" i="9"/>
  <c r="N48" i="9"/>
  <c r="N15" i="9" s="1"/>
  <c r="O48" i="9"/>
  <c r="O15" i="9" s="1"/>
  <c r="P48" i="9"/>
  <c r="Q48" i="9"/>
  <c r="R48" i="9"/>
  <c r="R15" i="9" s="1"/>
  <c r="S48" i="9"/>
  <c r="S15" i="9" s="1"/>
  <c r="T48" i="9"/>
  <c r="T15" i="9" s="1"/>
  <c r="U48" i="9"/>
  <c r="V48" i="9"/>
  <c r="V15" i="9" s="1"/>
  <c r="W48" i="9"/>
  <c r="W15" i="9" s="1"/>
  <c r="X48" i="9"/>
  <c r="X15" i="9" s="1"/>
  <c r="Y48" i="9"/>
  <c r="Z48" i="9"/>
  <c r="Z15" i="9" s="1"/>
  <c r="AA48" i="9"/>
  <c r="AA15" i="9" s="1"/>
  <c r="AB48" i="9"/>
  <c r="AB15" i="9" s="1"/>
  <c r="AC48" i="9"/>
  <c r="AD48" i="9"/>
  <c r="AD15" i="9" s="1"/>
  <c r="AE48" i="9"/>
  <c r="AE15" i="9" s="1"/>
  <c r="AF48" i="9"/>
  <c r="AF15" i="9" s="1"/>
  <c r="K49" i="9"/>
  <c r="K16" i="9" s="1"/>
  <c r="L49" i="9"/>
  <c r="L16" i="9" s="1"/>
  <c r="M49" i="9"/>
  <c r="M16" i="9" s="1"/>
  <c r="N49" i="9"/>
  <c r="O49" i="9"/>
  <c r="O16" i="9" s="1"/>
  <c r="P49" i="9"/>
  <c r="P16" i="9" s="1"/>
  <c r="Q49" i="9"/>
  <c r="Q16" i="9" s="1"/>
  <c r="R49" i="9"/>
  <c r="S49" i="9"/>
  <c r="S16" i="9" s="1"/>
  <c r="T49" i="9"/>
  <c r="T16" i="9" s="1"/>
  <c r="U49" i="9"/>
  <c r="U16" i="9" s="1"/>
  <c r="V49" i="9"/>
  <c r="W49" i="9"/>
  <c r="W16" i="9" s="1"/>
  <c r="X49" i="9"/>
  <c r="X16" i="9" s="1"/>
  <c r="Y49" i="9"/>
  <c r="Y16" i="9" s="1"/>
  <c r="Z49" i="9"/>
  <c r="AA49" i="9"/>
  <c r="AA16" i="9" s="1"/>
  <c r="AB49" i="9"/>
  <c r="AB16" i="9" s="1"/>
  <c r="AC49" i="9"/>
  <c r="AC16" i="9" s="1"/>
  <c r="AD49" i="9"/>
  <c r="AE49" i="9"/>
  <c r="AE16" i="9" s="1"/>
  <c r="AF49" i="9"/>
  <c r="AF16" i="9" s="1"/>
  <c r="K50" i="9"/>
  <c r="K17" i="9" s="1"/>
  <c r="L50" i="9"/>
  <c r="L17" i="9" s="1"/>
  <c r="M50" i="9"/>
  <c r="O50" i="9"/>
  <c r="O17" i="9" s="1"/>
  <c r="P50" i="9"/>
  <c r="P17" i="9" s="1"/>
  <c r="Q50" i="9"/>
  <c r="R50" i="9"/>
  <c r="R17" i="9" s="1"/>
  <c r="S50" i="9"/>
  <c r="S17" i="9" s="1"/>
  <c r="T50" i="9"/>
  <c r="U50" i="9"/>
  <c r="V50" i="9"/>
  <c r="V17" i="9" s="1"/>
  <c r="W50" i="9"/>
  <c r="W17" i="9" s="1"/>
  <c r="X50" i="9"/>
  <c r="X17" i="9" s="1"/>
  <c r="Y50" i="9"/>
  <c r="Z50" i="9"/>
  <c r="Z17" i="9" s="1"/>
  <c r="AA50" i="9"/>
  <c r="AB50" i="9"/>
  <c r="AB17" i="9" s="1"/>
  <c r="AC50" i="9"/>
  <c r="AD50" i="9"/>
  <c r="AD17" i="9" s="1"/>
  <c r="AE50" i="9"/>
  <c r="AE17" i="9" s="1"/>
  <c r="AF50" i="9"/>
  <c r="AF17" i="9" s="1"/>
  <c r="J50" i="9"/>
  <c r="J49" i="9"/>
  <c r="J16" i="9" s="1"/>
  <c r="J48" i="9"/>
  <c r="J47" i="9"/>
  <c r="J46" i="9"/>
  <c r="J45" i="9"/>
  <c r="J44" i="9"/>
  <c r="J18" i="9" s="1"/>
  <c r="J43" i="9"/>
  <c r="J41" i="9"/>
  <c r="J40" i="9"/>
  <c r="J20" i="9" s="1"/>
  <c r="J39" i="9"/>
  <c r="J38" i="9"/>
  <c r="J37" i="9"/>
  <c r="J36" i="9"/>
  <c r="J35" i="9"/>
  <c r="J34" i="9"/>
  <c r="J8" i="9" s="1"/>
  <c r="J33" i="9"/>
  <c r="J7" i="9" s="1"/>
  <c r="J32" i="9"/>
  <c r="J24" i="9" s="1"/>
  <c r="J31" i="9"/>
  <c r="J12" i="9" s="1"/>
  <c r="J30" i="9"/>
  <c r="J29" i="9"/>
  <c r="J21" i="9" s="1"/>
  <c r="J17" i="9"/>
  <c r="J13" i="9"/>
  <c r="J11" i="9"/>
  <c r="AG48" i="1"/>
  <c r="AH48" i="1"/>
  <c r="AI48" i="1"/>
  <c r="AJ48" i="1"/>
  <c r="AK48" i="1"/>
  <c r="AL48" i="1"/>
  <c r="AL49" i="1" s="1"/>
  <c r="AM48" i="1"/>
  <c r="AN48" i="1"/>
  <c r="AN49" i="1" s="1"/>
  <c r="AO48" i="1"/>
  <c r="AJ49" i="1"/>
  <c r="AK49" i="1"/>
  <c r="AM49" i="1"/>
  <c r="AO49" i="1"/>
  <c r="AG38" i="1"/>
  <c r="AG49" i="1" s="1"/>
  <c r="AJ38" i="1"/>
  <c r="AK38" i="1"/>
  <c r="AL38" i="1"/>
  <c r="AM38" i="1"/>
  <c r="AN38" i="1"/>
  <c r="AO38" i="1"/>
  <c r="AG31" i="1"/>
  <c r="AH31" i="1"/>
  <c r="AH38" i="1" s="1"/>
  <c r="AH49" i="1" s="1"/>
  <c r="AI31" i="1"/>
  <c r="N31" i="9" s="1"/>
  <c r="AJ31" i="1"/>
  <c r="AK31" i="1"/>
  <c r="AL31" i="1"/>
  <c r="AM31" i="1"/>
  <c r="AN31" i="1"/>
  <c r="AO31" i="1"/>
  <c r="AJ27" i="1"/>
  <c r="AK27" i="1"/>
  <c r="AL27" i="1"/>
  <c r="AM27" i="1"/>
  <c r="AN27" i="1"/>
  <c r="AO27" i="1"/>
  <c r="AG21" i="1"/>
  <c r="AH21" i="1"/>
  <c r="AI21" i="1"/>
  <c r="AJ21" i="1"/>
  <c r="AK21" i="1"/>
  <c r="AL21" i="1"/>
  <c r="AM21" i="1"/>
  <c r="AN21" i="1"/>
  <c r="AO21" i="1"/>
  <c r="AG17" i="1"/>
  <c r="AH17" i="1"/>
  <c r="AI17" i="1"/>
  <c r="AJ17" i="1"/>
  <c r="AK17" i="1"/>
  <c r="AL17" i="1"/>
  <c r="AM17" i="1"/>
  <c r="AN17" i="1"/>
  <c r="AO17" i="1"/>
  <c r="AG14" i="1"/>
  <c r="AH14" i="1"/>
  <c r="AI14" i="1"/>
  <c r="AJ14" i="1"/>
  <c r="AK14" i="1"/>
  <c r="AL14" i="1"/>
  <c r="AM14" i="1"/>
  <c r="AN14" i="1"/>
  <c r="AO14" i="1"/>
  <c r="AG8" i="1"/>
  <c r="AH8" i="1"/>
  <c r="AH27" i="1" s="1"/>
  <c r="AI8" i="1"/>
  <c r="N33" i="9" s="1"/>
  <c r="AJ8" i="1"/>
  <c r="AK8" i="1"/>
  <c r="AL8" i="1"/>
  <c r="AM8" i="1"/>
  <c r="AN8" i="1"/>
  <c r="AO8" i="1"/>
  <c r="AG4" i="1"/>
  <c r="AG27" i="1" s="1"/>
  <c r="AH4" i="1"/>
  <c r="AI4" i="1"/>
  <c r="N40" i="9" s="1"/>
  <c r="AJ4" i="1"/>
  <c r="AK4" i="1"/>
  <c r="AL4" i="1"/>
  <c r="AM4" i="1"/>
  <c r="AN4" i="1"/>
  <c r="AO4" i="1"/>
  <c r="AJ37" i="2"/>
  <c r="AK37" i="2"/>
  <c r="AL37" i="2"/>
  <c r="AM37" i="2"/>
  <c r="AN37" i="2"/>
  <c r="AO37" i="2"/>
  <c r="AJ35" i="2"/>
  <c r="AK35" i="2"/>
  <c r="AL35" i="2"/>
  <c r="AM35" i="2"/>
  <c r="AN35" i="2"/>
  <c r="AO35" i="2"/>
  <c r="AJ33" i="2"/>
  <c r="AK33" i="2"/>
  <c r="AL33" i="2"/>
  <c r="AM33" i="2"/>
  <c r="AN33" i="2"/>
  <c r="AO33" i="2"/>
  <c r="AJ29" i="2"/>
  <c r="AK29" i="2"/>
  <c r="AL29" i="2"/>
  <c r="AM29" i="2"/>
  <c r="AN29" i="2"/>
  <c r="AO29" i="2"/>
  <c r="AH30" i="2"/>
  <c r="AI30" i="2"/>
  <c r="AJ30" i="2"/>
  <c r="AK30" i="2"/>
  <c r="AL30" i="2"/>
  <c r="AM30" i="2"/>
  <c r="AN30" i="2"/>
  <c r="AO30" i="2"/>
  <c r="AH23" i="2"/>
  <c r="AI23" i="2"/>
  <c r="AJ23" i="2"/>
  <c r="AK23" i="2"/>
  <c r="AL23" i="2"/>
  <c r="AM23" i="2"/>
  <c r="AN23" i="2"/>
  <c r="AO23" i="2"/>
  <c r="AJ19" i="2"/>
  <c r="AK19" i="2"/>
  <c r="AL19" i="2"/>
  <c r="AM19" i="2"/>
  <c r="AN19" i="2"/>
  <c r="AO19" i="2"/>
  <c r="AH20" i="2"/>
  <c r="AI20" i="2"/>
  <c r="AJ20" i="2"/>
  <c r="AK20" i="2"/>
  <c r="AL20" i="2"/>
  <c r="AM20" i="2"/>
  <c r="AN20" i="2"/>
  <c r="AO20" i="2"/>
  <c r="AH12" i="2"/>
  <c r="AI12" i="2"/>
  <c r="AJ12" i="2"/>
  <c r="AK12" i="2"/>
  <c r="AL12" i="2"/>
  <c r="AM12" i="2"/>
  <c r="AN12" i="2"/>
  <c r="AO12" i="2"/>
  <c r="AH7" i="2"/>
  <c r="AI7" i="2"/>
  <c r="AJ7" i="2"/>
  <c r="AK7" i="2"/>
  <c r="AL7" i="2"/>
  <c r="AM7" i="2"/>
  <c r="AN7" i="2"/>
  <c r="AO7" i="2"/>
  <c r="AH4" i="2"/>
  <c r="AH3" i="2" s="1"/>
  <c r="AI4" i="2"/>
  <c r="AJ4" i="2"/>
  <c r="AJ3" i="2" s="1"/>
  <c r="AK4" i="2"/>
  <c r="AK3" i="2" s="1"/>
  <c r="AL4" i="2"/>
  <c r="AL3" i="2" s="1"/>
  <c r="AM4" i="2"/>
  <c r="AM3" i="2" s="1"/>
  <c r="AN4" i="2"/>
  <c r="AO4" i="2"/>
  <c r="AI3" i="2" l="1"/>
  <c r="AI19" i="2" s="1"/>
  <c r="AI29" i="2"/>
  <c r="AI33" i="2" s="1"/>
  <c r="AI35" i="2" s="1"/>
  <c r="AI37" i="2" s="1"/>
  <c r="N50" i="9" s="1"/>
  <c r="N45" i="9"/>
  <c r="N44" i="9"/>
  <c r="N18" i="9" s="1"/>
  <c r="AI38" i="1"/>
  <c r="AI49" i="1" s="1"/>
  <c r="N12" i="9"/>
  <c r="N25" i="9"/>
  <c r="N10" i="9"/>
  <c r="N39" i="9"/>
  <c r="N26" i="9" s="1"/>
  <c r="AI27" i="1"/>
  <c r="I13" i="9"/>
  <c r="I21" i="9"/>
  <c r="I7" i="9"/>
  <c r="AD27" i="9"/>
  <c r="J6" i="9"/>
  <c r="Z20" i="9"/>
  <c r="R20" i="9"/>
  <c r="K34" i="9"/>
  <c r="K8" i="9" s="1"/>
  <c r="AE24" i="9"/>
  <c r="W24" i="9"/>
  <c r="O24" i="9"/>
  <c r="X20" i="9"/>
  <c r="J22" i="9"/>
  <c r="N27" i="9"/>
  <c r="J26" i="9"/>
  <c r="J15" i="9"/>
  <c r="Y20" i="9"/>
  <c r="Q20" i="9"/>
  <c r="AE26" i="9"/>
  <c r="W26" i="9"/>
  <c r="O26" i="9"/>
  <c r="S34" i="9"/>
  <c r="S8" i="9" s="1"/>
  <c r="P20" i="9"/>
  <c r="Y17" i="9"/>
  <c r="Q17" i="9"/>
  <c r="AC15" i="9"/>
  <c r="U15" i="9"/>
  <c r="M15" i="9"/>
  <c r="AE22" i="9"/>
  <c r="W22" i="9"/>
  <c r="O22" i="9"/>
  <c r="AA13" i="9"/>
  <c r="S13" i="9"/>
  <c r="K13" i="9"/>
  <c r="AE11" i="9"/>
  <c r="W11" i="9"/>
  <c r="O11" i="9"/>
  <c r="AC10" i="9"/>
  <c r="U10" i="9"/>
  <c r="M10" i="9"/>
  <c r="Q34" i="9"/>
  <c r="Q8" i="9" s="1"/>
  <c r="AD24" i="9"/>
  <c r="X25" i="9"/>
  <c r="AB12" i="9"/>
  <c r="AB7" i="9"/>
  <c r="V16" i="9"/>
  <c r="Z18" i="9"/>
  <c r="R18" i="9"/>
  <c r="Y34" i="9"/>
  <c r="Y8" i="9" s="1"/>
  <c r="AA25" i="9"/>
  <c r="S25" i="9"/>
  <c r="K25" i="9"/>
  <c r="P25" i="9"/>
  <c r="T12" i="9"/>
  <c r="T7" i="9"/>
  <c r="AD16" i="9"/>
  <c r="J10" i="9"/>
  <c r="AA26" i="9"/>
  <c r="S26" i="9"/>
  <c r="K26" i="9"/>
  <c r="O34" i="9"/>
  <c r="O8" i="9" s="1"/>
  <c r="L12" i="9"/>
  <c r="L7" i="9"/>
  <c r="V27" i="9"/>
  <c r="W34" i="9"/>
  <c r="W8" i="9" s="1"/>
  <c r="AC17" i="9"/>
  <c r="U17" i="9"/>
  <c r="M17" i="9"/>
  <c r="Y15" i="9"/>
  <c r="Q15" i="9"/>
  <c r="AA20" i="9"/>
  <c r="S20" i="9"/>
  <c r="K20" i="9"/>
  <c r="AE13" i="9"/>
  <c r="W13" i="9"/>
  <c r="O13" i="9"/>
  <c r="AA11" i="9"/>
  <c r="S11" i="9"/>
  <c r="K11" i="9"/>
  <c r="Y10" i="9"/>
  <c r="Q10" i="9"/>
  <c r="AE34" i="9"/>
  <c r="AE8" i="9" s="1"/>
  <c r="AF20" i="9"/>
  <c r="R6" i="9"/>
  <c r="V24" i="9"/>
  <c r="T22" i="9"/>
  <c r="L22" i="9"/>
  <c r="AD13" i="9"/>
  <c r="N13" i="9"/>
  <c r="AE25" i="9"/>
  <c r="W25" i="9"/>
  <c r="O25" i="9"/>
  <c r="AC24" i="9"/>
  <c r="U24" i="9"/>
  <c r="M24" i="9"/>
  <c r="AA22" i="9"/>
  <c r="S22" i="9"/>
  <c r="K22" i="9"/>
  <c r="AE20" i="9"/>
  <c r="W20" i="9"/>
  <c r="O20" i="9"/>
  <c r="AC13" i="9"/>
  <c r="U13" i="9"/>
  <c r="M13" i="9"/>
  <c r="AA12" i="9"/>
  <c r="S12" i="9"/>
  <c r="K12" i="9"/>
  <c r="AA7" i="9"/>
  <c r="S7" i="9"/>
  <c r="K7" i="9"/>
  <c r="Y6" i="9"/>
  <c r="Q6" i="9"/>
  <c r="AD34" i="9"/>
  <c r="AD8" i="9" s="1"/>
  <c r="V34" i="9"/>
  <c r="V8" i="9" s="1"/>
  <c r="N34" i="9"/>
  <c r="AB24" i="9"/>
  <c r="T24" i="9"/>
  <c r="L24" i="9"/>
  <c r="Z22" i="9"/>
  <c r="R22" i="9"/>
  <c r="AD20" i="9"/>
  <c r="V20" i="9"/>
  <c r="N20" i="9"/>
  <c r="Z12" i="9"/>
  <c r="R12" i="9"/>
  <c r="AF6" i="9"/>
  <c r="X6" i="9"/>
  <c r="P6" i="9"/>
  <c r="AB22" i="9"/>
  <c r="V13" i="9"/>
  <c r="AA24" i="9"/>
  <c r="S24" i="9"/>
  <c r="K24" i="9"/>
  <c r="Y22" i="9"/>
  <c r="Q22" i="9"/>
  <c r="AC20" i="9"/>
  <c r="U20" i="9"/>
  <c r="M20" i="9"/>
  <c r="Y12" i="9"/>
  <c r="Q12" i="9"/>
  <c r="AE6" i="9"/>
  <c r="W6" i="9"/>
  <c r="O6" i="9"/>
  <c r="Z24" i="9"/>
  <c r="R24" i="9"/>
  <c r="AD21" i="9"/>
  <c r="AF12" i="9"/>
  <c r="X12" i="9"/>
  <c r="P12" i="9"/>
  <c r="AD6" i="9"/>
  <c r="V6" i="9"/>
  <c r="N6" i="9"/>
  <c r="Y24" i="9"/>
  <c r="Q24" i="9"/>
  <c r="AE12" i="9"/>
  <c r="W12" i="9"/>
  <c r="O12" i="9"/>
  <c r="AC6" i="9"/>
  <c r="U6" i="9"/>
  <c r="M6" i="9"/>
  <c r="J27" i="9"/>
  <c r="J25" i="9"/>
  <c r="AH19" i="2"/>
  <c r="AH29" i="2" s="1"/>
  <c r="AH33" i="2" s="1"/>
  <c r="AH35" i="2" s="1"/>
  <c r="AH37" i="2" s="1"/>
  <c r="AN3" i="2"/>
  <c r="AO3" i="2"/>
  <c r="N16" i="9" l="1"/>
  <c r="N30" i="9"/>
  <c r="N17" i="9" s="1"/>
  <c r="N29" i="9"/>
  <c r="AA30" i="9"/>
  <c r="AA17" i="9" s="1"/>
  <c r="N8" i="9"/>
  <c r="AF39" i="2"/>
  <c r="AF3" i="3"/>
  <c r="AG3" i="3"/>
  <c r="AH3" i="3"/>
  <c r="AI3" i="3"/>
  <c r="AI4" i="3" s="1"/>
  <c r="AJ3" i="3"/>
  <c r="AJ6" i="3" s="1"/>
  <c r="AK3" i="3"/>
  <c r="AK4" i="3" s="1"/>
  <c r="AL3" i="3"/>
  <c r="AL6" i="3" s="1"/>
  <c r="AM3" i="3"/>
  <c r="AN3" i="3"/>
  <c r="AO3" i="3"/>
  <c r="AP3" i="3"/>
  <c r="AQ3" i="3"/>
  <c r="AR3" i="3"/>
  <c r="AR6" i="3" s="1"/>
  <c r="AS3" i="3"/>
  <c r="AS6" i="3" s="1"/>
  <c r="AT3" i="3"/>
  <c r="AT6" i="3" s="1"/>
  <c r="AL4" i="3"/>
  <c r="AM4" i="3"/>
  <c r="AN4" i="3"/>
  <c r="AO4" i="3"/>
  <c r="AP4" i="3"/>
  <c r="AQ4" i="3"/>
  <c r="AT4" i="3"/>
  <c r="AL5" i="3"/>
  <c r="AM5" i="3"/>
  <c r="AN5" i="3"/>
  <c r="AO5" i="3"/>
  <c r="AP5" i="3"/>
  <c r="AQ5" i="3"/>
  <c r="AT5" i="3"/>
  <c r="AM6" i="3"/>
  <c r="AN6" i="3"/>
  <c r="AO6" i="3"/>
  <c r="AP6" i="3"/>
  <c r="AQ6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J9" i="3"/>
  <c r="AK9" i="3"/>
  <c r="AL9" i="3"/>
  <c r="AM9" i="3"/>
  <c r="AN9" i="3"/>
  <c r="AO9" i="3"/>
  <c r="AP9" i="3"/>
  <c r="AQ9" i="3"/>
  <c r="AR9" i="3"/>
  <c r="AS9" i="3"/>
  <c r="AT9" i="3"/>
  <c r="AJ10" i="3"/>
  <c r="AK10" i="3"/>
  <c r="AL10" i="3"/>
  <c r="AM10" i="3"/>
  <c r="AN10" i="3"/>
  <c r="AO10" i="3"/>
  <c r="AP10" i="3"/>
  <c r="AQ10" i="3"/>
  <c r="AR10" i="3"/>
  <c r="AS10" i="3"/>
  <c r="AT10" i="3"/>
  <c r="AJ11" i="3"/>
  <c r="AK11" i="3"/>
  <c r="AL11" i="3"/>
  <c r="AM11" i="3"/>
  <c r="AN11" i="3"/>
  <c r="AO11" i="3"/>
  <c r="AP11" i="3"/>
  <c r="AQ11" i="3"/>
  <c r="AR11" i="3"/>
  <c r="AS11" i="3"/>
  <c r="AT11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F19" i="3"/>
  <c r="AG19" i="3"/>
  <c r="AH19" i="3"/>
  <c r="AL19" i="3"/>
  <c r="AM19" i="3"/>
  <c r="AN19" i="3"/>
  <c r="AO19" i="3"/>
  <c r="AP19" i="3"/>
  <c r="AQ19" i="3"/>
  <c r="AR19" i="3"/>
  <c r="AT19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N24" i="3"/>
  <c r="AS24" i="3"/>
  <c r="AT24" i="3"/>
  <c r="AR25" i="3"/>
  <c r="AS25" i="3"/>
  <c r="AT25" i="3"/>
  <c r="AK26" i="3"/>
  <c r="AL26" i="3"/>
  <c r="AM26" i="3"/>
  <c r="AN26" i="3"/>
  <c r="AO26" i="3"/>
  <c r="AP26" i="3"/>
  <c r="AQ26" i="3"/>
  <c r="AR26" i="3"/>
  <c r="AS26" i="3"/>
  <c r="AT26" i="3"/>
  <c r="AL27" i="3"/>
  <c r="AM27" i="3"/>
  <c r="AN27" i="3"/>
  <c r="AO27" i="3"/>
  <c r="AP27" i="3"/>
  <c r="AQ27" i="3"/>
  <c r="AR27" i="3"/>
  <c r="AS27" i="3"/>
  <c r="AT27" i="3"/>
  <c r="AI28" i="3"/>
  <c r="AK28" i="3"/>
  <c r="AL28" i="3"/>
  <c r="AM28" i="3"/>
  <c r="AN28" i="3"/>
  <c r="AO28" i="3"/>
  <c r="AP28" i="3"/>
  <c r="AQ28" i="3"/>
  <c r="AR28" i="3"/>
  <c r="AS28" i="3"/>
  <c r="AT28" i="3"/>
  <c r="AL29" i="3"/>
  <c r="AM29" i="3"/>
  <c r="AN29" i="3"/>
  <c r="AO29" i="3"/>
  <c r="AP29" i="3"/>
  <c r="AQ29" i="3"/>
  <c r="AR29" i="3"/>
  <c r="AS29" i="3"/>
  <c r="AT29" i="3"/>
  <c r="AM30" i="3"/>
  <c r="AR30" i="3"/>
  <c r="AS30" i="3"/>
  <c r="AT30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J33" i="3"/>
  <c r="AK33" i="3"/>
  <c r="AL33" i="3"/>
  <c r="AM33" i="3"/>
  <c r="AN33" i="3"/>
  <c r="AO33" i="3"/>
  <c r="AP33" i="3"/>
  <c r="AQ33" i="3"/>
  <c r="AR33" i="3"/>
  <c r="AS33" i="3"/>
  <c r="AT33" i="3"/>
  <c r="AH34" i="3"/>
  <c r="AL34" i="3"/>
  <c r="AM34" i="3"/>
  <c r="AN34" i="3"/>
  <c r="AO34" i="3"/>
  <c r="AP34" i="3"/>
  <c r="AQ34" i="3"/>
  <c r="AR34" i="3"/>
  <c r="AS34" i="3"/>
  <c r="AT34" i="3"/>
  <c r="AL35" i="3"/>
  <c r="AM35" i="3"/>
  <c r="AN35" i="3"/>
  <c r="AO35" i="3"/>
  <c r="AP35" i="3"/>
  <c r="AQ35" i="3"/>
  <c r="AR35" i="3"/>
  <c r="AS35" i="3"/>
  <c r="AT35" i="3"/>
  <c r="AS36" i="3"/>
  <c r="AT36" i="3"/>
  <c r="AR37" i="3"/>
  <c r="AS37" i="3"/>
  <c r="AT37" i="3"/>
  <c r="AL38" i="3"/>
  <c r="AM38" i="3"/>
  <c r="AN38" i="3"/>
  <c r="AO38" i="3"/>
  <c r="AP38" i="3"/>
  <c r="AQ38" i="3"/>
  <c r="AR38" i="3"/>
  <c r="AS38" i="3"/>
  <c r="AT38" i="3"/>
  <c r="AM39" i="3"/>
  <c r="AN39" i="3"/>
  <c r="AR39" i="3"/>
  <c r="AS39" i="3"/>
  <c r="AT39" i="3"/>
  <c r="AH4" i="5"/>
  <c r="AI4" i="5"/>
  <c r="AJ24" i="3" s="1"/>
  <c r="AJ4" i="5"/>
  <c r="AK4" i="5"/>
  <c r="AL4" i="5"/>
  <c r="AM24" i="3" s="1"/>
  <c r="AM4" i="5"/>
  <c r="AN4" i="5"/>
  <c r="AP36" i="3" s="1"/>
  <c r="AO4" i="5"/>
  <c r="AQ36" i="3" s="1"/>
  <c r="AP4" i="5"/>
  <c r="AQ24" i="3" s="1"/>
  <c r="AQ4" i="5"/>
  <c r="AH5" i="5"/>
  <c r="AI5" i="5"/>
  <c r="AJ5" i="5"/>
  <c r="AK5" i="5"/>
  <c r="AL5" i="5"/>
  <c r="AL25" i="3" s="1"/>
  <c r="AM5" i="5"/>
  <c r="AN25" i="3" s="1"/>
  <c r="AN5" i="5"/>
  <c r="AO5" i="5"/>
  <c r="AO25" i="3" s="1"/>
  <c r="AP5" i="5"/>
  <c r="AQ25" i="3" s="1"/>
  <c r="AQ5" i="5"/>
  <c r="AG6" i="5"/>
  <c r="AH6" i="5"/>
  <c r="AH26" i="3" s="1"/>
  <c r="AI6" i="5"/>
  <c r="AJ26" i="3" s="1"/>
  <c r="AJ6" i="5"/>
  <c r="AK6" i="5"/>
  <c r="AL6" i="5"/>
  <c r="AM6" i="5"/>
  <c r="AN6" i="5"/>
  <c r="AO6" i="5"/>
  <c r="AP6" i="5"/>
  <c r="AQ6" i="5"/>
  <c r="AG7" i="5"/>
  <c r="AH7" i="5"/>
  <c r="AI7" i="5"/>
  <c r="AJ7" i="5"/>
  <c r="AK27" i="3" s="1"/>
  <c r="AK7" i="5"/>
  <c r="AL7" i="5"/>
  <c r="AM7" i="5"/>
  <c r="AN7" i="5"/>
  <c r="AO7" i="5"/>
  <c r="AP7" i="5"/>
  <c r="AQ7" i="5"/>
  <c r="AG8" i="5"/>
  <c r="AH8" i="5"/>
  <c r="AI8" i="5"/>
  <c r="AJ8" i="5"/>
  <c r="AK8" i="5"/>
  <c r="AL8" i="5"/>
  <c r="AM8" i="5"/>
  <c r="AN8" i="5"/>
  <c r="AO8" i="5"/>
  <c r="AP8" i="5"/>
  <c r="AQ8" i="5"/>
  <c r="AG15" i="5"/>
  <c r="AH15" i="5"/>
  <c r="AI15" i="5"/>
  <c r="AJ15" i="5"/>
  <c r="AK15" i="5"/>
  <c r="AL15" i="5"/>
  <c r="AM15" i="5"/>
  <c r="AM14" i="5" s="1"/>
  <c r="AM11" i="5" s="1"/>
  <c r="AM12" i="5" s="1"/>
  <c r="AN15" i="5"/>
  <c r="AN14" i="5" s="1"/>
  <c r="AN11" i="5" s="1"/>
  <c r="AN12" i="5" s="1"/>
  <c r="AO15" i="5"/>
  <c r="AP15" i="5"/>
  <c r="AQ15" i="5"/>
  <c r="AG17" i="5"/>
  <c r="AH17" i="5"/>
  <c r="AI17" i="5"/>
  <c r="AJ17" i="5"/>
  <c r="AK17" i="5"/>
  <c r="AL17" i="5"/>
  <c r="AM17" i="5"/>
  <c r="AN17" i="5"/>
  <c r="AO17" i="5"/>
  <c r="AP17" i="5"/>
  <c r="AQ17" i="5"/>
  <c r="AG18" i="5"/>
  <c r="AH18" i="5"/>
  <c r="AH14" i="5" s="1"/>
  <c r="AH11" i="5" s="1"/>
  <c r="AH12" i="5" s="1"/>
  <c r="AI18" i="5"/>
  <c r="AJ18" i="5"/>
  <c r="AK18" i="5"/>
  <c r="AL18" i="5"/>
  <c r="AM18" i="5"/>
  <c r="AN18" i="5"/>
  <c r="AO18" i="5"/>
  <c r="AO14" i="5" s="1"/>
  <c r="AO11" i="5" s="1"/>
  <c r="AO12" i="5" s="1"/>
  <c r="AP18" i="5"/>
  <c r="AP14" i="5" s="1"/>
  <c r="AP11" i="5" s="1"/>
  <c r="AP12" i="5" s="1"/>
  <c r="AQ18" i="5"/>
  <c r="AG19" i="5"/>
  <c r="AH19" i="5"/>
  <c r="AI19" i="5"/>
  <c r="AJ19" i="5"/>
  <c r="AK19" i="5"/>
  <c r="AL19" i="5"/>
  <c r="AM19" i="5"/>
  <c r="AN19" i="5"/>
  <c r="AO19" i="5"/>
  <c r="AP19" i="5"/>
  <c r="AQ19" i="5"/>
  <c r="AG20" i="5"/>
  <c r="AH20" i="5"/>
  <c r="AI20" i="5"/>
  <c r="AJ20" i="5"/>
  <c r="AK20" i="5"/>
  <c r="AL20" i="5"/>
  <c r="AM20" i="5"/>
  <c r="AN20" i="5"/>
  <c r="AO20" i="5"/>
  <c r="AP20" i="5"/>
  <c r="AQ20" i="5"/>
  <c r="AG21" i="5"/>
  <c r="AM21" i="5"/>
  <c r="AN21" i="5"/>
  <c r="AO21" i="5"/>
  <c r="AG22" i="5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N22" i="5"/>
  <c r="AO22" i="5"/>
  <c r="AP22" i="5"/>
  <c r="AP21" i="5" s="1"/>
  <c r="AQ22" i="5"/>
  <c r="AQ21" i="5" s="1"/>
  <c r="AQ14" i="5" s="1"/>
  <c r="AQ11" i="5" s="1"/>
  <c r="AQ12" i="5" s="1"/>
  <c r="AQ25" i="5"/>
  <c r="AG26" i="5"/>
  <c r="AH26" i="5"/>
  <c r="AI26" i="5"/>
  <c r="AI25" i="5" s="1"/>
  <c r="AJ26" i="5"/>
  <c r="AK26" i="5"/>
  <c r="AK25" i="5" s="1"/>
  <c r="AL26" i="5"/>
  <c r="AL25" i="5" s="1"/>
  <c r="AM26" i="5"/>
  <c r="AM25" i="5" s="1"/>
  <c r="AN26" i="5"/>
  <c r="AN25" i="5" s="1"/>
  <c r="AO26" i="5"/>
  <c r="AP26" i="5"/>
  <c r="AQ26" i="5"/>
  <c r="AG27" i="5"/>
  <c r="AH27" i="5"/>
  <c r="AI27" i="5"/>
  <c r="AJ27" i="5"/>
  <c r="AK27" i="5"/>
  <c r="AL27" i="5"/>
  <c r="AM27" i="5"/>
  <c r="AN27" i="5"/>
  <c r="AO27" i="5"/>
  <c r="AP27" i="5"/>
  <c r="AQ27" i="5"/>
  <c r="AG28" i="5"/>
  <c r="AG25" i="5" s="1"/>
  <c r="AH28" i="5"/>
  <c r="AI28" i="5"/>
  <c r="AJ28" i="5"/>
  <c r="AK28" i="5"/>
  <c r="AL28" i="5"/>
  <c r="AM28" i="5"/>
  <c r="AN28" i="5"/>
  <c r="AO28" i="5"/>
  <c r="AO25" i="5" s="1"/>
  <c r="AP28" i="5"/>
  <c r="AP25" i="5" s="1"/>
  <c r="AQ28" i="5"/>
  <c r="AH30" i="5"/>
  <c r="AI30" i="5"/>
  <c r="AJ30" i="5"/>
  <c r="AK30" i="5"/>
  <c r="AL30" i="5"/>
  <c r="AM30" i="5"/>
  <c r="AN30" i="5"/>
  <c r="AO30" i="5"/>
  <c r="AP30" i="5"/>
  <c r="AQ30" i="5"/>
  <c r="AG31" i="5"/>
  <c r="AH31" i="5"/>
  <c r="AI31" i="5"/>
  <c r="AK35" i="3" s="1"/>
  <c r="AJ31" i="5"/>
  <c r="AJ28" i="3" s="1"/>
  <c r="AK31" i="5"/>
  <c r="AL31" i="5"/>
  <c r="AM31" i="5"/>
  <c r="AN31" i="5"/>
  <c r="AO31" i="5"/>
  <c r="AP31" i="5"/>
  <c r="AQ31" i="5"/>
  <c r="AG32" i="5"/>
  <c r="AH32" i="5"/>
  <c r="AI32" i="5"/>
  <c r="AJ32" i="5"/>
  <c r="AK32" i="5"/>
  <c r="AL32" i="5"/>
  <c r="AM32" i="5"/>
  <c r="AN32" i="5"/>
  <c r="AO32" i="5"/>
  <c r="AP32" i="5"/>
  <c r="AQ32" i="5"/>
  <c r="AH34" i="5"/>
  <c r="AI34" i="5"/>
  <c r="AJ34" i="5"/>
  <c r="AK34" i="5"/>
  <c r="AL34" i="5"/>
  <c r="AM34" i="5"/>
  <c r="AN34" i="5"/>
  <c r="AO34" i="5"/>
  <c r="AP34" i="5"/>
  <c r="AQ34" i="5"/>
  <c r="AG35" i="5"/>
  <c r="AH35" i="5"/>
  <c r="AI35" i="5"/>
  <c r="AJ35" i="5"/>
  <c r="AK35" i="5"/>
  <c r="AL35" i="5"/>
  <c r="AM35" i="5"/>
  <c r="AN35" i="5"/>
  <c r="AO35" i="5"/>
  <c r="AP35" i="5"/>
  <c r="AQ35" i="5"/>
  <c r="AG38" i="5"/>
  <c r="AH38" i="5"/>
  <c r="AI38" i="5"/>
  <c r="AJ38" i="3" s="1"/>
  <c r="AJ38" i="5"/>
  <c r="AK38" i="3" s="1"/>
  <c r="AK38" i="5"/>
  <c r="AK37" i="5" s="1"/>
  <c r="AL30" i="3" s="1"/>
  <c r="AL38" i="5"/>
  <c r="AM38" i="5"/>
  <c r="AN38" i="5"/>
  <c r="AO38" i="5"/>
  <c r="AP38" i="5"/>
  <c r="AQ38" i="5"/>
  <c r="AQ37" i="5" s="1"/>
  <c r="AI39" i="5"/>
  <c r="AJ39" i="5"/>
  <c r="AK39" i="5"/>
  <c r="AL39" i="5"/>
  <c r="AM39" i="5"/>
  <c r="AN39" i="5"/>
  <c r="AN37" i="5" s="1"/>
  <c r="AO39" i="5"/>
  <c r="AP39" i="5"/>
  <c r="AQ39" i="5"/>
  <c r="AG40" i="5"/>
  <c r="AH40" i="5"/>
  <c r="AI40" i="5"/>
  <c r="AJ40" i="5"/>
  <c r="AK40" i="5"/>
  <c r="AL40" i="5"/>
  <c r="AL37" i="5" s="1"/>
  <c r="AM40" i="5"/>
  <c r="AM37" i="5" s="1"/>
  <c r="AN37" i="3" s="1"/>
  <c r="AN40" i="5"/>
  <c r="AO40" i="5"/>
  <c r="AP40" i="5"/>
  <c r="AQ40" i="5"/>
  <c r="AJ43" i="5"/>
  <c r="AG44" i="5"/>
  <c r="AH44" i="5"/>
  <c r="AI33" i="3" s="1"/>
  <c r="AI44" i="5"/>
  <c r="AJ44" i="5"/>
  <c r="AK44" i="5"/>
  <c r="AL44" i="5"/>
  <c r="AM44" i="5"/>
  <c r="AN44" i="5"/>
  <c r="AO44" i="5"/>
  <c r="AP44" i="5"/>
  <c r="AQ44" i="5"/>
  <c r="AG45" i="5"/>
  <c r="AH45" i="5"/>
  <c r="AI34" i="3" s="1"/>
  <c r="AI45" i="5"/>
  <c r="AJ34" i="3" s="1"/>
  <c r="AJ45" i="5"/>
  <c r="AK34" i="3" s="1"/>
  <c r="AK45" i="5"/>
  <c r="AL45" i="5"/>
  <c r="AM45" i="5"/>
  <c r="AN45" i="5"/>
  <c r="AO45" i="5"/>
  <c r="AP45" i="5"/>
  <c r="AQ45" i="5"/>
  <c r="AG46" i="5"/>
  <c r="AH46" i="5"/>
  <c r="AI46" i="5"/>
  <c r="AJ35" i="3" s="1"/>
  <c r="AJ46" i="5"/>
  <c r="AK46" i="5"/>
  <c r="AL46" i="5"/>
  <c r="AM46" i="5"/>
  <c r="AN46" i="5"/>
  <c r="AO46" i="5"/>
  <c r="AP46" i="5"/>
  <c r="AQ46" i="5"/>
  <c r="AQ43" i="5" s="1"/>
  <c r="AI47" i="5"/>
  <c r="AJ47" i="5"/>
  <c r="AK47" i="5"/>
  <c r="AL47" i="5"/>
  <c r="AM47" i="5"/>
  <c r="AN47" i="5"/>
  <c r="AO47" i="5"/>
  <c r="AP47" i="5"/>
  <c r="AQ47" i="5"/>
  <c r="AC18" i="2"/>
  <c r="AC13" i="2"/>
  <c r="G46" i="9" s="1"/>
  <c r="G48" i="9"/>
  <c r="G43" i="9"/>
  <c r="G37" i="9"/>
  <c r="G35" i="9"/>
  <c r="G32" i="9"/>
  <c r="G36" i="9"/>
  <c r="AC11" i="2"/>
  <c r="AC42" i="1"/>
  <c r="AC36" i="1"/>
  <c r="G41" i="9" s="1"/>
  <c r="AC12" i="1"/>
  <c r="G38" i="9" s="1"/>
  <c r="AC6" i="1"/>
  <c r="AK25" i="3" l="1"/>
  <c r="AJ27" i="3"/>
  <c r="AL36" i="3"/>
  <c r="AL24" i="3"/>
  <c r="AJ25" i="5"/>
  <c r="N21" i="9"/>
  <c r="N22" i="9"/>
  <c r="N7" i="9"/>
  <c r="N11" i="9"/>
  <c r="N24" i="9"/>
  <c r="AI14" i="5"/>
  <c r="AI11" i="5" s="1"/>
  <c r="AI19" i="3"/>
  <c r="AI26" i="3"/>
  <c r="AI25" i="3"/>
  <c r="AI27" i="3"/>
  <c r="AJ25" i="3"/>
  <c r="AH25" i="5"/>
  <c r="AI6" i="3"/>
  <c r="AI5" i="3"/>
  <c r="AJ19" i="3"/>
  <c r="AK36" i="3"/>
  <c r="AJ36" i="3"/>
  <c r="AK24" i="3"/>
  <c r="AM25" i="3"/>
  <c r="AP25" i="3"/>
  <c r="AO24" i="3"/>
  <c r="AR36" i="3"/>
  <c r="AP24" i="3"/>
  <c r="AO36" i="3"/>
  <c r="AN36" i="3"/>
  <c r="AR24" i="3"/>
  <c r="AM36" i="3"/>
  <c r="AI43" i="5"/>
  <c r="AO43" i="5"/>
  <c r="AM37" i="3"/>
  <c r="AM43" i="5"/>
  <c r="AN43" i="5"/>
  <c r="AL43" i="5"/>
  <c r="AP43" i="5"/>
  <c r="AK43" i="5"/>
  <c r="AN30" i="3"/>
  <c r="AO39" i="3"/>
  <c r="AO37" i="3"/>
  <c r="AL39" i="3"/>
  <c r="AK30" i="3"/>
  <c r="AL37" i="3"/>
  <c r="AI37" i="5"/>
  <c r="AP37" i="5"/>
  <c r="AO37" i="5"/>
  <c r="AJ37" i="5"/>
  <c r="AH33" i="3"/>
  <c r="AG14" i="5"/>
  <c r="AG11" i="5" s="1"/>
  <c r="AG26" i="3"/>
  <c r="AG27" i="3"/>
  <c r="AH27" i="3"/>
  <c r="AI35" i="3"/>
  <c r="AH28" i="3"/>
  <c r="AS19" i="3"/>
  <c r="AK19" i="3"/>
  <c r="AS5" i="3"/>
  <c r="AK5" i="3"/>
  <c r="AR4" i="3"/>
  <c r="AJ4" i="3"/>
  <c r="AS4" i="3"/>
  <c r="AK6" i="3"/>
  <c r="AR5" i="3"/>
  <c r="AJ5" i="3"/>
  <c r="AJ14" i="5"/>
  <c r="AJ11" i="5" s="1"/>
  <c r="AK14" i="5"/>
  <c r="AK11" i="5" s="1"/>
  <c r="AK12" i="5" s="1"/>
  <c r="AL14" i="5"/>
  <c r="AL11" i="5" s="1"/>
  <c r="AL12" i="5" s="1"/>
  <c r="G15" i="9"/>
  <c r="G10" i="9"/>
  <c r="AD28" i="5"/>
  <c r="AE8" i="3"/>
  <c r="AD8" i="3"/>
  <c r="AA8" i="3"/>
  <c r="X8" i="3"/>
  <c r="U8" i="3"/>
  <c r="R8" i="3"/>
  <c r="AB3" i="3"/>
  <c r="AB19" i="3" s="1"/>
  <c r="AC3" i="3"/>
  <c r="AD3" i="3"/>
  <c r="AD19" i="3" s="1"/>
  <c r="W3" i="3"/>
  <c r="W19" i="3" s="1"/>
  <c r="X3" i="3"/>
  <c r="Y3" i="3"/>
  <c r="Z3" i="3"/>
  <c r="AA3" i="3"/>
  <c r="AA19" i="3" s="1"/>
  <c r="X19" i="3"/>
  <c r="S3" i="3"/>
  <c r="T3" i="3"/>
  <c r="U3" i="3"/>
  <c r="V3" i="3"/>
  <c r="V19" i="3" s="1"/>
  <c r="U19" i="3"/>
  <c r="H8" i="3"/>
  <c r="AE6" i="5"/>
  <c r="AF6" i="5"/>
  <c r="AE7" i="5"/>
  <c r="AF7" i="5"/>
  <c r="AF27" i="3" s="1"/>
  <c r="AE8" i="5"/>
  <c r="AF8" i="5"/>
  <c r="AE15" i="5"/>
  <c r="AF15" i="5"/>
  <c r="AE17" i="5"/>
  <c r="AF17" i="5"/>
  <c r="AE18" i="5"/>
  <c r="AF18" i="5"/>
  <c r="AE19" i="5"/>
  <c r="AF19" i="5"/>
  <c r="AE20" i="5"/>
  <c r="AF20" i="5"/>
  <c r="AE22" i="5"/>
  <c r="AE21" i="5" s="1"/>
  <c r="AF22" i="5"/>
  <c r="AF21" i="5" s="1"/>
  <c r="AE26" i="5"/>
  <c r="AF26" i="5"/>
  <c r="AE27" i="5"/>
  <c r="AF27" i="5"/>
  <c r="AE28" i="5"/>
  <c r="AF28" i="5"/>
  <c r="AE31" i="5"/>
  <c r="AF31" i="5"/>
  <c r="AE32" i="5"/>
  <c r="AF32" i="5"/>
  <c r="AE35" i="5"/>
  <c r="AF35" i="5"/>
  <c r="AE38" i="5"/>
  <c r="AF38" i="5"/>
  <c r="AE40" i="5"/>
  <c r="AF40" i="5"/>
  <c r="AE44" i="5"/>
  <c r="AF33" i="3" s="1"/>
  <c r="AF44" i="5"/>
  <c r="AG33" i="3" s="1"/>
  <c r="AE45" i="5"/>
  <c r="AF34" i="3" s="1"/>
  <c r="AF45" i="5"/>
  <c r="AG34" i="3" s="1"/>
  <c r="AE46" i="5"/>
  <c r="AF46" i="5"/>
  <c r="AD6" i="5"/>
  <c r="AD7" i="5"/>
  <c r="AD8" i="5"/>
  <c r="AD15" i="5"/>
  <c r="AD17" i="5"/>
  <c r="AD19" i="5"/>
  <c r="AD20" i="5"/>
  <c r="AD22" i="5"/>
  <c r="AD21" i="5" s="1"/>
  <c r="AD26" i="5"/>
  <c r="AD27" i="5"/>
  <c r="AD31" i="5"/>
  <c r="AD32" i="5"/>
  <c r="AD35" i="5"/>
  <c r="AD38" i="5"/>
  <c r="AD40" i="5"/>
  <c r="AD44" i="5"/>
  <c r="AE33" i="3" s="1"/>
  <c r="AD45" i="5"/>
  <c r="AE34" i="3" s="1"/>
  <c r="AD46" i="5"/>
  <c r="AB6" i="5"/>
  <c r="AC6" i="5"/>
  <c r="AC26" i="3" s="1"/>
  <c r="AB7" i="5"/>
  <c r="AC7" i="5"/>
  <c r="AB8" i="5"/>
  <c r="AC8" i="5"/>
  <c r="AB15" i="5"/>
  <c r="AC15" i="5"/>
  <c r="AB17" i="5"/>
  <c r="AC17" i="5"/>
  <c r="AB18" i="5"/>
  <c r="AC18" i="5"/>
  <c r="AB19" i="5"/>
  <c r="AC19" i="5"/>
  <c r="AB20" i="5"/>
  <c r="AC20" i="5"/>
  <c r="AB22" i="5"/>
  <c r="AB21" i="5" s="1"/>
  <c r="AC22" i="5"/>
  <c r="AC21" i="5" s="1"/>
  <c r="AB26" i="5"/>
  <c r="AC26" i="5"/>
  <c r="AB27" i="5"/>
  <c r="AC27" i="5"/>
  <c r="AB28" i="5"/>
  <c r="AC28" i="5"/>
  <c r="AB31" i="5"/>
  <c r="AC31" i="5"/>
  <c r="AB32" i="5"/>
  <c r="AC32" i="5"/>
  <c r="AB35" i="5"/>
  <c r="AC35" i="5"/>
  <c r="AB38" i="5"/>
  <c r="AC38" i="5"/>
  <c r="AB40" i="5"/>
  <c r="AC40" i="5"/>
  <c r="AB44" i="5"/>
  <c r="AC33" i="3" s="1"/>
  <c r="AC44" i="5"/>
  <c r="AB45" i="5"/>
  <c r="AC45" i="5"/>
  <c r="AD34" i="3" s="1"/>
  <c r="AB46" i="5"/>
  <c r="AC46" i="5"/>
  <c r="Y6" i="5"/>
  <c r="Z6" i="5"/>
  <c r="Z26" i="3" s="1"/>
  <c r="AA6" i="5"/>
  <c r="Y7" i="5"/>
  <c r="Z7" i="5"/>
  <c r="AA7" i="5"/>
  <c r="AA27" i="3" s="1"/>
  <c r="Y8" i="5"/>
  <c r="Z8" i="5"/>
  <c r="AA8" i="5"/>
  <c r="Y15" i="5"/>
  <c r="Z15" i="5"/>
  <c r="AA15" i="5"/>
  <c r="Y17" i="5"/>
  <c r="Z17" i="5"/>
  <c r="AA17" i="5"/>
  <c r="Y18" i="5"/>
  <c r="Z18" i="5"/>
  <c r="AA18" i="5"/>
  <c r="Y19" i="5"/>
  <c r="Z19" i="5"/>
  <c r="AA19" i="5"/>
  <c r="Y20" i="5"/>
  <c r="Z20" i="5"/>
  <c r="AA20" i="5"/>
  <c r="Y22" i="5"/>
  <c r="Y21" i="5" s="1"/>
  <c r="Z22" i="5"/>
  <c r="Z21" i="5" s="1"/>
  <c r="AA22" i="5"/>
  <c r="AA21" i="5" s="1"/>
  <c r="Y26" i="5"/>
  <c r="Z26" i="5"/>
  <c r="AA26" i="5"/>
  <c r="Y27" i="5"/>
  <c r="Z27" i="5"/>
  <c r="AA27" i="5"/>
  <c r="Y28" i="5"/>
  <c r="Z28" i="5"/>
  <c r="AA28" i="5"/>
  <c r="Y31" i="5"/>
  <c r="Z31" i="5"/>
  <c r="AA31" i="5"/>
  <c r="Y32" i="5"/>
  <c r="Z32" i="5"/>
  <c r="AA32" i="5"/>
  <c r="Y35" i="5"/>
  <c r="Z35" i="5"/>
  <c r="AA35" i="5"/>
  <c r="Y38" i="5"/>
  <c r="Z38" i="5"/>
  <c r="AA38" i="5"/>
  <c r="Y40" i="5"/>
  <c r="Z40" i="5"/>
  <c r="AA40" i="5"/>
  <c r="Y44" i="5"/>
  <c r="Z33" i="3" s="1"/>
  <c r="Z44" i="5"/>
  <c r="AA33" i="3" s="1"/>
  <c r="AA44" i="5"/>
  <c r="AB33" i="3" s="1"/>
  <c r="Y45" i="5"/>
  <c r="Z34" i="3" s="1"/>
  <c r="Z45" i="5"/>
  <c r="AA34" i="3" s="1"/>
  <c r="AA45" i="5"/>
  <c r="AB34" i="3" s="1"/>
  <c r="Y46" i="5"/>
  <c r="Z46" i="5"/>
  <c r="AA46" i="5"/>
  <c r="T6" i="5"/>
  <c r="U6" i="5"/>
  <c r="V6" i="5"/>
  <c r="V26" i="3" s="1"/>
  <c r="W6" i="5"/>
  <c r="X6" i="5"/>
  <c r="T7" i="5"/>
  <c r="U7" i="5"/>
  <c r="U27" i="3" s="1"/>
  <c r="V7" i="5"/>
  <c r="W7" i="5"/>
  <c r="X7" i="5"/>
  <c r="T8" i="5"/>
  <c r="U8" i="5"/>
  <c r="V8" i="5"/>
  <c r="W8" i="5"/>
  <c r="X8" i="5"/>
  <c r="T15" i="5"/>
  <c r="U15" i="5"/>
  <c r="V15" i="5"/>
  <c r="W15" i="5"/>
  <c r="X15" i="5"/>
  <c r="T17" i="5"/>
  <c r="U17" i="5"/>
  <c r="V17" i="5"/>
  <c r="W17" i="5"/>
  <c r="X17" i="5"/>
  <c r="T18" i="5"/>
  <c r="U18" i="5"/>
  <c r="V18" i="5"/>
  <c r="W18" i="5"/>
  <c r="X18" i="5"/>
  <c r="T19" i="5"/>
  <c r="U19" i="5"/>
  <c r="V19" i="5"/>
  <c r="W19" i="5"/>
  <c r="X19" i="5"/>
  <c r="T20" i="5"/>
  <c r="U20" i="5"/>
  <c r="V20" i="5"/>
  <c r="W20" i="5"/>
  <c r="X20" i="5"/>
  <c r="T22" i="5"/>
  <c r="T21" i="5" s="1"/>
  <c r="U22" i="5"/>
  <c r="U21" i="5" s="1"/>
  <c r="V22" i="5"/>
  <c r="V21" i="5" s="1"/>
  <c r="W22" i="5"/>
  <c r="W21" i="5" s="1"/>
  <c r="X22" i="5"/>
  <c r="X21" i="5" s="1"/>
  <c r="T26" i="5"/>
  <c r="U26" i="5"/>
  <c r="V26" i="5"/>
  <c r="W26" i="5"/>
  <c r="X26" i="5"/>
  <c r="T27" i="5"/>
  <c r="U27" i="5"/>
  <c r="V27" i="5"/>
  <c r="W27" i="5"/>
  <c r="X27" i="5"/>
  <c r="T28" i="5"/>
  <c r="U28" i="5"/>
  <c r="V28" i="5"/>
  <c r="W28" i="5"/>
  <c r="X28" i="5"/>
  <c r="T31" i="5"/>
  <c r="U31" i="5"/>
  <c r="V31" i="5"/>
  <c r="W31" i="5"/>
  <c r="X31" i="5"/>
  <c r="T32" i="5"/>
  <c r="U32" i="5"/>
  <c r="V32" i="5"/>
  <c r="W32" i="5"/>
  <c r="X32" i="5"/>
  <c r="T35" i="5"/>
  <c r="U35" i="5"/>
  <c r="V35" i="5"/>
  <c r="W35" i="5"/>
  <c r="X35" i="5"/>
  <c r="T38" i="5"/>
  <c r="U38" i="5"/>
  <c r="V38" i="5"/>
  <c r="W38" i="5"/>
  <c r="X38" i="5"/>
  <c r="T40" i="5"/>
  <c r="U40" i="5"/>
  <c r="V40" i="5"/>
  <c r="W40" i="5"/>
  <c r="X40" i="5"/>
  <c r="T44" i="5"/>
  <c r="U33" i="3" s="1"/>
  <c r="U44" i="5"/>
  <c r="V33" i="3" s="1"/>
  <c r="V44" i="5"/>
  <c r="W33" i="3" s="1"/>
  <c r="W44" i="5"/>
  <c r="X33" i="3" s="1"/>
  <c r="X44" i="5"/>
  <c r="T45" i="5"/>
  <c r="U34" i="3" s="1"/>
  <c r="U45" i="5"/>
  <c r="V34" i="3" s="1"/>
  <c r="V45" i="5"/>
  <c r="W34" i="3" s="1"/>
  <c r="W45" i="5"/>
  <c r="X34" i="3" s="1"/>
  <c r="X45" i="5"/>
  <c r="Y34" i="3" s="1"/>
  <c r="T46" i="5"/>
  <c r="U46" i="5"/>
  <c r="V46" i="5"/>
  <c r="W46" i="5"/>
  <c r="X46" i="5"/>
  <c r="R6" i="5"/>
  <c r="S6" i="5"/>
  <c r="S26" i="3" s="1"/>
  <c r="R7" i="5"/>
  <c r="S7" i="5"/>
  <c r="R8" i="5"/>
  <c r="S8" i="5"/>
  <c r="R15" i="5"/>
  <c r="S15" i="5"/>
  <c r="R17" i="5"/>
  <c r="S17" i="5"/>
  <c r="R18" i="5"/>
  <c r="S18" i="5"/>
  <c r="R19" i="5"/>
  <c r="S19" i="5"/>
  <c r="R20" i="5"/>
  <c r="S20" i="5"/>
  <c r="R22" i="5"/>
  <c r="R21" i="5" s="1"/>
  <c r="S22" i="5"/>
  <c r="S21" i="5" s="1"/>
  <c r="R26" i="5"/>
  <c r="S26" i="5"/>
  <c r="R27" i="5"/>
  <c r="S27" i="5"/>
  <c r="R28" i="5"/>
  <c r="S28" i="5"/>
  <c r="R31" i="5"/>
  <c r="S31" i="5"/>
  <c r="R32" i="5"/>
  <c r="S32" i="5"/>
  <c r="R35" i="5"/>
  <c r="S35" i="5"/>
  <c r="R38" i="5"/>
  <c r="S38" i="5"/>
  <c r="R40" i="5"/>
  <c r="S40" i="5"/>
  <c r="R44" i="5"/>
  <c r="S33" i="3" s="1"/>
  <c r="S44" i="5"/>
  <c r="R45" i="5"/>
  <c r="S34" i="3" s="1"/>
  <c r="S45" i="5"/>
  <c r="T34" i="3" s="1"/>
  <c r="R46" i="5"/>
  <c r="S46" i="5"/>
  <c r="I41" i="10"/>
  <c r="D45" i="10"/>
  <c r="I42" i="10" s="1"/>
  <c r="C45" i="10"/>
  <c r="F44" i="10"/>
  <c r="F43" i="10"/>
  <c r="F42" i="10"/>
  <c r="F41" i="10"/>
  <c r="F40" i="10"/>
  <c r="D35" i="10"/>
  <c r="C35" i="10"/>
  <c r="F34" i="10"/>
  <c r="F33" i="10"/>
  <c r="F32" i="10"/>
  <c r="I31" i="10"/>
  <c r="F31" i="10"/>
  <c r="F30" i="10"/>
  <c r="D26" i="10"/>
  <c r="C26" i="10"/>
  <c r="F25" i="10"/>
  <c r="F24" i="10"/>
  <c r="F23" i="10"/>
  <c r="I22" i="10"/>
  <c r="I23" i="10" s="1"/>
  <c r="F22" i="10"/>
  <c r="F21" i="10"/>
  <c r="D17" i="10"/>
  <c r="C17" i="10"/>
  <c r="F16" i="10"/>
  <c r="F15" i="10"/>
  <c r="F14" i="10"/>
  <c r="I13" i="10"/>
  <c r="I14" i="10" s="1"/>
  <c r="F13" i="10"/>
  <c r="F12" i="10"/>
  <c r="E8" i="10"/>
  <c r="D8" i="10"/>
  <c r="C8" i="10"/>
  <c r="F7" i="10"/>
  <c r="F6" i="10"/>
  <c r="F5" i="10"/>
  <c r="I4" i="10"/>
  <c r="F4" i="10"/>
  <c r="F3" i="10"/>
  <c r="AC12" i="2"/>
  <c r="AC28" i="2"/>
  <c r="AC23" i="2" s="1"/>
  <c r="AE3" i="3"/>
  <c r="AC8" i="1"/>
  <c r="AC4" i="1"/>
  <c r="G40" i="9" s="1"/>
  <c r="AD4" i="2"/>
  <c r="AE4" i="2"/>
  <c r="AF4" i="2"/>
  <c r="AG4" i="2"/>
  <c r="AD7" i="2"/>
  <c r="AE39" i="5" s="1"/>
  <c r="AE7" i="2"/>
  <c r="AF39" i="5" s="1"/>
  <c r="AF7" i="2"/>
  <c r="AG39" i="5" s="1"/>
  <c r="AG37" i="5" s="1"/>
  <c r="AG7" i="2"/>
  <c r="AH39" i="5" s="1"/>
  <c r="AH37" i="5" s="1"/>
  <c r="AD12" i="2"/>
  <c r="AE12" i="2"/>
  <c r="AF12" i="2"/>
  <c r="AG12" i="2"/>
  <c r="AD20" i="2"/>
  <c r="AE20" i="2"/>
  <c r="AF20" i="2"/>
  <c r="AG20" i="2"/>
  <c r="AD23" i="2"/>
  <c r="AE47" i="5" s="1"/>
  <c r="AE23" i="2"/>
  <c r="AF47" i="5" s="1"/>
  <c r="AF23" i="2"/>
  <c r="AG47" i="5" s="1"/>
  <c r="AG43" i="5" s="1"/>
  <c r="AG23" i="2"/>
  <c r="AH47" i="5" s="1"/>
  <c r="AH43" i="5" s="1"/>
  <c r="AD30" i="2"/>
  <c r="AE30" i="2"/>
  <c r="AF30" i="2"/>
  <c r="AG30" i="2"/>
  <c r="AC4" i="2"/>
  <c r="AC7" i="2"/>
  <c r="AD39" i="5" s="1"/>
  <c r="AC20" i="2"/>
  <c r="AC30" i="2"/>
  <c r="AD4" i="1"/>
  <c r="AE4" i="1"/>
  <c r="AF4" i="1"/>
  <c r="AD8" i="1"/>
  <c r="AE8" i="1"/>
  <c r="AF8" i="1"/>
  <c r="AD14" i="1"/>
  <c r="AF38" i="3" s="1"/>
  <c r="AE14" i="1"/>
  <c r="AF14" i="1"/>
  <c r="AD17" i="1"/>
  <c r="AE17" i="1"/>
  <c r="AF17" i="1"/>
  <c r="AD21" i="1"/>
  <c r="AE34" i="5" s="1"/>
  <c r="AE21" i="1"/>
  <c r="AF34" i="5" s="1"/>
  <c r="AF21" i="1"/>
  <c r="AG34" i="5" s="1"/>
  <c r="AD31" i="1"/>
  <c r="AE31" i="1"/>
  <c r="AF31" i="1"/>
  <c r="AD48" i="1"/>
  <c r="AE48" i="1"/>
  <c r="AF48" i="1"/>
  <c r="AC48" i="1"/>
  <c r="AC31" i="1"/>
  <c r="AC21" i="1"/>
  <c r="AC17" i="1"/>
  <c r="AC14" i="1"/>
  <c r="AB23" i="2"/>
  <c r="AB20" i="2"/>
  <c r="AB12" i="2"/>
  <c r="AB39" i="2" s="1"/>
  <c r="AB7" i="2"/>
  <c r="AC39" i="5" s="1"/>
  <c r="AB4" i="2"/>
  <c r="Q30" i="2"/>
  <c r="R30" i="2"/>
  <c r="S30" i="2"/>
  <c r="T30" i="2"/>
  <c r="U30" i="2"/>
  <c r="V30" i="2"/>
  <c r="W30" i="2"/>
  <c r="X30" i="2"/>
  <c r="Y30" i="2"/>
  <c r="Z30" i="2"/>
  <c r="AA30" i="2"/>
  <c r="AB30" i="2"/>
  <c r="Q23" i="2"/>
  <c r="R23" i="2"/>
  <c r="S23" i="2"/>
  <c r="T47" i="5" s="1"/>
  <c r="T23" i="2"/>
  <c r="U23" i="2"/>
  <c r="V23" i="2"/>
  <c r="W23" i="2"/>
  <c r="X47" i="5" s="1"/>
  <c r="X23" i="2"/>
  <c r="Y23" i="2"/>
  <c r="Z47" i="5" s="1"/>
  <c r="Z23" i="2"/>
  <c r="AA47" i="5" s="1"/>
  <c r="AA23" i="2"/>
  <c r="AB47" i="5" s="1"/>
  <c r="Q20" i="2"/>
  <c r="R20" i="2"/>
  <c r="S20" i="2"/>
  <c r="T20" i="2"/>
  <c r="U20" i="2"/>
  <c r="V20" i="2"/>
  <c r="W20" i="2"/>
  <c r="X20" i="2"/>
  <c r="Y20" i="2"/>
  <c r="Z20" i="2"/>
  <c r="AA20" i="2"/>
  <c r="Q12" i="2"/>
  <c r="R12" i="2"/>
  <c r="S12" i="2"/>
  <c r="T12" i="2"/>
  <c r="U12" i="2"/>
  <c r="V12" i="2"/>
  <c r="W12" i="2"/>
  <c r="W39" i="2" s="1"/>
  <c r="X12" i="2"/>
  <c r="X39" i="2" s="1"/>
  <c r="Y12" i="2"/>
  <c r="Z12" i="2"/>
  <c r="AA12" i="2"/>
  <c r="AA39" i="2" s="1"/>
  <c r="Q7" i="2"/>
  <c r="R39" i="5" s="1"/>
  <c r="R7" i="2"/>
  <c r="S39" i="5" s="1"/>
  <c r="S7" i="2"/>
  <c r="T39" i="5" s="1"/>
  <c r="T7" i="2"/>
  <c r="U39" i="5" s="1"/>
  <c r="U7" i="2"/>
  <c r="V39" i="5" s="1"/>
  <c r="V7" i="2"/>
  <c r="W39" i="5" s="1"/>
  <c r="W7" i="2"/>
  <c r="X39" i="5" s="1"/>
  <c r="X7" i="2"/>
  <c r="Y39" i="5" s="1"/>
  <c r="Y7" i="2"/>
  <c r="Z39" i="5" s="1"/>
  <c r="Z7" i="2"/>
  <c r="AA39" i="5" s="1"/>
  <c r="AA7" i="2"/>
  <c r="AB39" i="5" s="1"/>
  <c r="Q4" i="2"/>
  <c r="R4" i="2"/>
  <c r="S4" i="2"/>
  <c r="T4" i="2"/>
  <c r="U4" i="2"/>
  <c r="V4" i="2"/>
  <c r="W4" i="2"/>
  <c r="X4" i="2"/>
  <c r="Y4" i="2"/>
  <c r="Z4" i="2"/>
  <c r="AA4" i="2"/>
  <c r="Q48" i="1"/>
  <c r="R48" i="1"/>
  <c r="S48" i="1"/>
  <c r="T48" i="1"/>
  <c r="U48" i="1"/>
  <c r="V48" i="1"/>
  <c r="W48" i="1"/>
  <c r="X48" i="1"/>
  <c r="Y48" i="1"/>
  <c r="Z48" i="1"/>
  <c r="AA48" i="1"/>
  <c r="AB48" i="1"/>
  <c r="Q31" i="1"/>
  <c r="R5" i="5" s="1"/>
  <c r="R31" i="1"/>
  <c r="S31" i="1"/>
  <c r="S38" i="1" s="1"/>
  <c r="S49" i="1" s="1"/>
  <c r="T31" i="1"/>
  <c r="T38" i="1" s="1"/>
  <c r="U31" i="1"/>
  <c r="V31" i="1"/>
  <c r="X5" i="3" s="1"/>
  <c r="W31" i="1"/>
  <c r="X31" i="1"/>
  <c r="X38" i="1" s="1"/>
  <c r="X49" i="1" s="1"/>
  <c r="Y31" i="1"/>
  <c r="Z5" i="5" s="1"/>
  <c r="Z31" i="1"/>
  <c r="AA31" i="1"/>
  <c r="AA38" i="1" s="1"/>
  <c r="AA49" i="1" s="1"/>
  <c r="AB31" i="1"/>
  <c r="AD18" i="3" s="1"/>
  <c r="Q21" i="1"/>
  <c r="R34" i="5" s="1"/>
  <c r="R21" i="1"/>
  <c r="S21" i="1"/>
  <c r="T34" i="5" s="1"/>
  <c r="T21" i="1"/>
  <c r="U21" i="1"/>
  <c r="V21" i="1"/>
  <c r="W21" i="1"/>
  <c r="X34" i="5" s="1"/>
  <c r="X21" i="1"/>
  <c r="Y21" i="1"/>
  <c r="Z21" i="1"/>
  <c r="AA21" i="1"/>
  <c r="AB21" i="1"/>
  <c r="Q17" i="1"/>
  <c r="R17" i="1"/>
  <c r="S17" i="1"/>
  <c r="T17" i="1"/>
  <c r="U17" i="1"/>
  <c r="V17" i="1"/>
  <c r="W17" i="1"/>
  <c r="X17" i="1"/>
  <c r="Y17" i="1"/>
  <c r="Z17" i="1"/>
  <c r="AA17" i="1"/>
  <c r="AB17" i="1"/>
  <c r="Q14" i="1"/>
  <c r="R14" i="1"/>
  <c r="S30" i="5" s="1"/>
  <c r="S14" i="1"/>
  <c r="T14" i="1"/>
  <c r="U14" i="1"/>
  <c r="V14" i="1"/>
  <c r="X38" i="3" s="1"/>
  <c r="W14" i="1"/>
  <c r="X14" i="1"/>
  <c r="Y14" i="1"/>
  <c r="Z14" i="1"/>
  <c r="AA14" i="1"/>
  <c r="AB14" i="1"/>
  <c r="Q8" i="1"/>
  <c r="R8" i="1"/>
  <c r="S8" i="1"/>
  <c r="T8" i="1"/>
  <c r="U8" i="1"/>
  <c r="V8" i="1"/>
  <c r="W8" i="1"/>
  <c r="X8" i="1"/>
  <c r="Y8" i="1"/>
  <c r="Z8" i="1"/>
  <c r="AA8" i="1"/>
  <c r="AB8" i="1"/>
  <c r="Q4" i="1"/>
  <c r="R4" i="1"/>
  <c r="S4" i="1"/>
  <c r="U12" i="3" s="1"/>
  <c r="T4" i="1"/>
  <c r="V13" i="3" s="1"/>
  <c r="U4" i="1"/>
  <c r="V4" i="1"/>
  <c r="W4" i="1"/>
  <c r="Y13" i="3" s="1"/>
  <c r="X4" i="1"/>
  <c r="Y4" i="1"/>
  <c r="Z4" i="1"/>
  <c r="AA4" i="1"/>
  <c r="AC13" i="3" s="1"/>
  <c r="AB4" i="1"/>
  <c r="F48" i="9"/>
  <c r="F46" i="9"/>
  <c r="F43" i="9"/>
  <c r="F37" i="9"/>
  <c r="F36" i="9"/>
  <c r="F35" i="9"/>
  <c r="F32" i="9"/>
  <c r="P18" i="2"/>
  <c r="P28" i="2"/>
  <c r="H27" i="9"/>
  <c r="E27" i="9"/>
  <c r="D27" i="9"/>
  <c r="C27" i="9"/>
  <c r="H26" i="9"/>
  <c r="E26" i="9"/>
  <c r="D26" i="9"/>
  <c r="C26" i="9"/>
  <c r="H25" i="9"/>
  <c r="E25" i="9"/>
  <c r="D25" i="9"/>
  <c r="C25" i="9"/>
  <c r="H24" i="9"/>
  <c r="E24" i="9"/>
  <c r="D24" i="9"/>
  <c r="C24" i="9"/>
  <c r="H22" i="9"/>
  <c r="E22" i="9"/>
  <c r="D22" i="9"/>
  <c r="C22" i="9"/>
  <c r="H21" i="9"/>
  <c r="E21" i="9"/>
  <c r="D21" i="9"/>
  <c r="C21" i="9"/>
  <c r="H20" i="9"/>
  <c r="E20" i="9"/>
  <c r="D20" i="9"/>
  <c r="C20" i="9"/>
  <c r="H18" i="9"/>
  <c r="E18" i="9"/>
  <c r="D18" i="9"/>
  <c r="C18" i="9"/>
  <c r="H17" i="9"/>
  <c r="E17" i="9"/>
  <c r="D17" i="9"/>
  <c r="C17" i="9"/>
  <c r="H16" i="9"/>
  <c r="E16" i="9"/>
  <c r="D16" i="9"/>
  <c r="C16" i="9"/>
  <c r="H15" i="9"/>
  <c r="E15" i="9"/>
  <c r="D15" i="9"/>
  <c r="C15" i="9"/>
  <c r="H13" i="9"/>
  <c r="E13" i="9"/>
  <c r="D13" i="9"/>
  <c r="C13" i="9"/>
  <c r="H12" i="9"/>
  <c r="E12" i="9"/>
  <c r="D12" i="9"/>
  <c r="C12" i="9"/>
  <c r="H11" i="9"/>
  <c r="E11" i="9"/>
  <c r="D11" i="9"/>
  <c r="C11" i="9"/>
  <c r="H10" i="9"/>
  <c r="E10" i="9"/>
  <c r="D10" i="9"/>
  <c r="C10" i="9"/>
  <c r="H8" i="9"/>
  <c r="E8" i="9"/>
  <c r="D8" i="9"/>
  <c r="C8" i="9"/>
  <c r="H7" i="9"/>
  <c r="E7" i="9"/>
  <c r="D7" i="9"/>
  <c r="C7" i="9"/>
  <c r="H6" i="9"/>
  <c r="E6" i="9"/>
  <c r="D6" i="9"/>
  <c r="C6" i="9"/>
  <c r="P9" i="2"/>
  <c r="P6" i="1"/>
  <c r="P42" i="1"/>
  <c r="P36" i="1"/>
  <c r="F41" i="9" s="1"/>
  <c r="P12" i="1"/>
  <c r="F38" i="9" s="1"/>
  <c r="AJ12" i="5" l="1"/>
  <c r="AK29" i="3"/>
  <c r="AI12" i="5"/>
  <c r="AJ29" i="3"/>
  <c r="AI29" i="3"/>
  <c r="AI11" i="3"/>
  <c r="AI39" i="3"/>
  <c r="AI37" i="3"/>
  <c r="AI30" i="3"/>
  <c r="AJ39" i="3"/>
  <c r="AJ37" i="3"/>
  <c r="AJ30" i="3"/>
  <c r="AK39" i="3"/>
  <c r="AK37" i="3"/>
  <c r="AP30" i="3"/>
  <c r="AQ39" i="3"/>
  <c r="AQ30" i="3"/>
  <c r="AQ37" i="3"/>
  <c r="AO30" i="3"/>
  <c r="AP39" i="3"/>
  <c r="AP37" i="3"/>
  <c r="AH39" i="3"/>
  <c r="AH30" i="3"/>
  <c r="AH37" i="3"/>
  <c r="AG12" i="5"/>
  <c r="AG29" i="3"/>
  <c r="AH29" i="3"/>
  <c r="AE38" i="1"/>
  <c r="AG5" i="3"/>
  <c r="AG18" i="3"/>
  <c r="AF26" i="3"/>
  <c r="AF38" i="1"/>
  <c r="AF49" i="1" s="1"/>
  <c r="AH5" i="3"/>
  <c r="AG5" i="5"/>
  <c r="AH18" i="3"/>
  <c r="AF18" i="3"/>
  <c r="AF5" i="3"/>
  <c r="AG30" i="5"/>
  <c r="AH38" i="3"/>
  <c r="AI38" i="3"/>
  <c r="AF30" i="5"/>
  <c r="AG38" i="3"/>
  <c r="AF28" i="3"/>
  <c r="AH35" i="3"/>
  <c r="AG35" i="3"/>
  <c r="AF35" i="3"/>
  <c r="AG28" i="3"/>
  <c r="AH13" i="3"/>
  <c r="AH12" i="3"/>
  <c r="AG13" i="3"/>
  <c r="AG12" i="3"/>
  <c r="AF13" i="3"/>
  <c r="AF12" i="3"/>
  <c r="AF25" i="5"/>
  <c r="F17" i="10"/>
  <c r="S25" i="5"/>
  <c r="Y25" i="5"/>
  <c r="AB25" i="5"/>
  <c r="AD27" i="3"/>
  <c r="AB41" i="2"/>
  <c r="AD47" i="5"/>
  <c r="G47" i="9"/>
  <c r="U28" i="3"/>
  <c r="X27" i="3"/>
  <c r="U26" i="3"/>
  <c r="AA26" i="3"/>
  <c r="T5" i="3"/>
  <c r="G20" i="9"/>
  <c r="AD5" i="5"/>
  <c r="G31" i="9"/>
  <c r="G39" i="9"/>
  <c r="G33" i="9"/>
  <c r="T25" i="5"/>
  <c r="V25" i="5"/>
  <c r="W5" i="5"/>
  <c r="AD39" i="2"/>
  <c r="AB38" i="3"/>
  <c r="T3" i="2"/>
  <c r="AC39" i="2"/>
  <c r="G49" i="9" s="1"/>
  <c r="AA37" i="5"/>
  <c r="AB37" i="3" s="1"/>
  <c r="AE39" i="2"/>
  <c r="X35" i="3"/>
  <c r="AC41" i="2"/>
  <c r="AD32" i="3"/>
  <c r="X41" i="2"/>
  <c r="S47" i="5"/>
  <c r="S43" i="5" s="1"/>
  <c r="W47" i="5"/>
  <c r="V37" i="5"/>
  <c r="AB43" i="5"/>
  <c r="AC34" i="3"/>
  <c r="Z39" i="2"/>
  <c r="V47" i="5"/>
  <c r="W37" i="3" s="1"/>
  <c r="R47" i="5"/>
  <c r="R43" i="5" s="1"/>
  <c r="U37" i="5"/>
  <c r="Y37" i="5"/>
  <c r="AE37" i="5"/>
  <c r="AC32" i="3"/>
  <c r="V39" i="2"/>
  <c r="X32" i="3" s="1"/>
  <c r="Y47" i="5"/>
  <c r="Z37" i="3" s="1"/>
  <c r="U47" i="5"/>
  <c r="U43" i="5" s="1"/>
  <c r="AC47" i="5"/>
  <c r="AC43" i="5" s="1"/>
  <c r="T33" i="3"/>
  <c r="AB39" i="3"/>
  <c r="AE43" i="5"/>
  <c r="Y39" i="2"/>
  <c r="U39" i="2"/>
  <c r="W37" i="5"/>
  <c r="AB37" i="5"/>
  <c r="AC37" i="3" s="1"/>
  <c r="AF43" i="5"/>
  <c r="AD33" i="3"/>
  <c r="X37" i="5"/>
  <c r="T37" i="5"/>
  <c r="Z43" i="5"/>
  <c r="AC38" i="3"/>
  <c r="Y38" i="3"/>
  <c r="U38" i="3"/>
  <c r="S3" i="2"/>
  <c r="S19" i="2" s="1"/>
  <c r="U10" i="3" s="1"/>
  <c r="AB3" i="2"/>
  <c r="AE38" i="3"/>
  <c r="X43" i="5"/>
  <c r="T43" i="5"/>
  <c r="Y35" i="3"/>
  <c r="AA43" i="5"/>
  <c r="Y43" i="5"/>
  <c r="Z37" i="5"/>
  <c r="AA37" i="3" s="1"/>
  <c r="AC35" i="3"/>
  <c r="AC37" i="5"/>
  <c r="AD43" i="5"/>
  <c r="AF37" i="5"/>
  <c r="AG30" i="3" s="1"/>
  <c r="Y33" i="3"/>
  <c r="AD37" i="5"/>
  <c r="V27" i="3"/>
  <c r="AB28" i="3"/>
  <c r="AE27" i="3"/>
  <c r="AD26" i="3"/>
  <c r="AA38" i="3"/>
  <c r="W38" i="3"/>
  <c r="AC27" i="1"/>
  <c r="T35" i="3"/>
  <c r="X25" i="5"/>
  <c r="T27" i="3"/>
  <c r="AA25" i="5"/>
  <c r="AE28" i="3"/>
  <c r="AB35" i="3"/>
  <c r="AD25" i="5"/>
  <c r="Z38" i="3"/>
  <c r="V38" i="3"/>
  <c r="W30" i="5"/>
  <c r="W27" i="3"/>
  <c r="X26" i="3"/>
  <c r="Y30" i="5"/>
  <c r="Z27" i="3"/>
  <c r="Y26" i="3"/>
  <c r="AB27" i="3"/>
  <c r="V14" i="5"/>
  <c r="V11" i="5" s="1"/>
  <c r="AB30" i="5"/>
  <c r="Z38" i="1"/>
  <c r="AB18" i="3"/>
  <c r="R38" i="1"/>
  <c r="R49" i="1" s="1"/>
  <c r="T18" i="3"/>
  <c r="AA12" i="3"/>
  <c r="W12" i="3"/>
  <c r="S12" i="3"/>
  <c r="S13" i="3"/>
  <c r="Y38" i="1"/>
  <c r="Y49" i="1" s="1"/>
  <c r="U38" i="1"/>
  <c r="W5" i="3"/>
  <c r="Q38" i="1"/>
  <c r="Q49" i="1" s="1"/>
  <c r="S18" i="3"/>
  <c r="AD38" i="1"/>
  <c r="AD49" i="1" s="1"/>
  <c r="AE13" i="3"/>
  <c r="R30" i="5"/>
  <c r="V34" i="5"/>
  <c r="X28" i="3"/>
  <c r="Z35" i="3"/>
  <c r="T28" i="3"/>
  <c r="U30" i="5"/>
  <c r="U14" i="5"/>
  <c r="U11" i="5" s="1"/>
  <c r="T26" i="3"/>
  <c r="U5" i="5"/>
  <c r="Z34" i="5"/>
  <c r="AA30" i="5"/>
  <c r="Z25" i="5"/>
  <c r="AA14" i="5"/>
  <c r="AA11" i="5" s="1"/>
  <c r="AB34" i="5"/>
  <c r="AB26" i="3"/>
  <c r="AD30" i="5"/>
  <c r="AD18" i="5"/>
  <c r="AD14" i="5" s="1"/>
  <c r="AD11" i="5" s="1"/>
  <c r="AE30" i="5"/>
  <c r="AF14" i="5"/>
  <c r="AF11" i="5" s="1"/>
  <c r="AF29" i="3" s="1"/>
  <c r="T38" i="3"/>
  <c r="U13" i="3"/>
  <c r="W28" i="3"/>
  <c r="AA18" i="3"/>
  <c r="Y12" i="3"/>
  <c r="AD5" i="3"/>
  <c r="AE18" i="3"/>
  <c r="AE12" i="3"/>
  <c r="AC12" i="3"/>
  <c r="W38" i="1"/>
  <c r="Y18" i="3"/>
  <c r="AB14" i="5"/>
  <c r="AB11" i="5" s="1"/>
  <c r="V38" i="1"/>
  <c r="V49" i="1" s="1"/>
  <c r="X18" i="3"/>
  <c r="AD13" i="3"/>
  <c r="AD12" i="3"/>
  <c r="Z12" i="3"/>
  <c r="Z13" i="3"/>
  <c r="AD38" i="3"/>
  <c r="AB38" i="1"/>
  <c r="AB49" i="1" s="1"/>
  <c r="S34" i="5"/>
  <c r="S28" i="3"/>
  <c r="S27" i="3"/>
  <c r="S5" i="5"/>
  <c r="S25" i="3" s="1"/>
  <c r="U34" i="5"/>
  <c r="X30" i="5"/>
  <c r="T30" i="5"/>
  <c r="W25" i="5"/>
  <c r="W26" i="3"/>
  <c r="X5" i="5"/>
  <c r="X25" i="3" s="1"/>
  <c r="T5" i="5"/>
  <c r="Y34" i="5"/>
  <c r="Z30" i="5"/>
  <c r="Y27" i="3"/>
  <c r="AA5" i="5"/>
  <c r="AA25" i="3" s="1"/>
  <c r="AC30" i="5"/>
  <c r="AC25" i="5"/>
  <c r="AC27" i="3"/>
  <c r="AC5" i="5"/>
  <c r="AD34" i="5"/>
  <c r="AE26" i="3"/>
  <c r="V35" i="3"/>
  <c r="V28" i="3"/>
  <c r="V18" i="3"/>
  <c r="V12" i="3"/>
  <c r="T19" i="3"/>
  <c r="Z18" i="3"/>
  <c r="AA13" i="3"/>
  <c r="X12" i="3"/>
  <c r="Y5" i="3"/>
  <c r="AD35" i="3"/>
  <c r="AC18" i="3"/>
  <c r="AB13" i="3"/>
  <c r="AC5" i="3"/>
  <c r="AC19" i="3"/>
  <c r="AF5" i="5"/>
  <c r="U35" i="3"/>
  <c r="U18" i="3"/>
  <c r="S19" i="3"/>
  <c r="S5" i="3"/>
  <c r="AA28" i="3"/>
  <c r="W18" i="3"/>
  <c r="X13" i="3"/>
  <c r="AB12" i="3"/>
  <c r="AB5" i="3"/>
  <c r="R25" i="5"/>
  <c r="AB5" i="5"/>
  <c r="AB25" i="3" s="1"/>
  <c r="T12" i="3"/>
  <c r="T13" i="3"/>
  <c r="AE5" i="3"/>
  <c r="AE19" i="3"/>
  <c r="W34" i="5"/>
  <c r="W35" i="3"/>
  <c r="V30" i="5"/>
  <c r="U25" i="5"/>
  <c r="V5" i="5"/>
  <c r="AA34" i="5"/>
  <c r="Y28" i="3"/>
  <c r="AA35" i="3"/>
  <c r="Y14" i="5"/>
  <c r="Y11" i="5" s="1"/>
  <c r="Y5" i="5"/>
  <c r="AC34" i="5"/>
  <c r="AE35" i="3"/>
  <c r="AC28" i="3"/>
  <c r="AC14" i="5"/>
  <c r="AC11" i="5" s="1"/>
  <c r="AD28" i="3"/>
  <c r="AE5" i="5"/>
  <c r="U5" i="3"/>
  <c r="Z28" i="3"/>
  <c r="W13" i="3"/>
  <c r="AA5" i="3"/>
  <c r="V5" i="3"/>
  <c r="AE25" i="5"/>
  <c r="AE32" i="3"/>
  <c r="AD41" i="2"/>
  <c r="Z32" i="3"/>
  <c r="Y41" i="2"/>
  <c r="Y32" i="3"/>
  <c r="Y19" i="3"/>
  <c r="Z5" i="3"/>
  <c r="Z19" i="3"/>
  <c r="AE14" i="5"/>
  <c r="AE11" i="5" s="1"/>
  <c r="Z14" i="5"/>
  <c r="Z11" i="5" s="1"/>
  <c r="X14" i="5"/>
  <c r="X11" i="5" s="1"/>
  <c r="T14" i="5"/>
  <c r="T11" i="5" s="1"/>
  <c r="W14" i="5"/>
  <c r="W11" i="5" s="1"/>
  <c r="S14" i="5"/>
  <c r="S11" i="5" s="1"/>
  <c r="R37" i="5"/>
  <c r="S39" i="3" s="1"/>
  <c r="S37" i="5"/>
  <c r="R14" i="5"/>
  <c r="R11" i="5" s="1"/>
  <c r="R12" i="5" s="1"/>
  <c r="F35" i="10"/>
  <c r="I32" i="10"/>
  <c r="F26" i="10"/>
  <c r="F8" i="10"/>
  <c r="I5" i="10"/>
  <c r="F45" i="10"/>
  <c r="U3" i="2"/>
  <c r="U19" i="2" s="1"/>
  <c r="T19" i="2"/>
  <c r="T29" i="2" s="1"/>
  <c r="T33" i="2" s="1"/>
  <c r="T35" i="2" s="1"/>
  <c r="T37" i="2" s="1"/>
  <c r="S29" i="2"/>
  <c r="AB19" i="2"/>
  <c r="AB29" i="2" s="1"/>
  <c r="AE3" i="2"/>
  <c r="AE19" i="2" s="1"/>
  <c r="AD3" i="2"/>
  <c r="AD19" i="2" s="1"/>
  <c r="AG3" i="2"/>
  <c r="AG19" i="2" s="1"/>
  <c r="AF3" i="2"/>
  <c r="AF19" i="2" s="1"/>
  <c r="AE49" i="1"/>
  <c r="AF27" i="1"/>
  <c r="AE27" i="1"/>
  <c r="AG15" i="3" s="1"/>
  <c r="AC38" i="1"/>
  <c r="AC49" i="1" s="1"/>
  <c r="AD27" i="1"/>
  <c r="AC3" i="2"/>
  <c r="AA3" i="2"/>
  <c r="AA19" i="2" s="1"/>
  <c r="AC10" i="3" s="1"/>
  <c r="AB27" i="1"/>
  <c r="Z27" i="1"/>
  <c r="AB21" i="3" s="1"/>
  <c r="P11" i="2"/>
  <c r="P7" i="2" s="1"/>
  <c r="W27" i="1"/>
  <c r="Z49" i="1"/>
  <c r="V3" i="2"/>
  <c r="V19" i="2" s="1"/>
  <c r="V29" i="2" s="1"/>
  <c r="V33" i="2" s="1"/>
  <c r="V35" i="2" s="1"/>
  <c r="V37" i="2" s="1"/>
  <c r="Y3" i="2"/>
  <c r="Y19" i="2" s="1"/>
  <c r="Y29" i="2" s="1"/>
  <c r="Y33" i="2" s="1"/>
  <c r="Y35" i="2" s="1"/>
  <c r="Y37" i="2" s="1"/>
  <c r="AA27" i="1"/>
  <c r="S33" i="2"/>
  <c r="S35" i="2" s="1"/>
  <c r="S37" i="2" s="1"/>
  <c r="X3" i="2"/>
  <c r="X19" i="2" s="1"/>
  <c r="X29" i="2" s="1"/>
  <c r="X33" i="2" s="1"/>
  <c r="X35" i="2" s="1"/>
  <c r="X37" i="2" s="1"/>
  <c r="Z3" i="2"/>
  <c r="Z19" i="2" s="1"/>
  <c r="Z29" i="2" s="1"/>
  <c r="Z33" i="2" s="1"/>
  <c r="Z35" i="2" s="1"/>
  <c r="Z37" i="2" s="1"/>
  <c r="W3" i="2"/>
  <c r="W19" i="2" s="1"/>
  <c r="W49" i="1"/>
  <c r="U49" i="1"/>
  <c r="T49" i="1"/>
  <c r="X27" i="1"/>
  <c r="Y27" i="1"/>
  <c r="AA15" i="3" s="1"/>
  <c r="V27" i="1"/>
  <c r="X16" i="3" s="1"/>
  <c r="F10" i="9"/>
  <c r="U27" i="1"/>
  <c r="W17" i="3" s="1"/>
  <c r="S27" i="1"/>
  <c r="U21" i="3" s="1"/>
  <c r="Q27" i="1"/>
  <c r="T27" i="1"/>
  <c r="V15" i="3" s="1"/>
  <c r="R27" i="1"/>
  <c r="T17" i="3" s="1"/>
  <c r="R3" i="2"/>
  <c r="R19" i="2" s="1"/>
  <c r="R29" i="2" s="1"/>
  <c r="R33" i="2" s="1"/>
  <c r="R35" i="2" s="1"/>
  <c r="R37" i="2" s="1"/>
  <c r="AB33" i="2"/>
  <c r="AB35" i="2" s="1"/>
  <c r="AB37" i="2" s="1"/>
  <c r="Q3" i="2"/>
  <c r="Q19" i="2" s="1"/>
  <c r="Q29" i="2" s="1"/>
  <c r="Q33" i="2" s="1"/>
  <c r="Q35" i="2" s="1"/>
  <c r="Q37" i="2" s="1"/>
  <c r="F15" i="9"/>
  <c r="AG29" i="2" l="1"/>
  <c r="AG33" i="2" s="1"/>
  <c r="AG35" i="2" s="1"/>
  <c r="AG37" i="2" s="1"/>
  <c r="AI10" i="3"/>
  <c r="AG32" i="3"/>
  <c r="AF32" i="3"/>
  <c r="AF29" i="2"/>
  <c r="AF33" i="2" s="1"/>
  <c r="AF35" i="2" s="1"/>
  <c r="AF37" i="2" s="1"/>
  <c r="AH10" i="3"/>
  <c r="AG37" i="3"/>
  <c r="AG39" i="3"/>
  <c r="AF30" i="3"/>
  <c r="AD29" i="2"/>
  <c r="AD33" i="2" s="1"/>
  <c r="AD35" i="2" s="1"/>
  <c r="AD37" i="2" s="1"/>
  <c r="AF10" i="3"/>
  <c r="AF39" i="3"/>
  <c r="AF37" i="3"/>
  <c r="AE29" i="2"/>
  <c r="AE33" i="2" s="1"/>
  <c r="AE35" i="2" s="1"/>
  <c r="AE37" i="2" s="1"/>
  <c r="AG10" i="3"/>
  <c r="AH25" i="3"/>
  <c r="AG25" i="3"/>
  <c r="AF25" i="3"/>
  <c r="AF14" i="3"/>
  <c r="AF20" i="3"/>
  <c r="AF23" i="3"/>
  <c r="AF17" i="3"/>
  <c r="AF11" i="3"/>
  <c r="AF6" i="3"/>
  <c r="AF16" i="3"/>
  <c r="AF22" i="3"/>
  <c r="AF4" i="3"/>
  <c r="AF21" i="3"/>
  <c r="AF4" i="5"/>
  <c r="AG4" i="3"/>
  <c r="AG21" i="3"/>
  <c r="AG14" i="3"/>
  <c r="AG20" i="3"/>
  <c r="AG11" i="3"/>
  <c r="AG6" i="3"/>
  <c r="AG17" i="3"/>
  <c r="AG23" i="3"/>
  <c r="AG16" i="3"/>
  <c r="AG22" i="3"/>
  <c r="AI9" i="3"/>
  <c r="AH16" i="3"/>
  <c r="AH22" i="3"/>
  <c r="AH4" i="3"/>
  <c r="AH21" i="3"/>
  <c r="AH11" i="3"/>
  <c r="AH14" i="3"/>
  <c r="AH20" i="3"/>
  <c r="AG4" i="5"/>
  <c r="AH6" i="3"/>
  <c r="AH17" i="3"/>
  <c r="AH23" i="3"/>
  <c r="AF15" i="3"/>
  <c r="AH15" i="3"/>
  <c r="S16" i="3"/>
  <c r="S17" i="3"/>
  <c r="Y15" i="3"/>
  <c r="Y17" i="3"/>
  <c r="AD6" i="3"/>
  <c r="AD16" i="3"/>
  <c r="G34" i="9"/>
  <c r="G6" i="9"/>
  <c r="G13" i="9"/>
  <c r="AE21" i="3"/>
  <c r="G29" i="9"/>
  <c r="G26" i="9"/>
  <c r="AC19" i="2"/>
  <c r="G44" i="9"/>
  <c r="G27" i="9" s="1"/>
  <c r="AD25" i="3"/>
  <c r="AE25" i="3"/>
  <c r="V25" i="3"/>
  <c r="G12" i="9"/>
  <c r="G25" i="9"/>
  <c r="V37" i="3"/>
  <c r="V10" i="3"/>
  <c r="AE41" i="2"/>
  <c r="U29" i="2"/>
  <c r="U33" i="2" s="1"/>
  <c r="U35" i="2" s="1"/>
  <c r="U37" i="2" s="1"/>
  <c r="W10" i="3"/>
  <c r="Z41" i="2"/>
  <c r="AA32" i="3"/>
  <c r="W30" i="3"/>
  <c r="X39" i="3"/>
  <c r="AA41" i="2"/>
  <c r="Z39" i="3"/>
  <c r="Y30" i="3"/>
  <c r="W41" i="2"/>
  <c r="S30" i="3"/>
  <c r="T39" i="3"/>
  <c r="AC30" i="3"/>
  <c r="AD39" i="3"/>
  <c r="X30" i="3"/>
  <c r="Y39" i="3"/>
  <c r="Y37" i="3"/>
  <c r="AA39" i="3"/>
  <c r="Z30" i="3"/>
  <c r="AA30" i="3"/>
  <c r="AD10" i="3"/>
  <c r="U30" i="3"/>
  <c r="V39" i="3"/>
  <c r="AA10" i="3"/>
  <c r="AB10" i="3"/>
  <c r="W39" i="3"/>
  <c r="V30" i="3"/>
  <c r="T10" i="3"/>
  <c r="AB30" i="3"/>
  <c r="AC39" i="3"/>
  <c r="W32" i="3"/>
  <c r="V41" i="2"/>
  <c r="T37" i="3"/>
  <c r="W29" i="2"/>
  <c r="W33" i="2" s="1"/>
  <c r="W35" i="2" s="1"/>
  <c r="W37" i="2" s="1"/>
  <c r="Y10" i="3"/>
  <c r="T30" i="3"/>
  <c r="U39" i="3"/>
  <c r="U37" i="3"/>
  <c r="V43" i="5"/>
  <c r="AD37" i="3"/>
  <c r="Z10" i="3"/>
  <c r="S37" i="3"/>
  <c r="AB32" i="3"/>
  <c r="W43" i="5"/>
  <c r="X37" i="3"/>
  <c r="X10" i="3"/>
  <c r="S10" i="3"/>
  <c r="AE37" i="3"/>
  <c r="AE30" i="3"/>
  <c r="AD30" i="3"/>
  <c r="AE39" i="3"/>
  <c r="S15" i="3"/>
  <c r="Y6" i="3"/>
  <c r="Y25" i="3"/>
  <c r="S6" i="3"/>
  <c r="AD21" i="3"/>
  <c r="U15" i="3"/>
  <c r="U25" i="3"/>
  <c r="S21" i="3"/>
  <c r="X15" i="3"/>
  <c r="AB15" i="3"/>
  <c r="AD12" i="5"/>
  <c r="AD29" i="3"/>
  <c r="Z22" i="3"/>
  <c r="Z11" i="3"/>
  <c r="Z23" i="3"/>
  <c r="AA9" i="3"/>
  <c r="Z14" i="3"/>
  <c r="Z20" i="3"/>
  <c r="Y4" i="5"/>
  <c r="AF12" i="5"/>
  <c r="U12" i="5"/>
  <c r="U29" i="3"/>
  <c r="V11" i="3"/>
  <c r="V23" i="3"/>
  <c r="V6" i="3"/>
  <c r="V14" i="3"/>
  <c r="V20" i="3"/>
  <c r="V22" i="3"/>
  <c r="U4" i="5"/>
  <c r="AC11" i="3"/>
  <c r="AC20" i="3"/>
  <c r="AC23" i="3"/>
  <c r="AC14" i="3"/>
  <c r="AD9" i="3"/>
  <c r="AC22" i="3"/>
  <c r="AC6" i="3"/>
  <c r="AB4" i="5"/>
  <c r="AB11" i="3"/>
  <c r="AB23" i="3"/>
  <c r="AB14" i="3"/>
  <c r="AB22" i="3"/>
  <c r="AB6" i="3"/>
  <c r="AB20" i="3"/>
  <c r="AA4" i="5"/>
  <c r="T12" i="5"/>
  <c r="T29" i="3"/>
  <c r="V4" i="3"/>
  <c r="AA17" i="3"/>
  <c r="V21" i="3"/>
  <c r="AC12" i="5"/>
  <c r="AC29" i="3"/>
  <c r="AE4" i="3"/>
  <c r="AC16" i="3"/>
  <c r="U16" i="3"/>
  <c r="AE17" i="3"/>
  <c r="T6" i="3"/>
  <c r="AC25" i="3"/>
  <c r="T25" i="3"/>
  <c r="AD17" i="3"/>
  <c r="AB12" i="5"/>
  <c r="AB29" i="3"/>
  <c r="AC15" i="3"/>
  <c r="Z4" i="3"/>
  <c r="Z21" i="3"/>
  <c r="U17" i="3"/>
  <c r="AC17" i="3"/>
  <c r="V17" i="3"/>
  <c r="W11" i="3"/>
  <c r="W6" i="3"/>
  <c r="X9" i="3"/>
  <c r="W4" i="3"/>
  <c r="W22" i="3"/>
  <c r="W23" i="3"/>
  <c r="W14" i="3"/>
  <c r="W20" i="3"/>
  <c r="V4" i="5"/>
  <c r="W12" i="5"/>
  <c r="W29" i="3"/>
  <c r="X12" i="5"/>
  <c r="X29" i="3"/>
  <c r="Z6" i="3"/>
  <c r="AC21" i="3"/>
  <c r="Y12" i="5"/>
  <c r="Y29" i="3"/>
  <c r="AD15" i="3"/>
  <c r="Z17" i="3"/>
  <c r="AA12" i="5"/>
  <c r="AA29" i="3"/>
  <c r="AA21" i="3"/>
  <c r="W16" i="3"/>
  <c r="V12" i="5"/>
  <c r="V29" i="3"/>
  <c r="Z15" i="3"/>
  <c r="T11" i="3"/>
  <c r="T14" i="3"/>
  <c r="T20" i="3"/>
  <c r="T22" i="3"/>
  <c r="T23" i="3"/>
  <c r="S4" i="5"/>
  <c r="T4" i="3"/>
  <c r="U9" i="3"/>
  <c r="AE22" i="3"/>
  <c r="AE23" i="3"/>
  <c r="AE20" i="3"/>
  <c r="AE14" i="3"/>
  <c r="AD4" i="5"/>
  <c r="AE12" i="5"/>
  <c r="AE29" i="3"/>
  <c r="AE15" i="3"/>
  <c r="W21" i="3"/>
  <c r="W15" i="3"/>
  <c r="S11" i="3"/>
  <c r="S14" i="3"/>
  <c r="S20" i="3"/>
  <c r="S22" i="3"/>
  <c r="S23" i="3"/>
  <c r="T9" i="3"/>
  <c r="S4" i="3"/>
  <c r="R4" i="5"/>
  <c r="X11" i="3"/>
  <c r="X14" i="3"/>
  <c r="X20" i="3"/>
  <c r="X6" i="3"/>
  <c r="X22" i="3"/>
  <c r="W4" i="5"/>
  <c r="X4" i="3"/>
  <c r="X23" i="3"/>
  <c r="AD11" i="3"/>
  <c r="AD20" i="3"/>
  <c r="AD4" i="3"/>
  <c r="AC4" i="5"/>
  <c r="AD14" i="3"/>
  <c r="AD22" i="3"/>
  <c r="AD23" i="3"/>
  <c r="U11" i="3"/>
  <c r="U4" i="3"/>
  <c r="V9" i="3"/>
  <c r="U6" i="3"/>
  <c r="U14" i="3"/>
  <c r="U20" i="3"/>
  <c r="U22" i="3"/>
  <c r="U23" i="3"/>
  <c r="T4" i="5"/>
  <c r="AA11" i="3"/>
  <c r="AA4" i="3"/>
  <c r="AB9" i="3"/>
  <c r="AA22" i="3"/>
  <c r="AA23" i="3"/>
  <c r="AA6" i="3"/>
  <c r="AA14" i="3"/>
  <c r="AA20" i="3"/>
  <c r="Z4" i="5"/>
  <c r="Y11" i="3"/>
  <c r="Y23" i="3"/>
  <c r="Y14" i="3"/>
  <c r="Y20" i="3"/>
  <c r="Y22" i="3"/>
  <c r="Y4" i="3"/>
  <c r="X4" i="5"/>
  <c r="Z9" i="3"/>
  <c r="S12" i="5"/>
  <c r="S29" i="3"/>
  <c r="Z12" i="5"/>
  <c r="Z29" i="3"/>
  <c r="AE6" i="3"/>
  <c r="T15" i="3"/>
  <c r="W25" i="3"/>
  <c r="AB4" i="3"/>
  <c r="Y16" i="3"/>
  <c r="AC4" i="3"/>
  <c r="Y21" i="3"/>
  <c r="V16" i="3"/>
  <c r="Z16" i="3"/>
  <c r="X21" i="3"/>
  <c r="T16" i="3"/>
  <c r="AB16" i="3"/>
  <c r="X17" i="3"/>
  <c r="AE16" i="3"/>
  <c r="AA16" i="3"/>
  <c r="T21" i="3"/>
  <c r="Z25" i="3"/>
  <c r="AB17" i="3"/>
  <c r="AE4" i="5"/>
  <c r="AE11" i="3"/>
  <c r="AA29" i="2"/>
  <c r="AA33" i="2" s="1"/>
  <c r="AA35" i="2" s="1"/>
  <c r="AA37" i="2" s="1"/>
  <c r="P17" i="1"/>
  <c r="P31" i="1"/>
  <c r="P21" i="1"/>
  <c r="P14" i="1"/>
  <c r="S38" i="3" s="1"/>
  <c r="P8" i="1"/>
  <c r="G18" i="9" l="1"/>
  <c r="AF9" i="3"/>
  <c r="AG9" i="3"/>
  <c r="AH9" i="3"/>
  <c r="AH36" i="3"/>
  <c r="AG24" i="3"/>
  <c r="AF36" i="3"/>
  <c r="AG36" i="3"/>
  <c r="AF24" i="3"/>
  <c r="AI36" i="3"/>
  <c r="AH24" i="3"/>
  <c r="AI24" i="3"/>
  <c r="AE24" i="3"/>
  <c r="AE10" i="3"/>
  <c r="G45" i="9"/>
  <c r="Y9" i="3"/>
  <c r="G16" i="9"/>
  <c r="AC29" i="2"/>
  <c r="AC33" i="2" s="1"/>
  <c r="AC35" i="2" s="1"/>
  <c r="AC37" i="2" s="1"/>
  <c r="G50" i="9" s="1"/>
  <c r="G7" i="9"/>
  <c r="G21" i="9"/>
  <c r="G11" i="9"/>
  <c r="G24" i="9"/>
  <c r="G22" i="9"/>
  <c r="G8" i="9"/>
  <c r="W9" i="3"/>
  <c r="AC9" i="3"/>
  <c r="AE9" i="3"/>
  <c r="T36" i="3"/>
  <c r="AB36" i="3"/>
  <c r="AA24" i="3"/>
  <c r="X24" i="3"/>
  <c r="Y36" i="3"/>
  <c r="Y24" i="3"/>
  <c r="Z36" i="3"/>
  <c r="U24" i="3"/>
  <c r="V36" i="3"/>
  <c r="AD24" i="3"/>
  <c r="AE36" i="3"/>
  <c r="T24" i="3"/>
  <c r="U36" i="3"/>
  <c r="W24" i="3"/>
  <c r="X36" i="3"/>
  <c r="AC36" i="3"/>
  <c r="AB24" i="3"/>
  <c r="AC24" i="3"/>
  <c r="AD36" i="3"/>
  <c r="W36" i="3"/>
  <c r="V24" i="3"/>
  <c r="AA36" i="3"/>
  <c r="Z24" i="3"/>
  <c r="F39" i="9"/>
  <c r="F33" i="9"/>
  <c r="P38" i="1"/>
  <c r="F31" i="9"/>
  <c r="I31" i="4"/>
  <c r="I22" i="4"/>
  <c r="L30" i="2"/>
  <c r="M30" i="2"/>
  <c r="N30" i="2"/>
  <c r="O30" i="2"/>
  <c r="L23" i="2"/>
  <c r="M23" i="2"/>
  <c r="N47" i="5" s="1"/>
  <c r="N23" i="2"/>
  <c r="O47" i="5" s="1"/>
  <c r="O23" i="2"/>
  <c r="P47" i="5" s="1"/>
  <c r="L20" i="2"/>
  <c r="M20" i="2"/>
  <c r="N20" i="2"/>
  <c r="O20" i="2"/>
  <c r="L12" i="2"/>
  <c r="M12" i="2"/>
  <c r="N12" i="2"/>
  <c r="N39" i="2" s="1"/>
  <c r="O12" i="2"/>
  <c r="O39" i="2" s="1"/>
  <c r="L7" i="2"/>
  <c r="M7" i="2"/>
  <c r="N39" i="5" s="1"/>
  <c r="N7" i="2"/>
  <c r="O39" i="5" s="1"/>
  <c r="O7" i="2"/>
  <c r="P39" i="5" s="1"/>
  <c r="L31" i="1"/>
  <c r="L38" i="1" s="1"/>
  <c r="M31" i="1"/>
  <c r="M38" i="1" s="1"/>
  <c r="N31" i="1"/>
  <c r="N38" i="1" s="1"/>
  <c r="O31" i="1"/>
  <c r="O38" i="1" s="1"/>
  <c r="L21" i="1"/>
  <c r="M34" i="5" s="1"/>
  <c r="M21" i="1"/>
  <c r="N34" i="5" s="1"/>
  <c r="N21" i="1"/>
  <c r="O34" i="5" s="1"/>
  <c r="O21" i="1"/>
  <c r="P34" i="5" s="1"/>
  <c r="L17" i="1"/>
  <c r="M17" i="1"/>
  <c r="N17" i="1"/>
  <c r="O17" i="1"/>
  <c r="L14" i="1"/>
  <c r="M14" i="1"/>
  <c r="N30" i="5" s="1"/>
  <c r="N14" i="1"/>
  <c r="O14" i="1"/>
  <c r="P30" i="5" s="1"/>
  <c r="L8" i="1"/>
  <c r="M8" i="1"/>
  <c r="N8" i="1"/>
  <c r="O8" i="1"/>
  <c r="K30" i="2"/>
  <c r="K23" i="2"/>
  <c r="K20" i="2"/>
  <c r="K12" i="2"/>
  <c r="K7" i="2"/>
  <c r="L39" i="5" s="1"/>
  <c r="K31" i="1"/>
  <c r="K38" i="1" s="1"/>
  <c r="K21" i="1"/>
  <c r="L34" i="5" s="1"/>
  <c r="K17" i="1"/>
  <c r="J17" i="1"/>
  <c r="K14" i="1"/>
  <c r="K8" i="1"/>
  <c r="J30" i="2"/>
  <c r="J23" i="2"/>
  <c r="K47" i="5" s="1"/>
  <c r="J20" i="2"/>
  <c r="J12" i="2"/>
  <c r="J7" i="2"/>
  <c r="J31" i="1"/>
  <c r="J38" i="1" s="1"/>
  <c r="J21" i="1"/>
  <c r="K34" i="5" s="1"/>
  <c r="I21" i="1"/>
  <c r="J34" i="5" s="1"/>
  <c r="J14" i="1"/>
  <c r="J8" i="1"/>
  <c r="I13" i="4"/>
  <c r="H30" i="2"/>
  <c r="I30" i="2"/>
  <c r="H23" i="2"/>
  <c r="I47" i="5" s="1"/>
  <c r="I23" i="2"/>
  <c r="H20" i="2"/>
  <c r="I20" i="2"/>
  <c r="H12" i="2"/>
  <c r="H39" i="2" s="1"/>
  <c r="I12" i="2"/>
  <c r="I39" i="2" s="1"/>
  <c r="H7" i="2"/>
  <c r="I39" i="5" s="1"/>
  <c r="I7" i="2"/>
  <c r="H48" i="1"/>
  <c r="H31" i="1"/>
  <c r="H38" i="1" s="1"/>
  <c r="I31" i="1"/>
  <c r="I38" i="1" s="1"/>
  <c r="H21" i="1"/>
  <c r="I34" i="5" s="1"/>
  <c r="H17" i="1"/>
  <c r="I17" i="1"/>
  <c r="H14" i="1"/>
  <c r="I30" i="5" s="1"/>
  <c r="I14" i="1"/>
  <c r="J30" i="5" s="1"/>
  <c r="H8" i="1"/>
  <c r="I8" i="1"/>
  <c r="C42" i="1"/>
  <c r="E3" i="3" s="1"/>
  <c r="C36" i="1"/>
  <c r="C12" i="1"/>
  <c r="C8" i="1" s="1"/>
  <c r="C6" i="1"/>
  <c r="C4" i="1" s="1"/>
  <c r="C25" i="2"/>
  <c r="C23" i="2" s="1"/>
  <c r="C11" i="2"/>
  <c r="I4" i="4"/>
  <c r="C30" i="2"/>
  <c r="D30" i="2"/>
  <c r="E30" i="2"/>
  <c r="F30" i="2"/>
  <c r="G30" i="2"/>
  <c r="D23" i="2"/>
  <c r="E23" i="2"/>
  <c r="F23" i="2"/>
  <c r="G23" i="2"/>
  <c r="H47" i="5" s="1"/>
  <c r="C20" i="2"/>
  <c r="D20" i="2"/>
  <c r="E20" i="2"/>
  <c r="F20" i="2"/>
  <c r="G20" i="2"/>
  <c r="C12" i="2"/>
  <c r="D12" i="2"/>
  <c r="E12" i="2"/>
  <c r="E39" i="2" s="1"/>
  <c r="F12" i="2"/>
  <c r="G12" i="2"/>
  <c r="C7" i="2"/>
  <c r="D39" i="5" s="1"/>
  <c r="D7" i="2"/>
  <c r="E39" i="5" s="1"/>
  <c r="E7" i="2"/>
  <c r="F39" i="5" s="1"/>
  <c r="F7" i="2"/>
  <c r="G39" i="5" s="1"/>
  <c r="G7" i="2"/>
  <c r="D4" i="2"/>
  <c r="D3" i="2" s="1"/>
  <c r="D19" i="2" s="1"/>
  <c r="E4" i="2"/>
  <c r="F4" i="2"/>
  <c r="F3" i="2" s="1"/>
  <c r="F19" i="2" s="1"/>
  <c r="G4" i="2"/>
  <c r="C48" i="1"/>
  <c r="D48" i="1"/>
  <c r="E48" i="1"/>
  <c r="F48" i="1"/>
  <c r="G48" i="1"/>
  <c r="C31" i="1"/>
  <c r="D5" i="5" s="1"/>
  <c r="D31" i="1"/>
  <c r="F18" i="3" s="1"/>
  <c r="E31" i="1"/>
  <c r="E38" i="1" s="1"/>
  <c r="F31" i="1"/>
  <c r="F38" i="1" s="1"/>
  <c r="G31" i="1"/>
  <c r="G38" i="1" s="1"/>
  <c r="C21" i="1"/>
  <c r="D34" i="5" s="1"/>
  <c r="D21" i="1"/>
  <c r="E34" i="5" s="1"/>
  <c r="E21" i="1"/>
  <c r="F34" i="5" s="1"/>
  <c r="F21" i="1"/>
  <c r="G34" i="5" s="1"/>
  <c r="G21" i="1"/>
  <c r="C17" i="1"/>
  <c r="D17" i="1"/>
  <c r="E17" i="1"/>
  <c r="F17" i="1"/>
  <c r="G17" i="1"/>
  <c r="C14" i="1"/>
  <c r="D30" i="5" s="1"/>
  <c r="D14" i="1"/>
  <c r="E30" i="5" s="1"/>
  <c r="E14" i="1"/>
  <c r="F30" i="5" s="1"/>
  <c r="F14" i="1"/>
  <c r="G14" i="1"/>
  <c r="H30" i="5" s="1"/>
  <c r="D8" i="1"/>
  <c r="E8" i="1"/>
  <c r="F8" i="1"/>
  <c r="G8" i="1"/>
  <c r="D4" i="1"/>
  <c r="F12" i="3" s="1"/>
  <c r="D8" i="8" s="1"/>
  <c r="E4" i="1"/>
  <c r="G12" i="3" s="1"/>
  <c r="F4" i="1"/>
  <c r="H12" i="3" s="1"/>
  <c r="G4" i="1"/>
  <c r="P23" i="2"/>
  <c r="F47" i="9" s="1"/>
  <c r="H4" i="2"/>
  <c r="I4" i="2"/>
  <c r="I3" i="2" s="1"/>
  <c r="J4" i="2"/>
  <c r="J3" i="2" s="1"/>
  <c r="K4" i="2"/>
  <c r="L4" i="2"/>
  <c r="M4" i="2"/>
  <c r="M3" i="2" s="1"/>
  <c r="N4" i="2"/>
  <c r="O4" i="2"/>
  <c r="I48" i="1"/>
  <c r="J48" i="1"/>
  <c r="K48" i="1"/>
  <c r="L48" i="1"/>
  <c r="L49" i="1" s="1"/>
  <c r="M48" i="1"/>
  <c r="N48" i="1"/>
  <c r="O48" i="1"/>
  <c r="H4" i="1"/>
  <c r="J12" i="3" s="1"/>
  <c r="I4" i="1"/>
  <c r="J4" i="1"/>
  <c r="L12" i="3" s="1"/>
  <c r="K4" i="1"/>
  <c r="M12" i="3" s="1"/>
  <c r="K8" i="8" s="1"/>
  <c r="L4" i="1"/>
  <c r="N12" i="3" s="1"/>
  <c r="L8" i="8" s="1"/>
  <c r="M4" i="1"/>
  <c r="O12" i="3" s="1"/>
  <c r="N4" i="1"/>
  <c r="O4" i="1"/>
  <c r="Q12" i="3" s="1"/>
  <c r="P4" i="1"/>
  <c r="P48" i="1"/>
  <c r="H7" i="3"/>
  <c r="N7" i="3"/>
  <c r="Q8" i="3"/>
  <c r="N8" i="3"/>
  <c r="K8" i="3"/>
  <c r="P7" i="3"/>
  <c r="P8" i="3"/>
  <c r="O11" i="7" s="1"/>
  <c r="O12" i="7" s="1"/>
  <c r="C45" i="4"/>
  <c r="D45" i="4"/>
  <c r="I42" i="4" s="1"/>
  <c r="P30" i="2"/>
  <c r="P20" i="2"/>
  <c r="P12" i="2"/>
  <c r="P4" i="2"/>
  <c r="P3" i="2" s="1"/>
  <c r="F44" i="9" s="1"/>
  <c r="N18" i="3"/>
  <c r="M27" i="7" s="1"/>
  <c r="P18" i="3"/>
  <c r="N11" i="8" s="1"/>
  <c r="R3" i="3"/>
  <c r="P3" i="8" s="1"/>
  <c r="F47" i="5"/>
  <c r="L39" i="2"/>
  <c r="C4" i="2"/>
  <c r="C3" i="2" s="1"/>
  <c r="B4" i="2"/>
  <c r="B7" i="2"/>
  <c r="S14" i="8"/>
  <c r="T14" i="8"/>
  <c r="G12" i="7"/>
  <c r="J12" i="7"/>
  <c r="K12" i="7"/>
  <c r="Q12" i="7"/>
  <c r="S12" i="7"/>
  <c r="C12" i="7"/>
  <c r="T12" i="7"/>
  <c r="M12" i="7"/>
  <c r="N12" i="7"/>
  <c r="P12" i="7"/>
  <c r="I12" i="7"/>
  <c r="H12" i="7"/>
  <c r="F12" i="7"/>
  <c r="E12" i="7"/>
  <c r="D12" i="7"/>
  <c r="B48" i="1"/>
  <c r="O18" i="3"/>
  <c r="N27" i="7" s="1"/>
  <c r="R18" i="3"/>
  <c r="Q27" i="7" s="1"/>
  <c r="S11" i="8"/>
  <c r="S10" i="8"/>
  <c r="S9" i="8"/>
  <c r="T22" i="7"/>
  <c r="S13" i="8"/>
  <c r="T20" i="7"/>
  <c r="S8" i="8"/>
  <c r="T16" i="7"/>
  <c r="U16" i="7"/>
  <c r="R15" i="7"/>
  <c r="S15" i="7"/>
  <c r="T15" i="7"/>
  <c r="D3" i="3"/>
  <c r="B3" i="8" s="1"/>
  <c r="F3" i="3"/>
  <c r="D3" i="8" s="1"/>
  <c r="G3" i="3"/>
  <c r="G19" i="3" s="1"/>
  <c r="E12" i="8" s="1"/>
  <c r="H3" i="3"/>
  <c r="H19" i="3" s="1"/>
  <c r="I3" i="3"/>
  <c r="J3" i="3"/>
  <c r="J19" i="3" s="1"/>
  <c r="K3" i="3"/>
  <c r="K19" i="3" s="1"/>
  <c r="L3" i="3"/>
  <c r="K5" i="7" s="1"/>
  <c r="M3" i="3"/>
  <c r="K3" i="8" s="1"/>
  <c r="N3" i="3"/>
  <c r="N19" i="3" s="1"/>
  <c r="M28" i="7" s="1"/>
  <c r="O3" i="3"/>
  <c r="N5" i="7" s="1"/>
  <c r="P3" i="3"/>
  <c r="P19" i="3" s="1"/>
  <c r="Q3" i="3"/>
  <c r="O3" i="8" s="1"/>
  <c r="C46" i="5"/>
  <c r="D46" i="5"/>
  <c r="E46" i="5"/>
  <c r="F46" i="5"/>
  <c r="C45" i="5"/>
  <c r="D45" i="5"/>
  <c r="E45" i="5"/>
  <c r="F45" i="5"/>
  <c r="C44" i="5"/>
  <c r="D44" i="5"/>
  <c r="E44" i="5"/>
  <c r="F44" i="5"/>
  <c r="C40" i="5"/>
  <c r="D40" i="5"/>
  <c r="E40" i="5"/>
  <c r="F40" i="5"/>
  <c r="G40" i="5"/>
  <c r="C38" i="5"/>
  <c r="D38" i="5"/>
  <c r="E38" i="5"/>
  <c r="F38" i="5"/>
  <c r="C35" i="5"/>
  <c r="D35" i="5"/>
  <c r="E35" i="5"/>
  <c r="F35" i="5"/>
  <c r="C32" i="5"/>
  <c r="D32" i="5"/>
  <c r="E32" i="5"/>
  <c r="F32" i="5"/>
  <c r="C31" i="5"/>
  <c r="D31" i="5"/>
  <c r="E31" i="5"/>
  <c r="F31" i="5"/>
  <c r="C28" i="5"/>
  <c r="D28" i="5"/>
  <c r="E28" i="5"/>
  <c r="F28" i="5"/>
  <c r="C27" i="5"/>
  <c r="D27" i="5"/>
  <c r="E27" i="5"/>
  <c r="F27" i="5"/>
  <c r="C26" i="5"/>
  <c r="D26" i="5"/>
  <c r="E26" i="5"/>
  <c r="F26" i="5"/>
  <c r="C22" i="5"/>
  <c r="C21" i="5" s="1"/>
  <c r="D22" i="5"/>
  <c r="D21" i="5" s="1"/>
  <c r="E22" i="5"/>
  <c r="E21" i="5" s="1"/>
  <c r="F22" i="5"/>
  <c r="F21" i="5" s="1"/>
  <c r="C20" i="5"/>
  <c r="D20" i="5"/>
  <c r="E20" i="5"/>
  <c r="F20" i="5"/>
  <c r="C19" i="5"/>
  <c r="D19" i="5"/>
  <c r="E19" i="5"/>
  <c r="F19" i="5"/>
  <c r="C17" i="5"/>
  <c r="D17" i="5"/>
  <c r="E17" i="5"/>
  <c r="F17" i="5"/>
  <c r="C18" i="5"/>
  <c r="E18" i="5"/>
  <c r="F18" i="5"/>
  <c r="C15" i="5"/>
  <c r="D15" i="5"/>
  <c r="E15" i="5"/>
  <c r="F15" i="5"/>
  <c r="H8" i="5"/>
  <c r="I8" i="5"/>
  <c r="J8" i="5"/>
  <c r="K8" i="5"/>
  <c r="L8" i="5"/>
  <c r="M8" i="5"/>
  <c r="N8" i="5"/>
  <c r="O8" i="5"/>
  <c r="P8" i="5"/>
  <c r="Q8" i="5"/>
  <c r="C8" i="5"/>
  <c r="D8" i="5"/>
  <c r="E8" i="5"/>
  <c r="F8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D6" i="5"/>
  <c r="E6" i="5"/>
  <c r="E26" i="3" s="1"/>
  <c r="F6" i="5"/>
  <c r="G6" i="5"/>
  <c r="H6" i="5"/>
  <c r="I6" i="5"/>
  <c r="I26" i="3" s="1"/>
  <c r="J6" i="5"/>
  <c r="K6" i="5"/>
  <c r="L6" i="5"/>
  <c r="M6" i="5"/>
  <c r="M26" i="3" s="1"/>
  <c r="N6" i="5"/>
  <c r="O6" i="5"/>
  <c r="P6" i="5"/>
  <c r="Q6" i="5"/>
  <c r="Q26" i="3" s="1"/>
  <c r="E5" i="5"/>
  <c r="Q5" i="5"/>
  <c r="C6" i="5"/>
  <c r="R39" i="2"/>
  <c r="S39" i="2"/>
  <c r="T32" i="3" s="1"/>
  <c r="U15" i="7"/>
  <c r="T39" i="2"/>
  <c r="J39" i="5"/>
  <c r="B12" i="2"/>
  <c r="B20" i="2"/>
  <c r="B23" i="2"/>
  <c r="B30" i="2"/>
  <c r="R51" i="1"/>
  <c r="T11" i="8"/>
  <c r="U25" i="7"/>
  <c r="Q34" i="5"/>
  <c r="Q30" i="5"/>
  <c r="B31" i="1"/>
  <c r="C5" i="5" s="1"/>
  <c r="B21" i="1"/>
  <c r="C34" i="5" s="1"/>
  <c r="B17" i="1"/>
  <c r="B14" i="1"/>
  <c r="C30" i="5" s="1"/>
  <c r="B8" i="1"/>
  <c r="B4" i="1"/>
  <c r="I15" i="5"/>
  <c r="I17" i="5"/>
  <c r="I18" i="5"/>
  <c r="I19" i="5"/>
  <c r="I22" i="5"/>
  <c r="I21" i="5" s="1"/>
  <c r="I26" i="5"/>
  <c r="I27" i="5"/>
  <c r="I28" i="5"/>
  <c r="I32" i="5"/>
  <c r="I35" i="5"/>
  <c r="I38" i="5"/>
  <c r="I40" i="5"/>
  <c r="I45" i="5"/>
  <c r="I46" i="5"/>
  <c r="I20" i="5"/>
  <c r="D37" i="6"/>
  <c r="D28" i="6"/>
  <c r="D38" i="6"/>
  <c r="D40" i="6" s="1"/>
  <c r="D14" i="6"/>
  <c r="D8" i="6"/>
  <c r="U19" i="7"/>
  <c r="H15" i="5"/>
  <c r="H17" i="5"/>
  <c r="H19" i="5"/>
  <c r="H22" i="5"/>
  <c r="H21" i="5" s="1"/>
  <c r="H27" i="5"/>
  <c r="H31" i="5"/>
  <c r="H32" i="5"/>
  <c r="H35" i="5"/>
  <c r="H38" i="5"/>
  <c r="H40" i="5"/>
  <c r="H45" i="5"/>
  <c r="H46" i="5"/>
  <c r="H39" i="5"/>
  <c r="H20" i="5"/>
  <c r="H18" i="5"/>
  <c r="H28" i="5"/>
  <c r="C37" i="6"/>
  <c r="B37" i="6"/>
  <c r="C28" i="6"/>
  <c r="B28" i="6"/>
  <c r="C14" i="6"/>
  <c r="B14" i="6"/>
  <c r="C8" i="6"/>
  <c r="C18" i="6" s="1"/>
  <c r="B8" i="6"/>
  <c r="F44" i="4"/>
  <c r="F43" i="4"/>
  <c r="F42" i="4"/>
  <c r="F41" i="4"/>
  <c r="F40" i="4"/>
  <c r="Q39" i="2"/>
  <c r="K30" i="5"/>
  <c r="G46" i="5"/>
  <c r="G20" i="5"/>
  <c r="J20" i="5"/>
  <c r="K20" i="5"/>
  <c r="L20" i="5"/>
  <c r="M20" i="5"/>
  <c r="N20" i="5"/>
  <c r="O20" i="5"/>
  <c r="P20" i="5"/>
  <c r="Q20" i="5"/>
  <c r="P15" i="5"/>
  <c r="Q15" i="5"/>
  <c r="P17" i="5"/>
  <c r="Q17" i="5"/>
  <c r="P18" i="5"/>
  <c r="Q18" i="5"/>
  <c r="P19" i="5"/>
  <c r="Q19" i="5"/>
  <c r="P22" i="5"/>
  <c r="P21" i="5" s="1"/>
  <c r="Q22" i="5"/>
  <c r="Q21" i="5" s="1"/>
  <c r="P26" i="5"/>
  <c r="Q26" i="5"/>
  <c r="P27" i="5"/>
  <c r="Q27" i="5"/>
  <c r="P28" i="5"/>
  <c r="Q28" i="5"/>
  <c r="P31" i="5"/>
  <c r="Q31" i="5"/>
  <c r="S35" i="3" s="1"/>
  <c r="P32" i="5"/>
  <c r="Q32" i="5"/>
  <c r="P35" i="5"/>
  <c r="Q35" i="5"/>
  <c r="P38" i="5"/>
  <c r="Q38" i="5"/>
  <c r="Q39" i="5"/>
  <c r="P40" i="5"/>
  <c r="Q40" i="5"/>
  <c r="P44" i="5"/>
  <c r="Q33" i="3" s="1"/>
  <c r="Q44" i="5"/>
  <c r="R33" i="3" s="1"/>
  <c r="P45" i="5"/>
  <c r="Q34" i="3" s="1"/>
  <c r="Q45" i="5"/>
  <c r="R34" i="3" s="1"/>
  <c r="P46" i="5"/>
  <c r="Q46" i="5"/>
  <c r="O15" i="5"/>
  <c r="O17" i="5"/>
  <c r="O18" i="5"/>
  <c r="O19" i="5"/>
  <c r="O22" i="5"/>
  <c r="O21" i="5" s="1"/>
  <c r="O26" i="5"/>
  <c r="O27" i="5"/>
  <c r="O28" i="5"/>
  <c r="O31" i="5"/>
  <c r="O32" i="5"/>
  <c r="O35" i="5"/>
  <c r="O38" i="5"/>
  <c r="O40" i="5"/>
  <c r="O44" i="5"/>
  <c r="P33" i="3" s="1"/>
  <c r="O45" i="5"/>
  <c r="P34" i="3" s="1"/>
  <c r="O46" i="5"/>
  <c r="G17" i="5"/>
  <c r="K17" i="5"/>
  <c r="L17" i="5"/>
  <c r="M17" i="5"/>
  <c r="N17" i="5"/>
  <c r="M46" i="5"/>
  <c r="N46" i="5"/>
  <c r="G45" i="5"/>
  <c r="H34" i="3" s="1"/>
  <c r="M45" i="5"/>
  <c r="N34" i="3" s="1"/>
  <c r="N45" i="5"/>
  <c r="O34" i="3" s="1"/>
  <c r="M44" i="5"/>
  <c r="N33" i="3" s="1"/>
  <c r="N44" i="5"/>
  <c r="O33" i="3" s="1"/>
  <c r="J40" i="5"/>
  <c r="K40" i="5"/>
  <c r="L40" i="5"/>
  <c r="M40" i="5"/>
  <c r="N40" i="5"/>
  <c r="G38" i="5"/>
  <c r="J38" i="5"/>
  <c r="K38" i="5"/>
  <c r="L38" i="5"/>
  <c r="M38" i="5"/>
  <c r="N38" i="5"/>
  <c r="K35" i="5"/>
  <c r="L35" i="5"/>
  <c r="M35" i="5"/>
  <c r="N35" i="5"/>
  <c r="K32" i="5"/>
  <c r="L32" i="5"/>
  <c r="M32" i="5"/>
  <c r="N32" i="5"/>
  <c r="K31" i="5"/>
  <c r="L31" i="5"/>
  <c r="M31" i="5"/>
  <c r="N31" i="5"/>
  <c r="O28" i="3" s="1"/>
  <c r="K28" i="5"/>
  <c r="L28" i="5"/>
  <c r="M28" i="5"/>
  <c r="N28" i="5"/>
  <c r="K27" i="5"/>
  <c r="L27" i="5"/>
  <c r="M27" i="5"/>
  <c r="N27" i="5"/>
  <c r="K26" i="5"/>
  <c r="L26" i="5"/>
  <c r="M26" i="5"/>
  <c r="N26" i="5"/>
  <c r="G22" i="5"/>
  <c r="G21" i="5" s="1"/>
  <c r="K22" i="5"/>
  <c r="K21" i="5" s="1"/>
  <c r="L22" i="5"/>
  <c r="L21" i="5" s="1"/>
  <c r="M22" i="5"/>
  <c r="M21" i="5" s="1"/>
  <c r="N22" i="5"/>
  <c r="N21" i="5" s="1"/>
  <c r="G19" i="5"/>
  <c r="K19" i="5"/>
  <c r="L19" i="5"/>
  <c r="M19" i="5"/>
  <c r="N19" i="5"/>
  <c r="K18" i="5"/>
  <c r="L18" i="5"/>
  <c r="M18" i="5"/>
  <c r="N18" i="5"/>
  <c r="G15" i="5"/>
  <c r="K15" i="5"/>
  <c r="L15" i="5"/>
  <c r="M15" i="5"/>
  <c r="N15" i="5"/>
  <c r="G8" i="5"/>
  <c r="C8" i="4"/>
  <c r="U11" i="7"/>
  <c r="U12" i="7" s="1"/>
  <c r="D35" i="4"/>
  <c r="I32" i="4" s="1"/>
  <c r="C35" i="4"/>
  <c r="F34" i="4"/>
  <c r="F33" i="4"/>
  <c r="F32" i="4"/>
  <c r="F31" i="4"/>
  <c r="F30" i="4"/>
  <c r="D8" i="4"/>
  <c r="I5" i="4" s="1"/>
  <c r="E8" i="4"/>
  <c r="M8" i="3"/>
  <c r="L11" i="7" s="1"/>
  <c r="L12" i="7" s="1"/>
  <c r="F4" i="4"/>
  <c r="F5" i="4"/>
  <c r="F6" i="4"/>
  <c r="F7" i="4"/>
  <c r="F3" i="4"/>
  <c r="F22" i="4"/>
  <c r="F23" i="4"/>
  <c r="F24" i="4"/>
  <c r="F25" i="4"/>
  <c r="F21" i="4"/>
  <c r="D26" i="4"/>
  <c r="C26" i="4"/>
  <c r="C17" i="4"/>
  <c r="D17" i="4"/>
  <c r="F13" i="4"/>
  <c r="F14" i="4"/>
  <c r="F15" i="4"/>
  <c r="F16" i="4"/>
  <c r="F12" i="4"/>
  <c r="L45" i="5"/>
  <c r="M34" i="3" s="1"/>
  <c r="L46" i="5"/>
  <c r="L44" i="5"/>
  <c r="M33" i="3" s="1"/>
  <c r="G35" i="5"/>
  <c r="G32" i="5"/>
  <c r="G31" i="5"/>
  <c r="G26" i="5"/>
  <c r="J44" i="5"/>
  <c r="K33" i="3" s="1"/>
  <c r="J46" i="5"/>
  <c r="J45" i="5"/>
  <c r="K34" i="3" s="1"/>
  <c r="J27" i="5"/>
  <c r="J35" i="5"/>
  <c r="J26" i="5"/>
  <c r="J18" i="5"/>
  <c r="J17" i="5"/>
  <c r="J31" i="5"/>
  <c r="J19" i="5"/>
  <c r="J28" i="5"/>
  <c r="J32" i="5"/>
  <c r="J22" i="5"/>
  <c r="J21" i="5" s="1"/>
  <c r="J15" i="5"/>
  <c r="G27" i="5"/>
  <c r="G28" i="5"/>
  <c r="K44" i="5"/>
  <c r="L33" i="3" s="1"/>
  <c r="K45" i="5"/>
  <c r="L34" i="3" s="1"/>
  <c r="K46" i="5"/>
  <c r="K39" i="5"/>
  <c r="G18" i="5"/>
  <c r="G44" i="5"/>
  <c r="H44" i="5"/>
  <c r="H26" i="5"/>
  <c r="Q51" i="1"/>
  <c r="M30" i="5"/>
  <c r="U20" i="7"/>
  <c r="T10" i="8"/>
  <c r="U14" i="7"/>
  <c r="U21" i="7"/>
  <c r="U22" i="7"/>
  <c r="I31" i="5"/>
  <c r="I44" i="5"/>
  <c r="B38" i="1"/>
  <c r="E18" i="3"/>
  <c r="C11" i="8" s="1"/>
  <c r="B38" i="6"/>
  <c r="B40" i="6"/>
  <c r="D18" i="6"/>
  <c r="J47" i="5"/>
  <c r="M47" i="5"/>
  <c r="G47" i="5"/>
  <c r="L11" i="8"/>
  <c r="F13" i="3"/>
  <c r="E20" i="7" s="1"/>
  <c r="S4" i="8"/>
  <c r="T5" i="7"/>
  <c r="K39" i="2"/>
  <c r="L47" i="5"/>
  <c r="F39" i="2"/>
  <c r="G3" i="2"/>
  <c r="I18" i="3"/>
  <c r="H27" i="7" s="1"/>
  <c r="H34" i="5"/>
  <c r="F19" i="3"/>
  <c r="D12" i="8" s="1"/>
  <c r="R38" i="3"/>
  <c r="R11" i="7"/>
  <c r="R12" i="7" s="1"/>
  <c r="O8" i="3" l="1"/>
  <c r="C38" i="6"/>
  <c r="C40" i="6" s="1"/>
  <c r="F26" i="4"/>
  <c r="F17" i="4"/>
  <c r="G19" i="2"/>
  <c r="I10" i="3" s="1"/>
  <c r="H15" i="7" s="1"/>
  <c r="C19" i="2"/>
  <c r="L37" i="5"/>
  <c r="M39" i="3" s="1"/>
  <c r="K3" i="2"/>
  <c r="K19" i="2" s="1"/>
  <c r="M10" i="3" s="1"/>
  <c r="L15" i="7" s="1"/>
  <c r="G32" i="3"/>
  <c r="D39" i="2"/>
  <c r="J39" i="2"/>
  <c r="L32" i="3" s="1"/>
  <c r="P37" i="5"/>
  <c r="G39" i="2"/>
  <c r="I32" i="3" s="1"/>
  <c r="M32" i="3"/>
  <c r="N3" i="2"/>
  <c r="N19" i="2" s="1"/>
  <c r="N29" i="2" s="1"/>
  <c r="N33" i="2" s="1"/>
  <c r="P32" i="3"/>
  <c r="H43" i="5"/>
  <c r="U32" i="3"/>
  <c r="U41" i="2"/>
  <c r="V32" i="3"/>
  <c r="B39" i="2"/>
  <c r="D32" i="3" s="1"/>
  <c r="S32" i="3"/>
  <c r="B3" i="2"/>
  <c r="B19" i="2" s="1"/>
  <c r="B29" i="2" s="1"/>
  <c r="B33" i="2" s="1"/>
  <c r="B35" i="2" s="1"/>
  <c r="B37" i="2" s="1"/>
  <c r="L3" i="2"/>
  <c r="L19" i="2" s="1"/>
  <c r="N10" i="3" s="1"/>
  <c r="M15" i="7" s="1"/>
  <c r="I13" i="3"/>
  <c r="H20" i="7" s="1"/>
  <c r="G49" i="1"/>
  <c r="I5" i="3"/>
  <c r="G6" i="8" s="1"/>
  <c r="O13" i="3"/>
  <c r="N20" i="7" s="1"/>
  <c r="D18" i="3"/>
  <c r="B11" i="8" s="1"/>
  <c r="L38" i="3"/>
  <c r="P26" i="3"/>
  <c r="L26" i="3"/>
  <c r="H26" i="3"/>
  <c r="D18" i="5"/>
  <c r="N13" i="3"/>
  <c r="M20" i="7" s="1"/>
  <c r="P35" i="3"/>
  <c r="O26" i="3"/>
  <c r="K26" i="3"/>
  <c r="G26" i="3"/>
  <c r="N26" i="3"/>
  <c r="J26" i="3"/>
  <c r="F26" i="3"/>
  <c r="N37" i="5"/>
  <c r="O37" i="3" s="1"/>
  <c r="F43" i="5"/>
  <c r="I37" i="5"/>
  <c r="E47" i="5"/>
  <c r="E43" i="5" s="1"/>
  <c r="H3" i="2"/>
  <c r="H19" i="2" s="1"/>
  <c r="H29" i="2" s="1"/>
  <c r="H33" i="2" s="1"/>
  <c r="H35" i="2" s="1"/>
  <c r="H37" i="2" s="1"/>
  <c r="E37" i="5"/>
  <c r="C47" i="5"/>
  <c r="C43" i="5" s="1"/>
  <c r="J37" i="5"/>
  <c r="K37" i="3" s="1"/>
  <c r="Q39" i="3"/>
  <c r="Q37" i="3"/>
  <c r="K37" i="5"/>
  <c r="L30" i="3" s="1"/>
  <c r="M39" i="5"/>
  <c r="M37" i="5" s="1"/>
  <c r="M39" i="2"/>
  <c r="O32" i="3" s="1"/>
  <c r="J43" i="5"/>
  <c r="C29" i="2"/>
  <c r="C33" i="2" s="1"/>
  <c r="C35" i="2" s="1"/>
  <c r="C37" i="2" s="1"/>
  <c r="O3" i="2"/>
  <c r="O19" i="2" s="1"/>
  <c r="O29" i="2" s="1"/>
  <c r="O33" i="2" s="1"/>
  <c r="O35" i="2" s="1"/>
  <c r="O37" i="2" s="1"/>
  <c r="J19" i="2"/>
  <c r="M19" i="2"/>
  <c r="M29" i="2" s="1"/>
  <c r="M33" i="2" s="1"/>
  <c r="F32" i="3"/>
  <c r="K41" i="2"/>
  <c r="C39" i="5"/>
  <c r="C37" i="5" s="1"/>
  <c r="O38" i="3"/>
  <c r="O5" i="3"/>
  <c r="N8" i="7" s="1"/>
  <c r="K5" i="5"/>
  <c r="N5" i="5"/>
  <c r="L18" i="3"/>
  <c r="K27" i="7" s="1"/>
  <c r="O5" i="5"/>
  <c r="P13" i="3"/>
  <c r="O20" i="7" s="1"/>
  <c r="Q13" i="3"/>
  <c r="P20" i="7" s="1"/>
  <c r="P5" i="7"/>
  <c r="H18" i="3"/>
  <c r="G27" i="7" s="1"/>
  <c r="N49" i="1"/>
  <c r="Q5" i="3"/>
  <c r="O6" i="8" s="1"/>
  <c r="H13" i="3"/>
  <c r="G20" i="7" s="1"/>
  <c r="Q19" i="3"/>
  <c r="O12" i="8" s="1"/>
  <c r="G5" i="5"/>
  <c r="L28" i="3"/>
  <c r="D13" i="3"/>
  <c r="C20" i="7" s="1"/>
  <c r="P5" i="5"/>
  <c r="P25" i="3" s="1"/>
  <c r="S3" i="8"/>
  <c r="J5" i="5"/>
  <c r="G43" i="5"/>
  <c r="F8" i="4"/>
  <c r="F35" i="4"/>
  <c r="B18" i="6"/>
  <c r="H37" i="5"/>
  <c r="I43" i="5"/>
  <c r="F25" i="5"/>
  <c r="F28" i="3"/>
  <c r="D37" i="5"/>
  <c r="B49" i="1"/>
  <c r="F18" i="9"/>
  <c r="K38" i="3"/>
  <c r="F37" i="5"/>
  <c r="N38" i="3"/>
  <c r="P38" i="3"/>
  <c r="O43" i="5"/>
  <c r="L3" i="8"/>
  <c r="S41" i="2"/>
  <c r="O27" i="3"/>
  <c r="Q35" i="3"/>
  <c r="P28" i="7"/>
  <c r="M3" i="8"/>
  <c r="T26" i="7"/>
  <c r="O19" i="3"/>
  <c r="N28" i="7" s="1"/>
  <c r="F5" i="7"/>
  <c r="F5" i="3"/>
  <c r="E8" i="7" s="1"/>
  <c r="P28" i="3"/>
  <c r="M27" i="3"/>
  <c r="D27" i="3"/>
  <c r="D26" i="3"/>
  <c r="G3" i="8"/>
  <c r="J25" i="5"/>
  <c r="T8" i="8"/>
  <c r="L27" i="3"/>
  <c r="H5" i="7"/>
  <c r="I27" i="3"/>
  <c r="H27" i="3"/>
  <c r="S12" i="8"/>
  <c r="H5" i="3"/>
  <c r="F6" i="8" s="1"/>
  <c r="S6" i="8"/>
  <c r="E3" i="8"/>
  <c r="I19" i="3"/>
  <c r="H28" i="7" s="1"/>
  <c r="T21" i="7"/>
  <c r="K35" i="3"/>
  <c r="E25" i="3"/>
  <c r="G5" i="7"/>
  <c r="E5" i="7"/>
  <c r="H25" i="5"/>
  <c r="F27" i="3"/>
  <c r="C25" i="5"/>
  <c r="I28" i="7"/>
  <c r="H12" i="8"/>
  <c r="F11" i="8"/>
  <c r="O25" i="5"/>
  <c r="Q28" i="3"/>
  <c r="C27" i="7"/>
  <c r="H3" i="8"/>
  <c r="J27" i="3"/>
  <c r="I5" i="7"/>
  <c r="I3" i="8"/>
  <c r="L25" i="5"/>
  <c r="E28" i="7"/>
  <c r="M19" i="7"/>
  <c r="I28" i="3"/>
  <c r="P27" i="3"/>
  <c r="T19" i="7"/>
  <c r="R41" i="2"/>
  <c r="T41" i="2"/>
  <c r="U26" i="7"/>
  <c r="T6" i="7"/>
  <c r="T9" i="8"/>
  <c r="M8" i="8"/>
  <c r="N19" i="7"/>
  <c r="C3" i="8"/>
  <c r="D5" i="7"/>
  <c r="E5" i="3"/>
  <c r="E19" i="3"/>
  <c r="T13" i="8"/>
  <c r="J14" i="5"/>
  <c r="J11" i="5" s="1"/>
  <c r="J12" i="5" s="1"/>
  <c r="I49" i="1"/>
  <c r="G25" i="5"/>
  <c r="I5" i="5"/>
  <c r="K49" i="1"/>
  <c r="L19" i="3"/>
  <c r="J5" i="3"/>
  <c r="P12" i="3"/>
  <c r="K13" i="3"/>
  <c r="J20" i="7" s="1"/>
  <c r="N27" i="3"/>
  <c r="L5" i="3"/>
  <c r="J6" i="8" s="1"/>
  <c r="F49" i="1"/>
  <c r="E27" i="3"/>
  <c r="L30" i="5"/>
  <c r="J18" i="3"/>
  <c r="J3" i="8"/>
  <c r="N28" i="3"/>
  <c r="O49" i="1"/>
  <c r="B27" i="1"/>
  <c r="D17" i="3" s="1"/>
  <c r="L12" i="8"/>
  <c r="L5" i="7"/>
  <c r="K25" i="5"/>
  <c r="K28" i="3"/>
  <c r="M38" i="3"/>
  <c r="P25" i="5"/>
  <c r="M5" i="5"/>
  <c r="D28" i="3"/>
  <c r="N5" i="3"/>
  <c r="M8" i="7" s="1"/>
  <c r="M49" i="1"/>
  <c r="O8" i="8"/>
  <c r="P19" i="7"/>
  <c r="E12" i="3"/>
  <c r="E13" i="3"/>
  <c r="D20" i="7" s="1"/>
  <c r="S5" i="8"/>
  <c r="T7" i="7"/>
  <c r="H8" i="8"/>
  <c r="I19" i="7"/>
  <c r="J28" i="7"/>
  <c r="I12" i="8"/>
  <c r="E8" i="8"/>
  <c r="F19" i="7"/>
  <c r="E19" i="7"/>
  <c r="M19" i="3"/>
  <c r="L28" i="7" s="1"/>
  <c r="F28" i="7"/>
  <c r="N14" i="5"/>
  <c r="N11" i="5" s="1"/>
  <c r="N12" i="5" s="1"/>
  <c r="R35" i="3"/>
  <c r="G30" i="5"/>
  <c r="I12" i="3"/>
  <c r="T25" i="7"/>
  <c r="O30" i="5"/>
  <c r="L14" i="5"/>
  <c r="L11" i="5" s="1"/>
  <c r="L12" i="5" s="1"/>
  <c r="Q27" i="3"/>
  <c r="K14" i="5"/>
  <c r="K11" i="5" s="1"/>
  <c r="K12" i="5" s="1"/>
  <c r="D14" i="5"/>
  <c r="L35" i="3"/>
  <c r="G27" i="3"/>
  <c r="G11" i="8"/>
  <c r="M28" i="3"/>
  <c r="J13" i="3"/>
  <c r="I20" i="7" s="1"/>
  <c r="F3" i="8"/>
  <c r="C38" i="1"/>
  <c r="C49" i="1" s="1"/>
  <c r="D25" i="5"/>
  <c r="L13" i="3"/>
  <c r="K20" i="7" s="1"/>
  <c r="M35" i="3"/>
  <c r="H38" i="3"/>
  <c r="Q38" i="3"/>
  <c r="C14" i="5"/>
  <c r="Q18" i="3"/>
  <c r="J49" i="1"/>
  <c r="C27" i="1"/>
  <c r="E4" i="3" s="1"/>
  <c r="F14" i="5"/>
  <c r="J28" i="3"/>
  <c r="K5" i="3"/>
  <c r="P14" i="5"/>
  <c r="P11" i="5" s="1"/>
  <c r="M5" i="7"/>
  <c r="K12" i="3"/>
  <c r="J5" i="7"/>
  <c r="N43" i="5"/>
  <c r="F8" i="8"/>
  <c r="G19" i="7"/>
  <c r="K32" i="3"/>
  <c r="J32" i="3"/>
  <c r="H32" i="3"/>
  <c r="F10" i="3"/>
  <c r="E15" i="7" s="1"/>
  <c r="D29" i="2"/>
  <c r="D33" i="2" s="1"/>
  <c r="D35" i="2" s="1"/>
  <c r="D37" i="2" s="1"/>
  <c r="F29" i="2"/>
  <c r="F33" i="2" s="1"/>
  <c r="F35" i="2" s="1"/>
  <c r="F37" i="2" s="1"/>
  <c r="H10" i="3"/>
  <c r="G15" i="7" s="1"/>
  <c r="L37" i="3"/>
  <c r="D11" i="8"/>
  <c r="E27" i="7"/>
  <c r="T12" i="8"/>
  <c r="U28" i="7"/>
  <c r="C39" i="2"/>
  <c r="E32" i="3" s="1"/>
  <c r="E10" i="3"/>
  <c r="D15" i="7" s="1"/>
  <c r="D47" i="5"/>
  <c r="D43" i="5" s="1"/>
  <c r="U17" i="7"/>
  <c r="U23" i="7"/>
  <c r="N12" i="8"/>
  <c r="O28" i="7"/>
  <c r="F12" i="8"/>
  <c r="G28" i="7"/>
  <c r="K19" i="7"/>
  <c r="J8" i="8"/>
  <c r="E49" i="1"/>
  <c r="O14" i="5"/>
  <c r="O11" i="5" s="1"/>
  <c r="N41" i="2"/>
  <c r="O5" i="7"/>
  <c r="L41" i="2"/>
  <c r="U27" i="7"/>
  <c r="K27" i="3"/>
  <c r="G14" i="5"/>
  <c r="M14" i="5"/>
  <c r="M11" i="5" s="1"/>
  <c r="T3" i="8"/>
  <c r="G5" i="3"/>
  <c r="N25" i="5"/>
  <c r="F45" i="4"/>
  <c r="D25" i="3"/>
  <c r="D38" i="1"/>
  <c r="D49" i="1" s="1"/>
  <c r="O41" i="2"/>
  <c r="L43" i="5"/>
  <c r="U5" i="7"/>
  <c r="E28" i="3"/>
  <c r="D5" i="3"/>
  <c r="M25" i="5"/>
  <c r="F5" i="5"/>
  <c r="D12" i="3"/>
  <c r="N32" i="3"/>
  <c r="P49" i="1"/>
  <c r="G37" i="5"/>
  <c r="P10" i="3"/>
  <c r="O15" i="7" s="1"/>
  <c r="M11" i="8"/>
  <c r="K29" i="2"/>
  <c r="K33" i="2" s="1"/>
  <c r="K35" i="2" s="1"/>
  <c r="K37" i="2" s="1"/>
  <c r="G13" i="3"/>
  <c r="F20" i="7" s="1"/>
  <c r="M43" i="5"/>
  <c r="E14" i="5"/>
  <c r="R12" i="3"/>
  <c r="P8" i="8" s="1"/>
  <c r="F40" i="9"/>
  <c r="H5" i="5"/>
  <c r="K18" i="3"/>
  <c r="H33" i="3"/>
  <c r="D19" i="3"/>
  <c r="T27" i="7"/>
  <c r="H14" i="5"/>
  <c r="L19" i="7"/>
  <c r="E3" i="2"/>
  <c r="E19" i="2" s="1"/>
  <c r="H49" i="1"/>
  <c r="F12" i="9"/>
  <c r="F25" i="9"/>
  <c r="P43" i="5"/>
  <c r="Q47" i="5"/>
  <c r="Q43" i="5" s="1"/>
  <c r="I14" i="5"/>
  <c r="L5" i="5"/>
  <c r="M13" i="3"/>
  <c r="L20" i="7" s="1"/>
  <c r="M18" i="3"/>
  <c r="I19" i="2"/>
  <c r="K10" i="3" s="1"/>
  <c r="J15" i="7" s="1"/>
  <c r="O27" i="7"/>
  <c r="M5" i="3"/>
  <c r="E25" i="5"/>
  <c r="F27" i="9"/>
  <c r="F34" i="9"/>
  <c r="F6" i="9"/>
  <c r="F13" i="9"/>
  <c r="D27" i="7"/>
  <c r="G29" i="2"/>
  <c r="G33" i="2" s="1"/>
  <c r="G35" i="2" s="1"/>
  <c r="G37" i="2" s="1"/>
  <c r="C5" i="7"/>
  <c r="P5" i="3"/>
  <c r="N3" i="8"/>
  <c r="G18" i="3"/>
  <c r="F26" i="9"/>
  <c r="P39" i="2"/>
  <c r="P41" i="2" s="1"/>
  <c r="P19" i="2"/>
  <c r="R10" i="3" s="1"/>
  <c r="Q15" i="7" s="1"/>
  <c r="P27" i="1"/>
  <c r="G30" i="9" s="1"/>
  <c r="G17" i="9" s="1"/>
  <c r="R19" i="3"/>
  <c r="P12" i="8" s="1"/>
  <c r="R25" i="3"/>
  <c r="Q25" i="5"/>
  <c r="Q14" i="5"/>
  <c r="Q11" i="5" s="1"/>
  <c r="R5" i="3"/>
  <c r="Q5" i="7"/>
  <c r="R26" i="3"/>
  <c r="R27" i="3"/>
  <c r="P11" i="8"/>
  <c r="R20" i="7"/>
  <c r="Q25" i="3"/>
  <c r="R28" i="3"/>
  <c r="R13" i="3"/>
  <c r="Q20" i="7" s="1"/>
  <c r="O10" i="3"/>
  <c r="N15" i="7" s="1"/>
  <c r="K43" i="5"/>
  <c r="G28" i="3"/>
  <c r="H28" i="3"/>
  <c r="H35" i="3"/>
  <c r="O35" i="3"/>
  <c r="N35" i="3"/>
  <c r="O37" i="5"/>
  <c r="Q37" i="5"/>
  <c r="I25" i="5"/>
  <c r="N35" i="2"/>
  <c r="N37" i="2" s="1"/>
  <c r="F27" i="1"/>
  <c r="G27" i="1"/>
  <c r="E27" i="1"/>
  <c r="D27" i="1"/>
  <c r="I27" i="1"/>
  <c r="H27" i="1"/>
  <c r="I14" i="4"/>
  <c r="J27" i="1"/>
  <c r="J41" i="2"/>
  <c r="K27" i="1"/>
  <c r="O27" i="1"/>
  <c r="N27" i="1"/>
  <c r="M27" i="1"/>
  <c r="L27" i="1"/>
  <c r="I23" i="4"/>
  <c r="D30" i="3" l="1"/>
  <c r="M6" i="8"/>
  <c r="M37" i="3"/>
  <c r="O39" i="3"/>
  <c r="F30" i="3"/>
  <c r="J10" i="3"/>
  <c r="I15" i="7" s="1"/>
  <c r="K30" i="3"/>
  <c r="D10" i="3"/>
  <c r="C15" i="7" s="1"/>
  <c r="L29" i="2"/>
  <c r="L33" i="2" s="1"/>
  <c r="L35" i="2" s="1"/>
  <c r="L37" i="2" s="1"/>
  <c r="I30" i="3"/>
  <c r="H8" i="7"/>
  <c r="J11" i="8"/>
  <c r="F29" i="9"/>
  <c r="F7" i="9" s="1"/>
  <c r="R11" i="3"/>
  <c r="S9" i="3"/>
  <c r="L39" i="3"/>
  <c r="O25" i="3"/>
  <c r="J30" i="3"/>
  <c r="E30" i="3"/>
  <c r="K25" i="3"/>
  <c r="K39" i="3"/>
  <c r="H30" i="3"/>
  <c r="I29" i="2"/>
  <c r="I33" i="2" s="1"/>
  <c r="M30" i="3"/>
  <c r="N37" i="3"/>
  <c r="N39" i="3"/>
  <c r="N30" i="3"/>
  <c r="J29" i="2"/>
  <c r="J33" i="2" s="1"/>
  <c r="J35" i="2" s="1"/>
  <c r="J37" i="2" s="1"/>
  <c r="L10" i="3"/>
  <c r="K15" i="7" s="1"/>
  <c r="Q32" i="3"/>
  <c r="Q10" i="3"/>
  <c r="P15" i="7" s="1"/>
  <c r="M41" i="2"/>
  <c r="N25" i="3"/>
  <c r="F11" i="5"/>
  <c r="F12" i="5" s="1"/>
  <c r="P8" i="7"/>
  <c r="J25" i="3"/>
  <c r="M12" i="8"/>
  <c r="T8" i="7"/>
  <c r="T9" i="7" s="1"/>
  <c r="K12" i="8"/>
  <c r="G12" i="8"/>
  <c r="E20" i="3"/>
  <c r="D4" i="5"/>
  <c r="E16" i="3"/>
  <c r="D6" i="8"/>
  <c r="T23" i="7"/>
  <c r="E14" i="3"/>
  <c r="D21" i="7" s="1"/>
  <c r="C11" i="5"/>
  <c r="C12" i="5" s="1"/>
  <c r="E6" i="3"/>
  <c r="C5" i="8" s="1"/>
  <c r="E23" i="3"/>
  <c r="E17" i="3"/>
  <c r="D26" i="7" s="1"/>
  <c r="E21" i="3"/>
  <c r="P14" i="8"/>
  <c r="E22" i="3"/>
  <c r="T28" i="7"/>
  <c r="T29" i="7" s="1"/>
  <c r="H11" i="5"/>
  <c r="H12" i="5" s="1"/>
  <c r="G8" i="7"/>
  <c r="P29" i="3"/>
  <c r="M25" i="3"/>
  <c r="E15" i="3"/>
  <c r="D22" i="7" s="1"/>
  <c r="I11" i="5"/>
  <c r="J29" i="3" s="1"/>
  <c r="D4" i="3"/>
  <c r="B4" i="8" s="1"/>
  <c r="Q19" i="7"/>
  <c r="E9" i="3"/>
  <c r="D14" i="7" s="1"/>
  <c r="D6" i="3"/>
  <c r="B5" i="8" s="1"/>
  <c r="D11" i="3"/>
  <c r="C16" i="7" s="1"/>
  <c r="D16" i="3"/>
  <c r="B9" i="8" s="1"/>
  <c r="I8" i="7"/>
  <c r="H6" i="8"/>
  <c r="L6" i="8"/>
  <c r="K28" i="7"/>
  <c r="J12" i="8"/>
  <c r="G11" i="5"/>
  <c r="I27" i="7"/>
  <c r="H11" i="8"/>
  <c r="O19" i="7"/>
  <c r="N8" i="8"/>
  <c r="B51" i="1"/>
  <c r="C12" i="8"/>
  <c r="D28" i="7"/>
  <c r="D8" i="7"/>
  <c r="C6" i="8"/>
  <c r="K8" i="7"/>
  <c r="D15" i="3"/>
  <c r="C22" i="7" s="1"/>
  <c r="C4" i="5"/>
  <c r="D24" i="3" s="1"/>
  <c r="D14" i="3"/>
  <c r="B14" i="8"/>
  <c r="D22" i="3"/>
  <c r="D23" i="3"/>
  <c r="D21" i="3"/>
  <c r="D20" i="3"/>
  <c r="C51" i="1"/>
  <c r="C14" i="8"/>
  <c r="R29" i="3"/>
  <c r="I8" i="8"/>
  <c r="J19" i="7"/>
  <c r="R11" i="8"/>
  <c r="L29" i="3"/>
  <c r="I6" i="8"/>
  <c r="J8" i="7"/>
  <c r="K29" i="3"/>
  <c r="P12" i="5"/>
  <c r="D11" i="5"/>
  <c r="Q28" i="7"/>
  <c r="N29" i="3"/>
  <c r="P27" i="7"/>
  <c r="O11" i="8"/>
  <c r="B10" i="8"/>
  <c r="C26" i="7"/>
  <c r="D19" i="7"/>
  <c r="C8" i="8"/>
  <c r="H19" i="7"/>
  <c r="G8" i="8"/>
  <c r="P51" i="1"/>
  <c r="L25" i="3"/>
  <c r="U7" i="7"/>
  <c r="T5" i="8"/>
  <c r="G25" i="3"/>
  <c r="F25" i="3"/>
  <c r="O29" i="3"/>
  <c r="O12" i="5"/>
  <c r="R32" i="3"/>
  <c r="F49" i="9"/>
  <c r="F16" i="9" s="1"/>
  <c r="C28" i="7"/>
  <c r="B12" i="8"/>
  <c r="F8" i="7"/>
  <c r="E6" i="8"/>
  <c r="C8" i="7"/>
  <c r="B6" i="8"/>
  <c r="M12" i="5"/>
  <c r="M29" i="3"/>
  <c r="F30" i="9"/>
  <c r="P29" i="2"/>
  <c r="P33" i="2" s="1"/>
  <c r="P35" i="2" s="1"/>
  <c r="P37" i="2" s="1"/>
  <c r="F50" i="9" s="1"/>
  <c r="F45" i="9"/>
  <c r="E11" i="8"/>
  <c r="F27" i="7"/>
  <c r="I11" i="8"/>
  <c r="J27" i="7"/>
  <c r="U8" i="7"/>
  <c r="T6" i="8"/>
  <c r="B8" i="8"/>
  <c r="C19" i="7"/>
  <c r="I25" i="3"/>
  <c r="H25" i="3"/>
  <c r="G30" i="3"/>
  <c r="H37" i="3"/>
  <c r="H39" i="3"/>
  <c r="C9" i="8"/>
  <c r="D25" i="7"/>
  <c r="N6" i="8"/>
  <c r="O8" i="7"/>
  <c r="E29" i="2"/>
  <c r="E33" i="2" s="1"/>
  <c r="E35" i="2" s="1"/>
  <c r="E37" i="2" s="1"/>
  <c r="G10" i="3"/>
  <c r="F15" i="7" s="1"/>
  <c r="F20" i="9"/>
  <c r="U29" i="7"/>
  <c r="D6" i="7"/>
  <c r="C4" i="8"/>
  <c r="K6" i="8"/>
  <c r="L8" i="7"/>
  <c r="T4" i="8"/>
  <c r="U6" i="7"/>
  <c r="K11" i="8"/>
  <c r="L27" i="7"/>
  <c r="E11" i="5"/>
  <c r="Q41" i="2"/>
  <c r="R20" i="3"/>
  <c r="R16" i="3"/>
  <c r="R22" i="3"/>
  <c r="R21" i="3"/>
  <c r="R23" i="3"/>
  <c r="R14" i="3"/>
  <c r="R17" i="3"/>
  <c r="S20" i="7"/>
  <c r="Q4" i="5"/>
  <c r="R15" i="3"/>
  <c r="Q22" i="7" s="1"/>
  <c r="R6" i="3"/>
  <c r="P5" i="8" s="1"/>
  <c r="R4" i="3"/>
  <c r="Q6" i="7" s="1"/>
  <c r="Q29" i="3"/>
  <c r="Q12" i="5"/>
  <c r="Q8" i="7"/>
  <c r="P6" i="8"/>
  <c r="R27" i="7"/>
  <c r="Q11" i="8"/>
  <c r="R19" i="7"/>
  <c r="Q8" i="8"/>
  <c r="L14" i="8"/>
  <c r="N22" i="3"/>
  <c r="N15" i="3"/>
  <c r="M22" i="7" s="1"/>
  <c r="N21" i="3"/>
  <c r="N16" i="3"/>
  <c r="N23" i="3"/>
  <c r="M4" i="5"/>
  <c r="N14" i="3"/>
  <c r="L51" i="1"/>
  <c r="N20" i="3"/>
  <c r="N17" i="3"/>
  <c r="N11" i="3"/>
  <c r="M16" i="7" s="1"/>
  <c r="N6" i="3"/>
  <c r="N4" i="3"/>
  <c r="O6" i="3"/>
  <c r="O20" i="3"/>
  <c r="O17" i="3"/>
  <c r="O21" i="3"/>
  <c r="O14" i="3"/>
  <c r="O16" i="3"/>
  <c r="N4" i="5"/>
  <c r="O23" i="3"/>
  <c r="O22" i="3"/>
  <c r="O4" i="3"/>
  <c r="O15" i="3"/>
  <c r="N22" i="7" s="1"/>
  <c r="O11" i="3"/>
  <c r="N16" i="7" s="1"/>
  <c r="M51" i="1"/>
  <c r="M14" i="8"/>
  <c r="P9" i="3"/>
  <c r="O14" i="7" s="1"/>
  <c r="P23" i="3"/>
  <c r="N14" i="8"/>
  <c r="P17" i="3"/>
  <c r="P14" i="3"/>
  <c r="P20" i="3"/>
  <c r="P15" i="3"/>
  <c r="O22" i="7" s="1"/>
  <c r="O4" i="5"/>
  <c r="P22" i="3"/>
  <c r="P11" i="3"/>
  <c r="O16" i="7" s="1"/>
  <c r="Q9" i="3"/>
  <c r="P14" i="7" s="1"/>
  <c r="P21" i="3"/>
  <c r="P6" i="3"/>
  <c r="P4" i="3"/>
  <c r="P16" i="3"/>
  <c r="N51" i="1"/>
  <c r="Q23" i="3"/>
  <c r="Q16" i="3"/>
  <c r="Q20" i="3"/>
  <c r="Q6" i="3"/>
  <c r="Q17" i="3"/>
  <c r="Q22" i="3"/>
  <c r="P4" i="5"/>
  <c r="Q14" i="3"/>
  <c r="Q11" i="3"/>
  <c r="P16" i="7" s="1"/>
  <c r="Q21" i="3"/>
  <c r="O14" i="8"/>
  <c r="O51" i="1"/>
  <c r="Q4" i="3"/>
  <c r="Q15" i="3"/>
  <c r="P22" i="7" s="1"/>
  <c r="K51" i="1"/>
  <c r="M23" i="3"/>
  <c r="M16" i="3"/>
  <c r="M20" i="3"/>
  <c r="M22" i="3"/>
  <c r="M17" i="3"/>
  <c r="M14" i="3"/>
  <c r="L4" i="5"/>
  <c r="M6" i="3"/>
  <c r="M4" i="3"/>
  <c r="M11" i="3"/>
  <c r="L16" i="7" s="1"/>
  <c r="K14" i="8"/>
  <c r="M21" i="3"/>
  <c r="N9" i="3"/>
  <c r="M14" i="7" s="1"/>
  <c r="M15" i="3"/>
  <c r="L22" i="7" s="1"/>
  <c r="L21" i="3"/>
  <c r="L16" i="3"/>
  <c r="L23" i="3"/>
  <c r="L6" i="3"/>
  <c r="L17" i="3"/>
  <c r="J14" i="8"/>
  <c r="L4" i="3"/>
  <c r="L20" i="3"/>
  <c r="L14" i="3"/>
  <c r="M9" i="3"/>
  <c r="L14" i="7" s="1"/>
  <c r="J51" i="1"/>
  <c r="L11" i="3"/>
  <c r="K16" i="7" s="1"/>
  <c r="L22" i="3"/>
  <c r="K4" i="5"/>
  <c r="L15" i="3"/>
  <c r="K22" i="7" s="1"/>
  <c r="J4" i="3"/>
  <c r="J21" i="3"/>
  <c r="J15" i="3"/>
  <c r="I22" i="7" s="1"/>
  <c r="J23" i="3"/>
  <c r="I4" i="5"/>
  <c r="J14" i="3"/>
  <c r="J20" i="3"/>
  <c r="J16" i="3"/>
  <c r="J6" i="3"/>
  <c r="J22" i="3"/>
  <c r="J17" i="3"/>
  <c r="H51" i="1"/>
  <c r="H14" i="8"/>
  <c r="J11" i="3"/>
  <c r="I16" i="7" s="1"/>
  <c r="K4" i="3"/>
  <c r="K17" i="3"/>
  <c r="K23" i="3"/>
  <c r="K22" i="3"/>
  <c r="K15" i="3"/>
  <c r="J22" i="7" s="1"/>
  <c r="I14" i="8"/>
  <c r="I51" i="1"/>
  <c r="K20" i="3"/>
  <c r="K16" i="3"/>
  <c r="K14" i="3"/>
  <c r="K6" i="3"/>
  <c r="K21" i="3"/>
  <c r="J4" i="5"/>
  <c r="L9" i="3"/>
  <c r="K14" i="7" s="1"/>
  <c r="K11" i="3"/>
  <c r="J16" i="7" s="1"/>
  <c r="F22" i="3"/>
  <c r="F15" i="3"/>
  <c r="E22" i="7" s="1"/>
  <c r="E4" i="5"/>
  <c r="F17" i="3"/>
  <c r="F11" i="3"/>
  <c r="E16" i="7" s="1"/>
  <c r="D14" i="8"/>
  <c r="D51" i="1"/>
  <c r="F4" i="3"/>
  <c r="F6" i="3"/>
  <c r="F23" i="3"/>
  <c r="F21" i="3"/>
  <c r="F16" i="3"/>
  <c r="F20" i="3"/>
  <c r="F14" i="3"/>
  <c r="E11" i="3"/>
  <c r="D16" i="7" s="1"/>
  <c r="F9" i="3"/>
  <c r="E14" i="7" s="1"/>
  <c r="E17" i="7" s="1"/>
  <c r="G21" i="3"/>
  <c r="G20" i="3"/>
  <c r="G4" i="3"/>
  <c r="F4" i="5"/>
  <c r="G14" i="3"/>
  <c r="G11" i="3"/>
  <c r="F16" i="7" s="1"/>
  <c r="G23" i="3"/>
  <c r="G15" i="3"/>
  <c r="F22" i="7" s="1"/>
  <c r="G22" i="3"/>
  <c r="G6" i="3"/>
  <c r="E51" i="1"/>
  <c r="G16" i="3"/>
  <c r="G17" i="3"/>
  <c r="E14" i="8"/>
  <c r="H9" i="3"/>
  <c r="G14" i="7" s="1"/>
  <c r="I11" i="3"/>
  <c r="H16" i="7" s="1"/>
  <c r="I15" i="3"/>
  <c r="H22" i="7" s="1"/>
  <c r="I6" i="3"/>
  <c r="I23" i="3"/>
  <c r="H4" i="5"/>
  <c r="G14" i="8"/>
  <c r="I4" i="3"/>
  <c r="I22" i="3"/>
  <c r="I14" i="3"/>
  <c r="I21" i="3"/>
  <c r="I16" i="3"/>
  <c r="I20" i="3"/>
  <c r="G51" i="1"/>
  <c r="I17" i="3"/>
  <c r="J9" i="3"/>
  <c r="I14" i="7" s="1"/>
  <c r="H14" i="3"/>
  <c r="H22" i="3"/>
  <c r="H20" i="3"/>
  <c r="H6" i="3"/>
  <c r="G4" i="5"/>
  <c r="H11" i="3"/>
  <c r="G16" i="7" s="1"/>
  <c r="F51" i="1"/>
  <c r="H4" i="3"/>
  <c r="I9" i="3"/>
  <c r="H14" i="7" s="1"/>
  <c r="H16" i="3"/>
  <c r="H17" i="3"/>
  <c r="H15" i="3"/>
  <c r="G22" i="7" s="1"/>
  <c r="H21" i="3"/>
  <c r="H23" i="3"/>
  <c r="F14" i="8"/>
  <c r="I35" i="2"/>
  <c r="I37" i="2" s="1"/>
  <c r="K9" i="3"/>
  <c r="J14" i="7" s="1"/>
  <c r="R5" i="7"/>
  <c r="Q3" i="8"/>
  <c r="R39" i="3"/>
  <c r="R37" i="3"/>
  <c r="R30" i="3"/>
  <c r="Q30" i="3"/>
  <c r="O30" i="3"/>
  <c r="P39" i="3"/>
  <c r="P30" i="3"/>
  <c r="P37" i="3"/>
  <c r="M35" i="2"/>
  <c r="M37" i="2" s="1"/>
  <c r="O9" i="3"/>
  <c r="N14" i="7" s="1"/>
  <c r="F8" i="9" l="1"/>
  <c r="F11" i="9"/>
  <c r="F22" i="9"/>
  <c r="G9" i="3"/>
  <c r="F14" i="7" s="1"/>
  <c r="F24" i="9"/>
  <c r="C17" i="7"/>
  <c r="F21" i="9"/>
  <c r="G29" i="3"/>
  <c r="S36" i="3"/>
  <c r="S24" i="3"/>
  <c r="I12" i="5"/>
  <c r="D7" i="7"/>
  <c r="D9" i="7" s="1"/>
  <c r="F24" i="3"/>
  <c r="J17" i="7"/>
  <c r="C10" i="8"/>
  <c r="C13" i="8"/>
  <c r="C6" i="7"/>
  <c r="C25" i="3"/>
  <c r="I29" i="3"/>
  <c r="C7" i="7"/>
  <c r="G12" i="5"/>
  <c r="H17" i="7"/>
  <c r="D23" i="7"/>
  <c r="D17" i="7"/>
  <c r="I17" i="7"/>
  <c r="H29" i="3"/>
  <c r="C25" i="7"/>
  <c r="C29" i="7" s="1"/>
  <c r="U9" i="7"/>
  <c r="U30" i="7" s="1"/>
  <c r="E24" i="3"/>
  <c r="B13" i="8"/>
  <c r="C21" i="7"/>
  <c r="C23" i="7" s="1"/>
  <c r="F17" i="9"/>
  <c r="M17" i="7"/>
  <c r="S27" i="7"/>
  <c r="D29" i="7"/>
  <c r="Q7" i="7"/>
  <c r="Q9" i="7" s="1"/>
  <c r="D29" i="3"/>
  <c r="D12" i="5"/>
  <c r="L17" i="7"/>
  <c r="N17" i="7"/>
  <c r="K17" i="7"/>
  <c r="R9" i="3"/>
  <c r="Q14" i="7" s="1"/>
  <c r="E12" i="5"/>
  <c r="E29" i="3"/>
  <c r="F29" i="3"/>
  <c r="S19" i="7"/>
  <c r="P9" i="8"/>
  <c r="Q25" i="7"/>
  <c r="Q26" i="7"/>
  <c r="P10" i="8"/>
  <c r="P13" i="8"/>
  <c r="Q21" i="7"/>
  <c r="Q23" i="7" s="1"/>
  <c r="P4" i="8"/>
  <c r="Q4" i="8"/>
  <c r="R8" i="7"/>
  <c r="Q6" i="8"/>
  <c r="R7" i="7"/>
  <c r="Q5" i="8"/>
  <c r="R28" i="7"/>
  <c r="Q12" i="8"/>
  <c r="G26" i="7"/>
  <c r="F10" i="8"/>
  <c r="G25" i="7"/>
  <c r="F9" i="8"/>
  <c r="F4" i="8"/>
  <c r="G6" i="7"/>
  <c r="H24" i="3"/>
  <c r="K36" i="3"/>
  <c r="G7" i="7"/>
  <c r="F5" i="8"/>
  <c r="F13" i="8"/>
  <c r="G21" i="7"/>
  <c r="G23" i="7" s="1"/>
  <c r="H26" i="7"/>
  <c r="G10" i="8"/>
  <c r="H25" i="7"/>
  <c r="G9" i="8"/>
  <c r="G13" i="8"/>
  <c r="H21" i="7"/>
  <c r="H23" i="7" s="1"/>
  <c r="H6" i="7"/>
  <c r="G4" i="8"/>
  <c r="I24" i="3"/>
  <c r="G5" i="8"/>
  <c r="H7" i="7"/>
  <c r="G17" i="7"/>
  <c r="E10" i="8"/>
  <c r="F26" i="7"/>
  <c r="E9" i="8"/>
  <c r="F25" i="7"/>
  <c r="F7" i="7"/>
  <c r="E5" i="8"/>
  <c r="E13" i="8"/>
  <c r="F21" i="7"/>
  <c r="F23" i="7" s="1"/>
  <c r="H36" i="3"/>
  <c r="G24" i="3"/>
  <c r="F6" i="7"/>
  <c r="E4" i="8"/>
  <c r="F17" i="7"/>
  <c r="E21" i="7"/>
  <c r="E23" i="7" s="1"/>
  <c r="D13" i="8"/>
  <c r="D9" i="8"/>
  <c r="E25" i="7"/>
  <c r="E7" i="7"/>
  <c r="D5" i="8"/>
  <c r="E6" i="7"/>
  <c r="D4" i="8"/>
  <c r="D10" i="8"/>
  <c r="E26" i="7"/>
  <c r="K24" i="3"/>
  <c r="L36" i="3"/>
  <c r="I5" i="8"/>
  <c r="J7" i="7"/>
  <c r="I13" i="8"/>
  <c r="J21" i="7"/>
  <c r="J23" i="7" s="1"/>
  <c r="J25" i="7"/>
  <c r="I9" i="8"/>
  <c r="J26" i="7"/>
  <c r="I10" i="8"/>
  <c r="J6" i="7"/>
  <c r="I4" i="8"/>
  <c r="I26" i="7"/>
  <c r="H10" i="8"/>
  <c r="I7" i="7"/>
  <c r="H5" i="8"/>
  <c r="H9" i="8"/>
  <c r="I25" i="7"/>
  <c r="I21" i="7"/>
  <c r="I23" i="7" s="1"/>
  <c r="H13" i="8"/>
  <c r="J24" i="3"/>
  <c r="I6" i="7"/>
  <c r="H4" i="8"/>
  <c r="L24" i="3"/>
  <c r="M36" i="3"/>
  <c r="K21" i="7"/>
  <c r="K23" i="7" s="1"/>
  <c r="J13" i="8"/>
  <c r="K6" i="7"/>
  <c r="J4" i="8"/>
  <c r="J10" i="8"/>
  <c r="K26" i="7"/>
  <c r="K7" i="7"/>
  <c r="J5" i="8"/>
  <c r="K25" i="7"/>
  <c r="J9" i="8"/>
  <c r="L6" i="7"/>
  <c r="K4" i="8"/>
  <c r="K5" i="8"/>
  <c r="L7" i="7"/>
  <c r="M24" i="3"/>
  <c r="N36" i="3"/>
  <c r="L21" i="7"/>
  <c r="L23" i="7" s="1"/>
  <c r="K13" i="8"/>
  <c r="L26" i="7"/>
  <c r="K10" i="8"/>
  <c r="L25" i="7"/>
  <c r="K9" i="8"/>
  <c r="P6" i="7"/>
  <c r="O4" i="8"/>
  <c r="R14" i="7"/>
  <c r="S14" i="7"/>
  <c r="Q16" i="7"/>
  <c r="R22" i="7"/>
  <c r="Q14" i="8"/>
  <c r="O13" i="8"/>
  <c r="P21" i="7"/>
  <c r="P23" i="7" s="1"/>
  <c r="R36" i="3"/>
  <c r="Q24" i="3"/>
  <c r="R24" i="3"/>
  <c r="O10" i="8"/>
  <c r="P26" i="7"/>
  <c r="P7" i="7"/>
  <c r="O5" i="8"/>
  <c r="O9" i="8"/>
  <c r="P25" i="7"/>
  <c r="N9" i="8"/>
  <c r="O25" i="7"/>
  <c r="O6" i="7"/>
  <c r="N4" i="8"/>
  <c r="N5" i="8"/>
  <c r="O7" i="7"/>
  <c r="P17" i="7"/>
  <c r="P24" i="3"/>
  <c r="Q36" i="3"/>
  <c r="N13" i="8"/>
  <c r="O21" i="7"/>
  <c r="O23" i="7" s="1"/>
  <c r="O26" i="7"/>
  <c r="N10" i="8"/>
  <c r="O17" i="7"/>
  <c r="N6" i="7"/>
  <c r="M4" i="8"/>
  <c r="O24" i="3"/>
  <c r="P36" i="3"/>
  <c r="N25" i="7"/>
  <c r="M9" i="8"/>
  <c r="M13" i="8"/>
  <c r="N21" i="7"/>
  <c r="N23" i="7" s="1"/>
  <c r="M10" i="8"/>
  <c r="N26" i="7"/>
  <c r="M5" i="8"/>
  <c r="N7" i="7"/>
  <c r="L4" i="8"/>
  <c r="M6" i="7"/>
  <c r="L5" i="8"/>
  <c r="M7" i="7"/>
  <c r="M26" i="7"/>
  <c r="L10" i="8"/>
  <c r="L13" i="8"/>
  <c r="M21" i="7"/>
  <c r="M23" i="7" s="1"/>
  <c r="O36" i="3"/>
  <c r="N24" i="3"/>
  <c r="L9" i="8"/>
  <c r="M25" i="7"/>
  <c r="C9" i="7" l="1"/>
  <c r="C30" i="7" s="1"/>
  <c r="D30" i="7"/>
  <c r="Q17" i="7"/>
  <c r="Q30" i="7" s="1"/>
  <c r="P29" i="7"/>
  <c r="J9" i="7"/>
  <c r="J30" i="7" s="1"/>
  <c r="Q29" i="7"/>
  <c r="E9" i="7"/>
  <c r="E30" i="7" s="1"/>
  <c r="L29" i="7"/>
  <c r="K29" i="7"/>
  <c r="I9" i="7"/>
  <c r="I30" i="7" s="1"/>
  <c r="R8" i="8"/>
  <c r="I29" i="7"/>
  <c r="F29" i="7"/>
  <c r="M29" i="7"/>
  <c r="H29" i="7"/>
  <c r="G29" i="7"/>
  <c r="F9" i="7"/>
  <c r="R16" i="7"/>
  <c r="R17" i="7" s="1"/>
  <c r="R3" i="8"/>
  <c r="S5" i="7"/>
  <c r="R6" i="7"/>
  <c r="R9" i="7" s="1"/>
  <c r="M9" i="7"/>
  <c r="M30" i="7" s="1"/>
  <c r="N29" i="7"/>
  <c r="N9" i="7"/>
  <c r="N30" i="7" s="1"/>
  <c r="O9" i="7"/>
  <c r="O30" i="7" s="1"/>
  <c r="O29" i="7"/>
  <c r="R25" i="7"/>
  <c r="Q9" i="8"/>
  <c r="R26" i="7"/>
  <c r="Q10" i="8"/>
  <c r="S16" i="7"/>
  <c r="S17" i="7" s="1"/>
  <c r="T14" i="7"/>
  <c r="T17" i="7" s="1"/>
  <c r="T30" i="7" s="1"/>
  <c r="S22" i="7"/>
  <c r="R14" i="8"/>
  <c r="R21" i="7"/>
  <c r="R23" i="7" s="1"/>
  <c r="Q13" i="8"/>
  <c r="P9" i="7"/>
  <c r="P30" i="7" s="1"/>
  <c r="L9" i="7"/>
  <c r="L30" i="7" s="1"/>
  <c r="K9" i="7"/>
  <c r="K30" i="7" s="1"/>
  <c r="J29" i="7"/>
  <c r="E29" i="7"/>
  <c r="F30" i="7"/>
  <c r="H9" i="7"/>
  <c r="H30" i="7" s="1"/>
  <c r="G9" i="7"/>
  <c r="G30" i="7" s="1"/>
  <c r="R12" i="8" l="1"/>
  <c r="S28" i="7"/>
  <c r="R6" i="8"/>
  <c r="S8" i="7"/>
  <c r="R30" i="7"/>
  <c r="S7" i="7"/>
  <c r="R5" i="8"/>
  <c r="S6" i="7"/>
  <c r="R4" i="8"/>
  <c r="S26" i="7"/>
  <c r="R10" i="8"/>
  <c r="R9" i="8"/>
  <c r="S25" i="7"/>
  <c r="S21" i="7"/>
  <c r="S23" i="7" s="1"/>
  <c r="R13" i="8"/>
  <c r="R29" i="7"/>
  <c r="S29" i="7" l="1"/>
  <c r="S9" i="7"/>
  <c r="S30" i="7" s="1"/>
</calcChain>
</file>

<file path=xl/sharedStrings.xml><?xml version="1.0" encoding="utf-8"?>
<sst xmlns="http://schemas.openxmlformats.org/spreadsheetml/2006/main" count="498" uniqueCount="336">
  <si>
    <t>2010 Audited</t>
  </si>
  <si>
    <t>2020 Audited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</si>
  <si>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</si>
  <si>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</si>
  <si>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</si>
  <si>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</si>
  <si>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</si>
  <si>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</si>
  <si>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</si>
  <si>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</si>
  <si>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</si>
  <si>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</si>
  <si>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</si>
  <si>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</si>
  <si>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</si>
  <si>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</si>
  <si>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</si>
  <si>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</si>
  <si>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</si>
  <si>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</si>
  <si>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</si>
  <si>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</si>
  <si>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</si>
  <si>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</si>
  <si>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</si>
  <si>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</si>
  <si>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</si>
  <si>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</si>
  <si>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</si>
  <si>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</si>
  <si>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</si>
  <si>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</si>
  <si>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</si>
  <si>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</si>
  <si>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</si>
  <si>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</si>
  <si>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</si>
  <si>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</si>
  <si>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</si>
  <si>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</si>
  <si>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</si>
  <si>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</si>
  <si>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</si>
  <si>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</si>
  <si>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</si>
  <si>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</si>
  <si>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</si>
  <si>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</si>
  <si>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</si>
  <si>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</si>
  <si>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</si>
  <si>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</si>
  <si>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</si>
  <si>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</si>
  <si>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</si>
  <si>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</si>
  <si>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</si>
  <si>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</si>
  <si>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</si>
  <si>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</si>
  <si>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</si>
  <si>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</si>
  <si>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</si>
  <si>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</si>
  <si>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</si>
  <si>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</si>
  <si>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</si>
  <si>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</si>
  <si>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</si>
  <si>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</si>
  <si>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</si>
  <si>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</si>
  <si>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</si>
  <si>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</si>
  <si>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</si>
  <si>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</si>
  <si>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</si>
  <si>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</si>
  <si>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</si>
  <si>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</si>
  <si>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</si>
  <si>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</si>
  <si>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</si>
  <si>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</si>
  <si>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</si>
  <si>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</si>
  <si>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K-PILLAR SACCO SOCIETY LIMITED</t>
  </si>
  <si>
    <t>PERFORMANCE AND COMPLIANCE REPORT AS AT :  31st December , 2021</t>
  </si>
  <si>
    <t>Prudential Standard</t>
  </si>
  <si>
    <t>Audited</t>
  </si>
  <si>
    <t>Returns</t>
  </si>
  <si>
    <t>Validated</t>
  </si>
  <si>
    <t>Aggregate for all Licensed Saccos</t>
  </si>
  <si>
    <t xml:space="preserve"> 30th September  , 2021</t>
  </si>
  <si>
    <t xml:space="preserve"> 31st December  , 2021</t>
  </si>
  <si>
    <t>A. CAPITAL  ADEQUACY</t>
  </si>
  <si>
    <t xml:space="preserve">Core Capital 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</si>
  <si>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10M</t>
    </r>
  </si>
  <si>
    <t>Core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</si>
  <si>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10%</t>
    </r>
  </si>
  <si>
    <t>Institutional Capital/Total Assets</t>
  </si>
  <si>
    <r>
      <rPr>
        <sz val="11"/>
        <color theme="1"/>
        <rFont val="Calibri"/>
        <family val="2"/>
      </rPr>
      <t>≥</t>
    </r>
    <r>
      <rPr>
        <sz val="11"/>
        <color theme="1"/>
        <rFont val="Cambria"/>
        <family val="1"/>
      </rPr>
      <t>8%</t>
    </r>
  </si>
  <si>
    <t>B. ASSET QUALITY</t>
  </si>
  <si>
    <t>NPL  (Substandard+Doubtful+Loss)</t>
  </si>
  <si>
    <t>&lt;5%</t>
  </si>
  <si>
    <t>Non-Earning Assets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</si>
  <si>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</si>
  <si>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</si>
  <si>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</si>
  <si>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</si>
  <si>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</si>
  <si>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</si>
  <si>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</si>
  <si>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</si>
  <si>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</si>
  <si>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</si>
  <si>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</si>
  <si>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</si>
  <si>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</si>
  <si>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</si>
  <si>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</si>
  <si>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</si>
  <si>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</si>
  <si>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</si>
  <si>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</si>
  <si>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</si>
  <si>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</si>
  <si>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</si>
  <si>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</si>
  <si>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</si>
  <si>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</si>
  <si>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Total Deposits</t>
  </si>
  <si>
    <t>Gross Loans</t>
  </si>
  <si>
    <t>Core Capital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</si>
  <si>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</si>
  <si>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</si>
  <si>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</si>
  <si>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</si>
  <si>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</si>
  <si>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</si>
  <si>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</si>
  <si>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</si>
  <si>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</si>
  <si>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</si>
  <si>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</si>
  <si>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</si>
  <si>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</si>
  <si>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</si>
  <si>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DISCLAIMER: This report is prepared based on information submitted by the Sacco as at the stated date and may change upon verification by the Authority.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</si>
  <si>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</si>
  <si>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</si>
  <si>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</si>
  <si>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</si>
  <si>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</si>
  <si>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</si>
  <si>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</si>
  <si>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NPL</t>
  </si>
  <si>
    <t>Substandard</t>
  </si>
  <si>
    <t>PAR</t>
  </si>
  <si>
    <t>Doubtful</t>
  </si>
  <si>
    <t>Loss</t>
  </si>
  <si>
    <t>subtotal</t>
  </si>
  <si>
    <t>npl</t>
  </si>
  <si>
    <t>K-PILAR  SACCO 2022 CAELS</t>
  </si>
  <si>
    <t>2020Audited</t>
  </si>
  <si>
    <t>Audied 2022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</si>
  <si>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</si>
  <si>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</si>
  <si>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</si>
  <si>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</si>
  <si>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</si>
  <si>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</si>
  <si>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</si>
  <si>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</si>
  <si>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</si>
  <si>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</si>
  <si>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</si>
  <si>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</si>
  <si>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</si>
  <si>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</si>
  <si>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</si>
  <si>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</si>
  <si>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</si>
  <si>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</si>
  <si>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</si>
  <si>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</si>
  <si>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</si>
  <si>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</si>
  <si>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</si>
  <si>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</si>
  <si>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</si>
  <si>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</si>
  <si>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</si>
  <si>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</si>
  <si>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</si>
  <si>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</si>
  <si>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</si>
  <si>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</si>
  <si>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</si>
  <si>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</si>
  <si>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</si>
  <si>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</si>
  <si>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</si>
  <si>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</si>
  <si>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</si>
  <si>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</si>
  <si>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</si>
  <si>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</si>
  <si>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</si>
  <si>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</si>
  <si>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</si>
  <si>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</si>
  <si>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</si>
  <si>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</si>
  <si>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</si>
  <si>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</si>
  <si>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</si>
  <si>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K-pillar Sacco Financial Performance</t>
  </si>
  <si>
    <t>Year</t>
  </si>
  <si>
    <t>Deposits-Members(BOSA)</t>
  </si>
  <si>
    <t>Deposits-Customers(FOSA)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</si>
  <si>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</si>
  <si>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</si>
  <si>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</si>
  <si>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</si>
  <si>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</si>
  <si>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</si>
  <si>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</si>
  <si>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</si>
  <si>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</si>
  <si>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</si>
  <si>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</si>
  <si>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</si>
  <si>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</si>
  <si>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</si>
  <si>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</si>
  <si>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</si>
  <si>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</si>
  <si>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</si>
  <si>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</si>
  <si>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</si>
  <si>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</si>
  <si>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</si>
  <si>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</si>
  <si>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</si>
  <si>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</si>
  <si>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</si>
  <si>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</si>
  <si>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</si>
  <si>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</si>
  <si>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</si>
  <si>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</si>
  <si>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</si>
  <si>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</si>
  <si>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</si>
  <si>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</si>
  <si>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CAELS RATINGS KINGDOM SACCO</t>
  </si>
  <si>
    <t>FINANCIAL SOUNDNESS INDICATORS</t>
  </si>
  <si>
    <t>Prude.  Std</t>
  </si>
  <si>
    <t>2021 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</si>
  <si>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</si>
  <si>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</si>
  <si>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</si>
  <si>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</si>
  <si>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</si>
  <si>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</si>
  <si>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</si>
  <si>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</si>
  <si>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</si>
  <si>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</si>
  <si>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</si>
  <si>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</si>
  <si>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</si>
  <si>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</si>
  <si>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</si>
  <si>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</si>
  <si>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</si>
  <si>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</si>
  <si>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</si>
  <si>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</si>
  <si>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</si>
  <si>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</si>
  <si>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</si>
  <si>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2020 audited</t>
  </si>
  <si>
    <t>AUDITED 2021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</si>
  <si>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</si>
  <si>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</si>
  <si>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</si>
  <si>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</si>
  <si>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</si>
  <si>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</si>
  <si>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</si>
  <si>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</si>
  <si>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</si>
  <si>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</si>
  <si>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</si>
  <si>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2020</t>
  </si>
  <si>
    <t>Audited -2021</t>
  </si>
  <si>
    <t>Variance</t>
  </si>
  <si>
    <t>Cash flows from operating activities</t>
  </si>
  <si>
    <t>Interest receipts</t>
  </si>
  <si>
    <t>Interest Payments</t>
  </si>
  <si>
    <t>.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</si>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</sst>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_(* #,##0.0_);_(* \(#,##0.0\);_(* \-??_);_(@_)"/>
    <numFmt numFmtId="173" formatCode="#,##0.00_);\-#,##0.00"/>
    <numFmt numFmtId="174" formatCode="0.0"/>
    <numFmt numFmtId="175" formatCode="_(* #,##0_);_(* \(#,##0\);_(* &quot;-&quot;??_);_(@_)"/>
    <numFmt numFmtId="176" formatCode="[$-409]mmm\-yy;@"/>
    <numFmt numFmtId="177" formatCode="[$-409]mmmm\-yy;@"/>
    <numFmt numFmtId="178" formatCode="#,##0.00_ ;\-#,##0.00\ "/>
  </numFmts>
  <fonts count="6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9"/>
      <color indexed="11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u/>
      <sz val="11.95"/>
      <name val="Times New Roman"/>
      <family val="1"/>
    </font>
    <font>
      <b/>
      <u/>
      <sz val="10"/>
      <color indexed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u/>
      <sz val="11.95"/>
      <color indexed="9"/>
      <name val="Times New Roman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7.5"/>
      <name val="Cambria"/>
      <family val="1"/>
    </font>
    <font>
      <sz val="11"/>
      <color indexed="8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.5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i/>
      <sz val="11"/>
      <color theme="1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0"/>
      <color rgb="FFFF0000"/>
      <name val="Arial"/>
      <family val="2"/>
    </font>
    <font>
      <b/>
      <sz val="12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mbria"/>
      <family val="1"/>
    </font>
    <font>
      <b/>
      <sz val="11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0"/>
      <name val="Cambria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mbria"/>
      <family val="1"/>
    </font>
    <font>
      <sz val="8"/>
      <name val="Calibri"/>
      <family val="2"/>
      <scheme val="minor"/>
    </font>
    <font>
      <sz val="9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indexed="52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465">
    <xf numFmtId="0" fontId="0" fillId="0" borderId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2" applyNumberFormat="0" applyAlignment="0" applyProtection="0"/>
    <xf numFmtId="43" fontId="29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2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0" fontId="13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7" borderId="3" applyNumberFormat="0" applyAlignment="0" applyProtection="0"/>
    <xf numFmtId="9" fontId="29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</cellStyleXfs>
  <cellXfs count="266">
    <xf numFmtId="0" fontId="0" fillId="0" borderId="0" xfId="0"/>
    <xf numFmtId="0" fontId="18" fillId="0" borderId="5" xfId="283" applyFont="1" applyBorder="1" applyAlignment="1">
      <alignment horizontal="left" vertical="top" wrapText="1"/>
    </xf>
    <xf numFmtId="0" fontId="0" fillId="0" borderId="6" xfId="0" applyBorder="1"/>
    <xf numFmtId="0" fontId="31" fillId="0" borderId="6" xfId="0" applyFont="1" applyBorder="1" applyAlignment="1">
      <alignment horizontal="left" vertical="top" wrapText="1"/>
    </xf>
    <xf numFmtId="0" fontId="32" fillId="0" borderId="6" xfId="0" applyFont="1" applyBorder="1" applyAlignment="1">
      <alignment horizontal="left" vertical="top" wrapText="1"/>
    </xf>
    <xf numFmtId="17" fontId="30" fillId="0" borderId="0" xfId="0" applyNumberFormat="1" applyFont="1"/>
    <xf numFmtId="0" fontId="17" fillId="0" borderId="5" xfId="241" applyFont="1" applyBorder="1" applyAlignment="1">
      <alignment wrapText="1"/>
    </xf>
    <xf numFmtId="0" fontId="18" fillId="0" borderId="5" xfId="241" applyFont="1" applyBorder="1" applyAlignment="1">
      <alignment wrapText="1"/>
    </xf>
    <xf numFmtId="43" fontId="2" fillId="0" borderId="5" xfId="93" applyBorder="1" applyAlignment="1">
      <alignment wrapText="1"/>
    </xf>
    <xf numFmtId="43" fontId="2" fillId="0" borderId="5" xfId="93" applyBorder="1" applyAlignment="1">
      <alignment horizontal="center" wrapText="1"/>
    </xf>
    <xf numFmtId="0" fontId="7" fillId="0" borderId="7" xfId="0" applyFont="1" applyBorder="1" applyAlignment="1" applyProtection="1">
      <alignment vertical="top" wrapText="1" readingOrder="1"/>
      <protection locked="0"/>
    </xf>
    <xf numFmtId="0" fontId="9" fillId="0" borderId="7" xfId="0" applyFont="1" applyBorder="1" applyAlignment="1" applyProtection="1">
      <alignment vertical="top" wrapText="1" readingOrder="1"/>
      <protection locked="0"/>
    </xf>
    <xf numFmtId="0" fontId="8" fillId="0" borderId="7" xfId="0" applyFont="1" applyBorder="1" applyAlignment="1" applyProtection="1">
      <alignment vertical="top" wrapText="1" readingOrder="1"/>
      <protection locked="0"/>
    </xf>
    <xf numFmtId="165" fontId="8" fillId="0" borderId="7" xfId="0" applyNumberFormat="1" applyFont="1" applyBorder="1" applyAlignment="1" applyProtection="1">
      <alignment vertical="top" wrapText="1" readingOrder="1"/>
      <protection locked="0"/>
    </xf>
    <xf numFmtId="166" fontId="8" fillId="0" borderId="7" xfId="0" applyNumberFormat="1" applyFont="1" applyBorder="1" applyAlignment="1" applyProtection="1">
      <alignment vertical="top" wrapText="1" readingOrder="1"/>
      <protection locked="0"/>
    </xf>
    <xf numFmtId="0" fontId="3" fillId="0" borderId="7" xfId="0" applyFont="1" applyBorder="1" applyAlignment="1" applyProtection="1">
      <alignment vertical="top" wrapText="1" readingOrder="1"/>
      <protection locked="0"/>
    </xf>
    <xf numFmtId="0" fontId="4" fillId="8" borderId="7" xfId="0" applyFont="1" applyFill="1" applyBorder="1" applyAlignment="1" applyProtection="1">
      <alignment vertical="top" wrapText="1" readingOrder="1"/>
      <protection locked="0"/>
    </xf>
    <xf numFmtId="0" fontId="4" fillId="0" borderId="7" xfId="0" applyFont="1" applyBorder="1" applyAlignment="1" applyProtection="1">
      <alignment vertical="top" wrapText="1" readingOrder="1"/>
      <protection locked="0"/>
    </xf>
    <xf numFmtId="0" fontId="5" fillId="0" borderId="7" xfId="0" applyFont="1" applyBorder="1" applyAlignment="1" applyProtection="1">
      <alignment vertical="top" wrapText="1" readingOrder="1"/>
      <protection locked="0"/>
    </xf>
    <xf numFmtId="165" fontId="5" fillId="0" borderId="7" xfId="0" applyNumberFormat="1" applyFont="1" applyBorder="1" applyAlignment="1" applyProtection="1">
      <alignment vertical="top" wrapText="1" readingOrder="1"/>
      <protection locked="0"/>
    </xf>
    <xf numFmtId="0" fontId="4" fillId="9" borderId="7" xfId="0" applyFont="1" applyFill="1" applyBorder="1" applyAlignment="1" applyProtection="1">
      <alignment vertical="top" wrapText="1" readingOrder="1"/>
      <protection locked="0"/>
    </xf>
    <xf numFmtId="165" fontId="0" fillId="0" borderId="0" xfId="0" applyNumberFormat="1"/>
    <xf numFmtId="0" fontId="31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9" fontId="29" fillId="0" borderId="6" xfId="459" applyFont="1" applyBorder="1"/>
    <xf numFmtId="1" fontId="17" fillId="0" borderId="5" xfId="241" applyNumberFormat="1" applyFont="1" applyBorder="1" applyAlignment="1">
      <alignment wrapText="1"/>
    </xf>
    <xf numFmtId="43" fontId="9" fillId="0" borderId="7" xfId="27" applyFont="1" applyBorder="1" applyAlignment="1" applyProtection="1">
      <alignment vertical="top" wrapText="1" readingOrder="1"/>
      <protection locked="0"/>
    </xf>
    <xf numFmtId="43" fontId="8" fillId="0" borderId="7" xfId="27" applyFont="1" applyBorder="1" applyAlignment="1" applyProtection="1">
      <alignment vertical="top" wrapText="1" readingOrder="1"/>
      <protection locked="0"/>
    </xf>
    <xf numFmtId="43" fontId="4" fillId="0" borderId="7" xfId="27" applyFont="1" applyBorder="1" applyAlignment="1" applyProtection="1">
      <alignment vertical="top" wrapText="1" readingOrder="1"/>
      <protection locked="0"/>
    </xf>
    <xf numFmtId="43" fontId="5" fillId="0" borderId="7" xfId="27" applyFont="1" applyBorder="1" applyAlignment="1" applyProtection="1">
      <alignment vertical="top" wrapText="1" readingOrder="1"/>
      <protection locked="0"/>
    </xf>
    <xf numFmtId="0" fontId="22" fillId="12" borderId="7" xfId="0" applyFont="1" applyFill="1" applyBorder="1" applyAlignment="1" applyProtection="1">
      <alignment vertical="top" wrapText="1" readingOrder="1"/>
      <protection locked="0"/>
    </xf>
    <xf numFmtId="10" fontId="29" fillId="0" borderId="0" xfId="459" applyNumberFormat="1" applyFont="1"/>
    <xf numFmtId="165" fontId="9" fillId="0" borderId="7" xfId="0" applyNumberFormat="1" applyFont="1" applyBorder="1" applyAlignment="1" applyProtection="1">
      <alignment vertical="top" wrapText="1" readingOrder="1"/>
      <protection locked="0"/>
    </xf>
    <xf numFmtId="0" fontId="30" fillId="0" borderId="0" xfId="0" applyFont="1"/>
    <xf numFmtId="43" fontId="17" fillId="0" borderId="5" xfId="27" applyFont="1" applyBorder="1" applyAlignment="1">
      <alignment wrapText="1"/>
    </xf>
    <xf numFmtId="17" fontId="9" fillId="8" borderId="7" xfId="0" applyNumberFormat="1" applyFont="1" applyFill="1" applyBorder="1" applyAlignment="1" applyProtection="1">
      <alignment vertical="top" wrapText="1" readingOrder="1"/>
      <protection locked="0"/>
    </xf>
    <xf numFmtId="17" fontId="4" fillId="8" borderId="7" xfId="0" applyNumberFormat="1" applyFont="1" applyFill="1" applyBorder="1" applyAlignment="1" applyProtection="1">
      <alignment vertical="top" wrapText="1" readingOrder="1"/>
      <protection locked="0"/>
    </xf>
    <xf numFmtId="165" fontId="4" fillId="10" borderId="7" xfId="0" applyNumberFormat="1" applyFont="1" applyFill="1" applyBorder="1" applyAlignment="1" applyProtection="1">
      <alignment vertical="top" wrapText="1" readingOrder="1"/>
      <protection locked="0"/>
    </xf>
    <xf numFmtId="0" fontId="33" fillId="0" borderId="6" xfId="0" applyFont="1" applyBorder="1"/>
    <xf numFmtId="43" fontId="33" fillId="0" borderId="6" xfId="27" applyFont="1" applyBorder="1"/>
    <xf numFmtId="0" fontId="34" fillId="0" borderId="6" xfId="0" applyFont="1" applyBorder="1"/>
    <xf numFmtId="0" fontId="35" fillId="0" borderId="6" xfId="0" applyFont="1" applyBorder="1"/>
    <xf numFmtId="174" fontId="34" fillId="0" borderId="6" xfId="0" applyNumberFormat="1" applyFont="1" applyBorder="1"/>
    <xf numFmtId="9" fontId="35" fillId="0" borderId="6" xfId="459" applyFont="1" applyBorder="1"/>
    <xf numFmtId="0" fontId="36" fillId="0" borderId="6" xfId="0" applyFont="1" applyBorder="1"/>
    <xf numFmtId="0" fontId="37" fillId="0" borderId="6" xfId="0" applyFont="1" applyBorder="1"/>
    <xf numFmtId="174" fontId="34" fillId="0" borderId="6" xfId="0" applyNumberFormat="1" applyFont="1" applyBorder="1" applyAlignment="1">
      <alignment horizontal="right"/>
    </xf>
    <xf numFmtId="175" fontId="35" fillId="0" borderId="6" xfId="0" applyNumberFormat="1" applyFont="1" applyBorder="1"/>
    <xf numFmtId="0" fontId="38" fillId="0" borderId="6" xfId="0" applyFont="1" applyBorder="1"/>
    <xf numFmtId="43" fontId="0" fillId="0" borderId="0" xfId="0" applyNumberFormat="1"/>
    <xf numFmtId="174" fontId="38" fillId="0" borderId="6" xfId="0" applyNumberFormat="1" applyFont="1" applyBorder="1"/>
    <xf numFmtId="171" fontId="29" fillId="0" borderId="6" xfId="459" applyNumberFormat="1" applyFont="1" applyBorder="1"/>
    <xf numFmtId="0" fontId="0" fillId="0" borderId="6" xfId="0" applyBorder="1" applyAlignment="1">
      <alignment horizontal="center" vertical="center"/>
    </xf>
    <xf numFmtId="0" fontId="32" fillId="0" borderId="6" xfId="0" applyFont="1" applyBorder="1" applyAlignment="1">
      <alignment vertical="top" wrapText="1"/>
    </xf>
    <xf numFmtId="0" fontId="34" fillId="0" borderId="6" xfId="241" applyFont="1" applyBorder="1"/>
    <xf numFmtId="0" fontId="35" fillId="0" borderId="6" xfId="241" applyFont="1" applyBorder="1"/>
    <xf numFmtId="0" fontId="0" fillId="0" borderId="8" xfId="0" applyBorder="1"/>
    <xf numFmtId="0" fontId="0" fillId="0" borderId="9" xfId="0" applyBorder="1"/>
    <xf numFmtId="17" fontId="30" fillId="0" borderId="9" xfId="0" applyNumberFormat="1" applyFont="1" applyBorder="1"/>
    <xf numFmtId="10" fontId="29" fillId="0" borderId="10" xfId="459" applyNumberFormat="1" applyFont="1" applyBorder="1"/>
    <xf numFmtId="0" fontId="38" fillId="0" borderId="11" xfId="241" applyFont="1" applyBorder="1"/>
    <xf numFmtId="0" fontId="0" fillId="0" borderId="11" xfId="0" applyBorder="1"/>
    <xf numFmtId="0" fontId="34" fillId="0" borderId="11" xfId="241" applyFont="1" applyBorder="1"/>
    <xf numFmtId="0" fontId="38" fillId="0" borderId="12" xfId="241" applyFont="1" applyBorder="1"/>
    <xf numFmtId="0" fontId="0" fillId="0" borderId="13" xfId="0" applyBorder="1"/>
    <xf numFmtId="0" fontId="33" fillId="0" borderId="15" xfId="0" applyFont="1" applyBorder="1"/>
    <xf numFmtId="0" fontId="22" fillId="12" borderId="6" xfId="0" applyFont="1" applyFill="1" applyBorder="1" applyAlignment="1" applyProtection="1">
      <alignment horizontal="center" vertical="top" readingOrder="1"/>
      <protection locked="0"/>
    </xf>
    <xf numFmtId="0" fontId="22" fillId="12" borderId="6" xfId="0" applyFont="1" applyFill="1" applyBorder="1" applyAlignment="1" applyProtection="1">
      <alignment vertical="top" readingOrder="1"/>
      <protection locked="0"/>
    </xf>
    <xf numFmtId="175" fontId="0" fillId="0" borderId="6" xfId="0" applyNumberFormat="1" applyBorder="1"/>
    <xf numFmtId="175" fontId="30" fillId="0" borderId="6" xfId="0" applyNumberFormat="1" applyFont="1" applyBorder="1"/>
    <xf numFmtId="43" fontId="9" fillId="13" borderId="7" xfId="27" applyFont="1" applyFill="1" applyBorder="1" applyAlignment="1" applyProtection="1">
      <alignment vertical="top" wrapText="1" readingOrder="1"/>
      <protection locked="0"/>
    </xf>
    <xf numFmtId="43" fontId="4" fillId="13" borderId="7" xfId="27" applyFont="1" applyFill="1" applyBorder="1" applyAlignment="1" applyProtection="1">
      <alignment vertical="top" wrapText="1" readingOrder="1"/>
      <protection locked="0"/>
    </xf>
    <xf numFmtId="43" fontId="4" fillId="14" borderId="7" xfId="27" applyFont="1" applyFill="1" applyBorder="1" applyAlignment="1" applyProtection="1">
      <alignment vertical="top" wrapText="1" readingOrder="1"/>
      <protection locked="0"/>
    </xf>
    <xf numFmtId="43" fontId="30" fillId="0" borderId="0" xfId="0" applyNumberFormat="1" applyFont="1"/>
    <xf numFmtId="43" fontId="29" fillId="0" borderId="6" xfId="27" applyFont="1" applyBorder="1"/>
    <xf numFmtId="175" fontId="29" fillId="0" borderId="6" xfId="27" applyNumberFormat="1" applyFont="1" applyBorder="1"/>
    <xf numFmtId="4" fontId="0" fillId="0" borderId="0" xfId="0" applyNumberFormat="1"/>
    <xf numFmtId="0" fontId="39" fillId="0" borderId="6" xfId="0" applyFont="1" applyBorder="1"/>
    <xf numFmtId="0" fontId="40" fillId="0" borderId="6" xfId="0" applyFont="1" applyBorder="1"/>
    <xf numFmtId="0" fontId="40" fillId="13" borderId="6" xfId="0" applyFont="1" applyFill="1" applyBorder="1"/>
    <xf numFmtId="0" fontId="39" fillId="13" borderId="16" xfId="0" applyFont="1" applyFill="1" applyBorder="1"/>
    <xf numFmtId="0" fontId="39" fillId="13" borderId="21" xfId="0" applyFont="1" applyFill="1" applyBorder="1"/>
    <xf numFmtId="0" fontId="39" fillId="0" borderId="22" xfId="0" applyFont="1" applyBorder="1"/>
    <xf numFmtId="175" fontId="39" fillId="0" borderId="17" xfId="27" applyNumberFormat="1" applyFont="1" applyBorder="1"/>
    <xf numFmtId="175" fontId="39" fillId="0" borderId="23" xfId="27" applyNumberFormat="1" applyFont="1" applyBorder="1"/>
    <xf numFmtId="0" fontId="39" fillId="0" borderId="24" xfId="0" applyFont="1" applyBorder="1"/>
    <xf numFmtId="175" fontId="39" fillId="15" borderId="17" xfId="27" applyNumberFormat="1" applyFont="1" applyFill="1" applyBorder="1"/>
    <xf numFmtId="175" fontId="39" fillId="0" borderId="25" xfId="27" applyNumberFormat="1" applyFont="1" applyBorder="1"/>
    <xf numFmtId="175" fontId="41" fillId="15" borderId="17" xfId="27" applyNumberFormat="1" applyFont="1" applyFill="1" applyBorder="1"/>
    <xf numFmtId="175" fontId="41" fillId="0" borderId="25" xfId="27" applyNumberFormat="1" applyFont="1" applyBorder="1"/>
    <xf numFmtId="0" fontId="40" fillId="13" borderId="24" xfId="0" applyFont="1" applyFill="1" applyBorder="1"/>
    <xf numFmtId="175" fontId="42" fillId="13" borderId="17" xfId="27" applyNumberFormat="1" applyFont="1" applyFill="1" applyBorder="1"/>
    <xf numFmtId="175" fontId="42" fillId="13" borderId="25" xfId="27" applyNumberFormat="1" applyFont="1" applyFill="1" applyBorder="1"/>
    <xf numFmtId="0" fontId="0" fillId="0" borderId="26" xfId="0" applyBorder="1"/>
    <xf numFmtId="0" fontId="0" fillId="0" borderId="27" xfId="0" applyBorder="1"/>
    <xf numFmtId="175" fontId="41" fillId="0" borderId="17" xfId="27" applyNumberFormat="1" applyFont="1" applyBorder="1"/>
    <xf numFmtId="0" fontId="40" fillId="13" borderId="28" xfId="0" applyFont="1" applyFill="1" applyBorder="1"/>
    <xf numFmtId="175" fontId="40" fillId="13" borderId="17" xfId="27" applyNumberFormat="1" applyFont="1" applyFill="1" applyBorder="1"/>
    <xf numFmtId="175" fontId="40" fillId="13" borderId="25" xfId="27" applyNumberFormat="1" applyFont="1" applyFill="1" applyBorder="1"/>
    <xf numFmtId="0" fontId="39" fillId="0" borderId="29" xfId="0" applyFont="1" applyBorder="1"/>
    <xf numFmtId="0" fontId="40" fillId="13" borderId="29" xfId="0" applyFont="1" applyFill="1" applyBorder="1"/>
    <xf numFmtId="175" fontId="40" fillId="13" borderId="17" xfId="0" applyNumberFormat="1" applyFont="1" applyFill="1" applyBorder="1"/>
    <xf numFmtId="175" fontId="40" fillId="13" borderId="25" xfId="0" applyNumberFormat="1" applyFont="1" applyFill="1" applyBorder="1"/>
    <xf numFmtId="175" fontId="42" fillId="13" borderId="17" xfId="0" applyNumberFormat="1" applyFont="1" applyFill="1" applyBorder="1"/>
    <xf numFmtId="175" fontId="42" fillId="13" borderId="25" xfId="0" applyNumberFormat="1" applyFont="1" applyFill="1" applyBorder="1"/>
    <xf numFmtId="0" fontId="39" fillId="0" borderId="17" xfId="0" applyFont="1" applyBorder="1"/>
    <xf numFmtId="0" fontId="39" fillId="13" borderId="17" xfId="0" applyFont="1" applyFill="1" applyBorder="1"/>
    <xf numFmtId="0" fontId="39" fillId="13" borderId="25" xfId="0" applyFont="1" applyFill="1" applyBorder="1"/>
    <xf numFmtId="0" fontId="39" fillId="0" borderId="25" xfId="0" applyFont="1" applyBorder="1"/>
    <xf numFmtId="175" fontId="39" fillId="13" borderId="17" xfId="0" applyNumberFormat="1" applyFont="1" applyFill="1" applyBorder="1"/>
    <xf numFmtId="175" fontId="39" fillId="13" borderId="25" xfId="0" applyNumberFormat="1" applyFont="1" applyFill="1" applyBorder="1"/>
    <xf numFmtId="175" fontId="41" fillId="0" borderId="17" xfId="0" applyNumberFormat="1" applyFont="1" applyBorder="1"/>
    <xf numFmtId="175" fontId="41" fillId="0" borderId="25" xfId="0" applyNumberFormat="1" applyFont="1" applyBorder="1"/>
    <xf numFmtId="175" fontId="42" fillId="13" borderId="30" xfId="0" applyNumberFormat="1" applyFont="1" applyFill="1" applyBorder="1"/>
    <xf numFmtId="0" fontId="39" fillId="0" borderId="0" xfId="0" applyFont="1"/>
    <xf numFmtId="9" fontId="29" fillId="0" borderId="0" xfId="459" applyFont="1"/>
    <xf numFmtId="9" fontId="31" fillId="0" borderId="6" xfId="0" applyNumberFormat="1" applyFont="1" applyBorder="1" applyAlignment="1">
      <alignment horizontal="center" vertical="center" wrapText="1"/>
    </xf>
    <xf numFmtId="9" fontId="31" fillId="0" borderId="6" xfId="459" applyFont="1" applyBorder="1" applyAlignment="1">
      <alignment horizontal="center" vertical="center" wrapText="1"/>
    </xf>
    <xf numFmtId="43" fontId="29" fillId="0" borderId="0" xfId="27" applyFont="1"/>
    <xf numFmtId="43" fontId="43" fillId="0" borderId="0" xfId="27" applyFont="1"/>
    <xf numFmtId="43" fontId="29" fillId="0" borderId="0" xfId="27" applyFont="1" applyFill="1" applyBorder="1"/>
    <xf numFmtId="43" fontId="42" fillId="13" borderId="25" xfId="27" applyFont="1" applyFill="1" applyBorder="1"/>
    <xf numFmtId="43" fontId="40" fillId="13" borderId="25" xfId="27" applyFont="1" applyFill="1" applyBorder="1"/>
    <xf numFmtId="43" fontId="39" fillId="13" borderId="25" xfId="27" applyFont="1" applyFill="1" applyBorder="1"/>
    <xf numFmtId="43" fontId="42" fillId="13" borderId="30" xfId="27" applyFont="1" applyFill="1" applyBorder="1"/>
    <xf numFmtId="171" fontId="31" fillId="0" borderId="6" xfId="459" applyNumberFormat="1" applyFont="1" applyBorder="1" applyAlignment="1">
      <alignment horizontal="center" vertical="center" wrapText="1"/>
    </xf>
    <xf numFmtId="0" fontId="33" fillId="0" borderId="0" xfId="0" applyFont="1"/>
    <xf numFmtId="0" fontId="6" fillId="0" borderId="0" xfId="0" applyFont="1" applyAlignment="1" applyProtection="1">
      <alignment vertical="top" wrapText="1" readingOrder="1"/>
      <protection locked="0"/>
    </xf>
    <xf numFmtId="0" fontId="44" fillId="0" borderId="0" xfId="0" applyFont="1"/>
    <xf numFmtId="0" fontId="45" fillId="16" borderId="11" xfId="435" applyFont="1" applyFill="1" applyBorder="1" applyAlignment="1">
      <alignment horizontal="center" wrapText="1"/>
    </xf>
    <xf numFmtId="0" fontId="45" fillId="16" borderId="6" xfId="435" applyFont="1" applyFill="1" applyBorder="1" applyAlignment="1">
      <alignment horizontal="center"/>
    </xf>
    <xf numFmtId="0" fontId="45" fillId="16" borderId="9" xfId="435" applyFont="1" applyFill="1" applyBorder="1" applyAlignment="1">
      <alignment horizontal="center"/>
    </xf>
    <xf numFmtId="17" fontId="30" fillId="16" borderId="10" xfId="0" applyNumberFormat="1" applyFont="1" applyFill="1" applyBorder="1"/>
    <xf numFmtId="0" fontId="30" fillId="0" borderId="11" xfId="0" applyFont="1" applyBorder="1"/>
    <xf numFmtId="0" fontId="30" fillId="0" borderId="6" xfId="0" applyFont="1" applyBorder="1"/>
    <xf numFmtId="0" fontId="30" fillId="0" borderId="10" xfId="0" applyFont="1" applyBorder="1"/>
    <xf numFmtId="0" fontId="46" fillId="0" borderId="6" xfId="435" applyFont="1" applyBorder="1" applyAlignment="1">
      <alignment horizontal="center"/>
    </xf>
    <xf numFmtId="43" fontId="29" fillId="0" borderId="6" xfId="27" applyFont="1" applyFill="1" applyBorder="1" applyAlignment="1">
      <alignment horizontal="center"/>
    </xf>
    <xf numFmtId="171" fontId="29" fillId="0" borderId="6" xfId="459" applyNumberFormat="1" applyFont="1" applyFill="1" applyBorder="1" applyAlignment="1">
      <alignment horizontal="center"/>
    </xf>
    <xf numFmtId="0" fontId="30" fillId="0" borderId="6" xfId="0" applyFont="1" applyBorder="1" applyAlignment="1">
      <alignment horizontal="center"/>
    </xf>
    <xf numFmtId="171" fontId="2" fillId="0" borderId="6" xfId="461" applyNumberFormat="1" applyFont="1" applyFill="1" applyBorder="1" applyAlignment="1">
      <alignment horizontal="right"/>
    </xf>
    <xf numFmtId="171" fontId="2" fillId="0" borderId="6" xfId="461" applyNumberFormat="1" applyFont="1" applyFill="1" applyBorder="1" applyAlignment="1">
      <alignment horizontal="center"/>
    </xf>
    <xf numFmtId="9" fontId="46" fillId="0" borderId="6" xfId="435" applyNumberFormat="1" applyFont="1" applyBorder="1" applyAlignment="1">
      <alignment horizontal="center"/>
    </xf>
    <xf numFmtId="0" fontId="30" fillId="0" borderId="12" xfId="0" applyFont="1" applyBorder="1"/>
    <xf numFmtId="0" fontId="30" fillId="0" borderId="13" xfId="0" applyFont="1" applyBorder="1"/>
    <xf numFmtId="17" fontId="47" fillId="0" borderId="0" xfId="0" applyNumberFormat="1" applyFont="1" applyAlignment="1">
      <alignment horizontal="center" vertical="center"/>
    </xf>
    <xf numFmtId="175" fontId="2" fillId="0" borderId="6" xfId="30" applyNumberFormat="1" applyFont="1" applyFill="1" applyBorder="1"/>
    <xf numFmtId="0" fontId="2" fillId="0" borderId="6" xfId="0" applyFont="1" applyBorder="1"/>
    <xf numFmtId="0" fontId="29" fillId="17" borderId="6" xfId="459" applyNumberFormat="1" applyFont="1" applyFill="1" applyBorder="1" applyAlignment="1">
      <alignment horizontal="right"/>
    </xf>
    <xf numFmtId="0" fontId="29" fillId="17" borderId="6" xfId="459" applyNumberFormat="1" applyFont="1" applyFill="1" applyBorder="1" applyAlignment="1">
      <alignment horizontal="center"/>
    </xf>
    <xf numFmtId="2" fontId="2" fillId="17" borderId="6" xfId="461" applyNumberFormat="1" applyFont="1" applyFill="1" applyBorder="1" applyAlignment="1">
      <alignment horizontal="center"/>
    </xf>
    <xf numFmtId="2" fontId="29" fillId="17" borderId="6" xfId="459" applyNumberFormat="1" applyFont="1" applyFill="1" applyBorder="1" applyAlignment="1">
      <alignment horizontal="center"/>
    </xf>
    <xf numFmtId="2" fontId="0" fillId="17" borderId="6" xfId="0" applyNumberFormat="1" applyFill="1" applyBorder="1" applyAlignment="1">
      <alignment horizontal="center"/>
    </xf>
    <xf numFmtId="2" fontId="30" fillId="18" borderId="14" xfId="0" applyNumberFormat="1" applyFont="1" applyFill="1" applyBorder="1"/>
    <xf numFmtId="167" fontId="27" fillId="0" borderId="5" xfId="28" applyFont="1" applyFill="1" applyBorder="1" applyAlignment="1" applyProtection="1">
      <protection locked="0"/>
    </xf>
    <xf numFmtId="0" fontId="27" fillId="0" borderId="0" xfId="0" applyFont="1" applyProtection="1">
      <protection locked="0"/>
    </xf>
    <xf numFmtId="173" fontId="48" fillId="0" borderId="6" xfId="0" applyNumberFormat="1" applyFont="1" applyBorder="1" applyAlignment="1" applyProtection="1">
      <alignment horizontal="right" vertical="center"/>
      <protection locked="0"/>
    </xf>
    <xf numFmtId="172" fontId="34" fillId="0" borderId="6" xfId="28" applyNumberFormat="1" applyFont="1" applyBorder="1" applyAlignment="1" applyProtection="1">
      <alignment horizontal="right" vertical="center"/>
      <protection locked="0"/>
    </xf>
    <xf numFmtId="172" fontId="34" fillId="0" borderId="6" xfId="28" applyNumberFormat="1" applyFont="1" applyFill="1" applyBorder="1" applyAlignment="1" applyProtection="1">
      <protection locked="0"/>
    </xf>
    <xf numFmtId="17" fontId="22" fillId="12" borderId="7" xfId="0" applyNumberFormat="1" applyFont="1" applyFill="1" applyBorder="1" applyAlignment="1" applyProtection="1">
      <alignment vertical="top" wrapText="1" readingOrder="1"/>
      <protection locked="0"/>
    </xf>
    <xf numFmtId="176" fontId="22" fillId="12" borderId="7" xfId="0" applyNumberFormat="1" applyFont="1" applyFill="1" applyBorder="1" applyAlignment="1" applyProtection="1">
      <alignment vertical="top" wrapText="1" readingOrder="1"/>
      <protection locked="0"/>
    </xf>
    <xf numFmtId="176" fontId="30" fillId="0" borderId="9" xfId="0" applyNumberFormat="1" applyFont="1" applyBorder="1"/>
    <xf numFmtId="176" fontId="4" fillId="8" borderId="7" xfId="0" applyNumberFormat="1" applyFont="1" applyFill="1" applyBorder="1" applyAlignment="1" applyProtection="1">
      <alignment vertical="top" wrapText="1" readingOrder="1"/>
      <protection locked="0"/>
    </xf>
    <xf numFmtId="176" fontId="22" fillId="12" borderId="6" xfId="0" applyNumberFormat="1" applyFont="1" applyFill="1" applyBorder="1" applyAlignment="1" applyProtection="1">
      <alignment horizontal="center" vertical="top" readingOrder="1"/>
      <protection locked="0"/>
    </xf>
    <xf numFmtId="176" fontId="30" fillId="16" borderId="10" xfId="0" applyNumberFormat="1" applyFont="1" applyFill="1" applyBorder="1"/>
    <xf numFmtId="177" fontId="47" fillId="0" borderId="0" xfId="0" applyNumberFormat="1" applyFont="1" applyAlignment="1">
      <alignment horizontal="center" vertical="center"/>
    </xf>
    <xf numFmtId="43" fontId="49" fillId="13" borderId="7" xfId="27" applyFont="1" applyFill="1" applyBorder="1" applyAlignment="1" applyProtection="1">
      <alignment vertical="top" wrapText="1" readingOrder="1"/>
      <protection locked="0"/>
    </xf>
    <xf numFmtId="172" fontId="34" fillId="0" borderId="6" xfId="28" applyNumberFormat="1" applyFont="1" applyFill="1" applyBorder="1" applyAlignment="1" applyProtection="1"/>
    <xf numFmtId="167" fontId="17" fillId="0" borderId="5" xfId="28" applyFont="1" applyFill="1" applyBorder="1" applyAlignment="1" applyProtection="1">
      <protection locked="0"/>
    </xf>
    <xf numFmtId="167" fontId="18" fillId="11" borderId="5" xfId="28" applyFont="1" applyFill="1" applyBorder="1" applyAlignment="1" applyProtection="1"/>
    <xf numFmtId="173" fontId="28" fillId="0" borderId="6" xfId="0" applyNumberFormat="1" applyFont="1" applyBorder="1" applyAlignment="1" applyProtection="1">
      <alignment horizontal="right" vertical="center"/>
      <protection locked="0"/>
    </xf>
    <xf numFmtId="172" fontId="17" fillId="0" borderId="6" xfId="28" applyNumberFormat="1" applyFont="1" applyBorder="1" applyAlignment="1" applyProtection="1">
      <alignment horizontal="right" vertical="center"/>
      <protection locked="0"/>
    </xf>
    <xf numFmtId="172" fontId="17" fillId="0" borderId="6" xfId="28" applyNumberFormat="1" applyFont="1" applyFill="1" applyBorder="1" applyAlignment="1" applyProtection="1">
      <protection locked="0"/>
    </xf>
    <xf numFmtId="0" fontId="17" fillId="12" borderId="5" xfId="241" applyFont="1" applyFill="1" applyBorder="1" applyAlignment="1">
      <alignment wrapText="1"/>
    </xf>
    <xf numFmtId="178" fontId="0" fillId="0" borderId="0" xfId="0" applyNumberFormat="1"/>
    <xf numFmtId="165" fontId="5" fillId="0" borderId="7" xfId="281" applyNumberFormat="1" applyFont="1" applyBorder="1" applyAlignment="1" applyProtection="1">
      <alignment vertical="top" wrapText="1" readingOrder="1"/>
      <protection locked="0"/>
    </xf>
    <xf numFmtId="165" fontId="5" fillId="10" borderId="7" xfId="281" applyNumberFormat="1" applyFont="1" applyFill="1" applyBorder="1" applyAlignment="1" applyProtection="1">
      <alignment vertical="top" wrapText="1" readingOrder="1"/>
      <protection locked="0"/>
    </xf>
    <xf numFmtId="43" fontId="44" fillId="0" borderId="0" xfId="27" applyFont="1"/>
    <xf numFmtId="43" fontId="22" fillId="12" borderId="7" xfId="27" applyFont="1" applyFill="1" applyBorder="1" applyAlignment="1" applyProtection="1">
      <alignment vertical="top" wrapText="1" readingOrder="1"/>
      <protection locked="0"/>
    </xf>
    <xf numFmtId="43" fontId="0" fillId="0" borderId="18" xfId="27" applyFont="1" applyBorder="1" applyAlignment="1" applyProtection="1">
      <alignment vertical="top" wrapText="1"/>
      <protection locked="0"/>
    </xf>
    <xf numFmtId="43" fontId="0" fillId="0" borderId="0" xfId="27" applyFont="1"/>
    <xf numFmtId="43" fontId="53" fillId="0" borderId="18" xfId="27" applyFont="1" applyBorder="1" applyAlignment="1" applyProtection="1">
      <alignment vertical="top" wrapText="1"/>
      <protection locked="0"/>
    </xf>
    <xf numFmtId="43" fontId="44" fillId="0" borderId="18" xfId="27" applyFont="1" applyBorder="1" applyAlignment="1" applyProtection="1">
      <alignment vertical="top" wrapText="1"/>
      <protection locked="0"/>
    </xf>
    <xf numFmtId="9" fontId="0" fillId="0" borderId="0" xfId="459" applyFont="1"/>
    <xf numFmtId="0" fontId="30" fillId="0" borderId="11" xfId="0" applyFont="1" applyBorder="1" applyAlignment="1">
      <alignment horizontal="center"/>
    </xf>
    <xf numFmtId="0" fontId="30" fillId="0" borderId="33" xfId="0" applyFont="1" applyBorder="1" applyAlignment="1">
      <alignment horizontal="right"/>
    </xf>
    <xf numFmtId="0" fontId="30" fillId="0" borderId="6" xfId="0" applyFont="1" applyBorder="1" applyAlignment="1" applyProtection="1">
      <alignment horizontal="right"/>
      <protection locked="0"/>
    </xf>
    <xf numFmtId="17" fontId="30" fillId="0" borderId="0" xfId="0" applyNumberFormat="1" applyFont="1" applyProtection="1">
      <protection locked="0"/>
    </xf>
    <xf numFmtId="17" fontId="55" fillId="0" borderId="10" xfId="0" applyNumberFormat="1" applyFont="1" applyBorder="1" applyAlignment="1" applyProtection="1">
      <alignment horizontal="right" wrapText="1"/>
      <protection locked="0"/>
    </xf>
    <xf numFmtId="0" fontId="56" fillId="0" borderId="11" xfId="0" applyFont="1" applyBorder="1"/>
    <xf numFmtId="0" fontId="56" fillId="0" borderId="6" xfId="0" applyFont="1" applyBorder="1" applyAlignment="1">
      <alignment horizontal="center"/>
    </xf>
    <xf numFmtId="175" fontId="56" fillId="0" borderId="6" xfId="30" applyNumberFormat="1" applyFont="1" applyBorder="1" applyAlignment="1" applyProtection="1">
      <alignment horizontal="right"/>
    </xf>
    <xf numFmtId="175" fontId="17" fillId="0" borderId="6" xfId="30" applyNumberFormat="1" applyFont="1" applyBorder="1" applyAlignment="1" applyProtection="1">
      <alignment horizontal="right"/>
    </xf>
    <xf numFmtId="9" fontId="56" fillId="0" borderId="6" xfId="0" applyNumberFormat="1" applyFont="1" applyBorder="1" applyAlignment="1">
      <alignment horizontal="center"/>
    </xf>
    <xf numFmtId="171" fontId="56" fillId="0" borderId="6" xfId="459" applyNumberFormat="1" applyFont="1" applyBorder="1" applyAlignment="1" applyProtection="1">
      <alignment horizontal="right"/>
    </xf>
    <xf numFmtId="171" fontId="17" fillId="0" borderId="6" xfId="459" applyNumberFormat="1" applyFont="1" applyBorder="1" applyAlignment="1" applyProtection="1">
      <alignment horizontal="right"/>
    </xf>
    <xf numFmtId="171" fontId="56" fillId="0" borderId="6" xfId="459" applyNumberFormat="1" applyFont="1" applyFill="1" applyBorder="1" applyAlignment="1" applyProtection="1">
      <alignment horizontal="right"/>
    </xf>
    <xf numFmtId="171" fontId="17" fillId="0" borderId="6" xfId="459" applyNumberFormat="1" applyFont="1" applyFill="1" applyBorder="1" applyAlignment="1" applyProtection="1">
      <alignment horizontal="right"/>
    </xf>
    <xf numFmtId="171" fontId="0" fillId="15" borderId="6" xfId="459" applyNumberFormat="1" applyFont="1" applyFill="1" applyBorder="1" applyAlignment="1" applyProtection="1">
      <alignment horizontal="right"/>
    </xf>
    <xf numFmtId="171" fontId="44" fillId="15" borderId="6" xfId="459" applyNumberFormat="1" applyFont="1" applyFill="1" applyBorder="1" applyAlignment="1" applyProtection="1">
      <alignment horizontal="right"/>
    </xf>
    <xf numFmtId="0" fontId="56" fillId="15" borderId="11" xfId="0" applyFont="1" applyFill="1" applyBorder="1"/>
    <xf numFmtId="171" fontId="56" fillId="15" borderId="6" xfId="459" applyNumberFormat="1" applyFont="1" applyFill="1" applyBorder="1" applyAlignment="1" applyProtection="1">
      <alignment horizontal="right"/>
    </xf>
    <xf numFmtId="171" fontId="17" fillId="15" borderId="6" xfId="459" applyNumberFormat="1" applyFont="1" applyFill="1" applyBorder="1" applyAlignment="1" applyProtection="1">
      <alignment horizontal="right"/>
    </xf>
    <xf numFmtId="0" fontId="56" fillId="15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56" fillId="15" borderId="11" xfId="0" applyFont="1" applyFill="1" applyBorder="1" applyAlignment="1">
      <alignment horizontal="left"/>
    </xf>
    <xf numFmtId="9" fontId="56" fillId="15" borderId="6" xfId="0" applyNumberFormat="1" applyFont="1" applyFill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44" fillId="0" borderId="11" xfId="0" applyFont="1" applyBorder="1"/>
    <xf numFmtId="43" fontId="44" fillId="0" borderId="6" xfId="27" applyFont="1" applyBorder="1" applyAlignment="1" applyProtection="1">
      <alignment horizontal="center"/>
    </xf>
    <xf numFmtId="43" fontId="44" fillId="0" borderId="6" xfId="27" applyFont="1" applyBorder="1" applyProtection="1">
      <protection locked="0"/>
    </xf>
    <xf numFmtId="43" fontId="17" fillId="0" borderId="6" xfId="27" applyFont="1" applyBorder="1" applyProtection="1">
      <protection locked="0"/>
    </xf>
    <xf numFmtId="43" fontId="58" fillId="0" borderId="6" xfId="27" applyFont="1" applyBorder="1" applyProtection="1">
      <protection locked="0"/>
    </xf>
    <xf numFmtId="0" fontId="59" fillId="15" borderId="38" xfId="0" applyFont="1" applyFill="1" applyBorder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44" fillId="0" borderId="0" xfId="0" applyFont="1" applyProtection="1">
      <protection locked="0"/>
    </xf>
    <xf numFmtId="0" fontId="53" fillId="0" borderId="0" xfId="0" applyFont="1" applyProtection="1">
      <protection locked="0"/>
    </xf>
    <xf numFmtId="171" fontId="60" fillId="0" borderId="6" xfId="459" applyNumberFormat="1" applyFont="1" applyFill="1" applyBorder="1" applyAlignment="1" applyProtection="1">
      <alignment horizontal="right"/>
    </xf>
    <xf numFmtId="4" fontId="30" fillId="0" borderId="0" xfId="0" applyNumberFormat="1" applyFont="1"/>
    <xf numFmtId="165" fontId="5" fillId="10" borderId="7" xfId="0" applyNumberFormat="1" applyFont="1" applyFill="1" applyBorder="1" applyAlignment="1" applyProtection="1">
      <alignment vertical="top" wrapText="1" readingOrder="1"/>
      <protection locked="0"/>
    </xf>
    <xf numFmtId="17" fontId="30" fillId="0" borderId="35" xfId="0" applyNumberFormat="1" applyFont="1" applyBorder="1" applyAlignment="1" applyProtection="1">
      <alignment horizontal="center" wrapText="1"/>
      <protection locked="0"/>
    </xf>
    <xf numFmtId="164" fontId="0" fillId="0" borderId="0" xfId="0" applyNumberFormat="1"/>
    <xf numFmtId="9" fontId="30" fillId="0" borderId="6" xfId="459" applyFont="1" applyBorder="1"/>
    <xf numFmtId="17" fontId="30" fillId="0" borderId="39" xfId="0" applyNumberFormat="1" applyFont="1" applyBorder="1" applyAlignment="1" applyProtection="1">
      <alignment horizontal="center" wrapText="1"/>
      <protection locked="0"/>
    </xf>
    <xf numFmtId="4" fontId="44" fillId="0" borderId="0" xfId="0" applyNumberFormat="1" applyFont="1"/>
    <xf numFmtId="4" fontId="53" fillId="0" borderId="0" xfId="0" applyNumberFormat="1" applyFont="1"/>
    <xf numFmtId="0" fontId="54" fillId="0" borderId="35" xfId="0" applyFont="1" applyBorder="1" applyAlignment="1">
      <alignment horizontal="center" wrapText="1"/>
    </xf>
    <xf numFmtId="0" fontId="62" fillId="0" borderId="40" xfId="0" applyFont="1" applyBorder="1" applyAlignment="1">
      <alignment wrapText="1" readingOrder="1"/>
    </xf>
    <xf numFmtId="0" fontId="62" fillId="0" borderId="41" xfId="0" applyFont="1" applyBorder="1" applyAlignment="1">
      <alignment wrapText="1" readingOrder="1"/>
    </xf>
    <xf numFmtId="175" fontId="0" fillId="0" borderId="0" xfId="27" applyNumberFormat="1" applyFont="1"/>
    <xf numFmtId="175" fontId="30" fillId="0" borderId="0" xfId="27" applyNumberFormat="1" applyFont="1"/>
    <xf numFmtId="175" fontId="9" fillId="13" borderId="7" xfId="27" applyNumberFormat="1" applyFont="1" applyFill="1" applyBorder="1" applyAlignment="1" applyProtection="1">
      <alignment vertical="top" wrapText="1" readingOrder="1"/>
      <protection locked="0"/>
    </xf>
    <xf numFmtId="0" fontId="30" fillId="0" borderId="0" xfId="0" applyFont="1" applyAlignment="1" applyProtection="1">
      <alignment horizontal="center"/>
      <protection locked="0"/>
    </xf>
    <xf numFmtId="0" fontId="54" fillId="16" borderId="0" xfId="0" applyFont="1" applyFill="1" applyAlignment="1">
      <alignment horizontal="left"/>
    </xf>
    <xf numFmtId="0" fontId="19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33" fillId="0" borderId="11" xfId="241" applyFont="1" applyBorder="1" applyAlignment="1">
      <alignment horizontal="left" vertical="top"/>
    </xf>
    <xf numFmtId="0" fontId="33" fillId="0" borderId="11" xfId="241" applyFont="1" applyBorder="1" applyAlignment="1">
      <alignment horizontal="left" vertical="top" wrapText="1"/>
    </xf>
    <xf numFmtId="0" fontId="50" fillId="0" borderId="11" xfId="0" applyFont="1" applyBorder="1" applyAlignment="1">
      <alignment horizontal="center" vertical="top" wrapText="1"/>
    </xf>
    <xf numFmtId="0" fontId="51" fillId="0" borderId="0" xfId="0" applyFont="1" applyAlignment="1">
      <alignment horizontal="center"/>
    </xf>
    <xf numFmtId="0" fontId="50" fillId="0" borderId="11" xfId="0" applyFont="1" applyBorder="1" applyAlignment="1">
      <alignment horizontal="center" vertical="top"/>
    </xf>
    <xf numFmtId="0" fontId="52" fillId="0" borderId="19" xfId="0" applyFont="1" applyBorder="1" applyAlignment="1">
      <alignment horizontal="center" wrapText="1"/>
    </xf>
    <xf numFmtId="0" fontId="52" fillId="0" borderId="0" xfId="0" applyFont="1" applyAlignment="1">
      <alignment horizontal="center" wrapText="1"/>
    </xf>
    <xf numFmtId="0" fontId="52" fillId="0" borderId="20" xfId="0" applyFont="1" applyBorder="1" applyAlignment="1">
      <alignment horizontal="center" wrapText="1"/>
    </xf>
    <xf numFmtId="0" fontId="54" fillId="16" borderId="11" xfId="0" applyFont="1" applyFill="1" applyBorder="1" applyAlignment="1">
      <alignment horizontal="left"/>
    </xf>
    <xf numFmtId="0" fontId="54" fillId="16" borderId="6" xfId="0" applyFont="1" applyFill="1" applyBorder="1" applyAlignment="1">
      <alignment horizontal="left"/>
    </xf>
    <xf numFmtId="0" fontId="54" fillId="16" borderId="33" xfId="0" applyFont="1" applyFill="1" applyBorder="1" applyAlignment="1">
      <alignment horizontal="left"/>
    </xf>
    <xf numFmtId="0" fontId="54" fillId="16" borderId="10" xfId="0" applyFont="1" applyFill="1" applyBorder="1" applyAlignment="1">
      <alignment horizontal="left"/>
    </xf>
    <xf numFmtId="0" fontId="30" fillId="0" borderId="8" xfId="0" applyFont="1" applyBorder="1" applyAlignment="1" applyProtection="1">
      <alignment horizontal="center"/>
      <protection locked="0"/>
    </xf>
    <xf numFmtId="0" fontId="30" fillId="0" borderId="9" xfId="0" applyFont="1" applyBorder="1" applyAlignment="1" applyProtection="1">
      <alignment horizontal="center"/>
      <protection locked="0"/>
    </xf>
    <xf numFmtId="0" fontId="30" fillId="0" borderId="31" xfId="0" applyFont="1" applyBorder="1" applyAlignment="1" applyProtection="1">
      <alignment horizontal="center"/>
      <protection locked="0"/>
    </xf>
    <xf numFmtId="0" fontId="30" fillId="0" borderId="32" xfId="0" applyFont="1" applyBorder="1" applyAlignment="1" applyProtection="1">
      <alignment horizontal="center"/>
      <protection locked="0"/>
    </xf>
    <xf numFmtId="0" fontId="30" fillId="0" borderId="11" xfId="0" applyFont="1" applyBorder="1" applyAlignment="1" applyProtection="1">
      <alignment horizontal="center"/>
      <protection locked="0"/>
    </xf>
    <xf numFmtId="0" fontId="30" fillId="0" borderId="6" xfId="0" applyFont="1" applyBorder="1" applyAlignment="1" applyProtection="1">
      <alignment horizontal="center"/>
      <protection locked="0"/>
    </xf>
    <xf numFmtId="0" fontId="30" fillId="0" borderId="33" xfId="0" applyFont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center"/>
      <protection locked="0"/>
    </xf>
    <xf numFmtId="0" fontId="30" fillId="0" borderId="15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17" xfId="0" applyFont="1" applyBorder="1" applyAlignment="1" applyProtection="1">
      <alignment horizontal="center"/>
      <protection locked="0"/>
    </xf>
    <xf numFmtId="0" fontId="30" fillId="0" borderId="34" xfId="0" applyFont="1" applyBorder="1" applyAlignment="1" applyProtection="1">
      <alignment horizontal="center"/>
      <protection locked="0"/>
    </xf>
    <xf numFmtId="17" fontId="30" fillId="0" borderId="35" xfId="0" applyNumberFormat="1" applyFont="1" applyBorder="1" applyAlignment="1" applyProtection="1">
      <alignment horizontal="center" wrapText="1"/>
      <protection locked="0"/>
    </xf>
    <xf numFmtId="17" fontId="30" fillId="0" borderId="37" xfId="0" applyNumberFormat="1" applyFont="1" applyBorder="1" applyAlignment="1" applyProtection="1">
      <alignment horizontal="center" wrapText="1"/>
      <protection locked="0"/>
    </xf>
    <xf numFmtId="0" fontId="54" fillId="0" borderId="35" xfId="0" applyFont="1" applyBorder="1" applyAlignment="1">
      <alignment horizontal="center" wrapText="1"/>
    </xf>
    <xf numFmtId="0" fontId="54" fillId="0" borderId="37" xfId="0" applyFont="1" applyBorder="1" applyAlignment="1">
      <alignment horizontal="center" wrapText="1"/>
    </xf>
    <xf numFmtId="0" fontId="40" fillId="0" borderId="0" xfId="0" applyFont="1" applyAlignment="1">
      <alignment horizontal="center"/>
    </xf>
  </cellXfs>
  <cellStyles count="46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4" xfId="385" xr:uid="{00000000-0005-0000-0000-000081010000}"/>
    <cellStyle name="Normal 4 10" xfId="386" xr:uid="{00000000-0005-0000-0000-000082010000}"/>
    <cellStyle name="Normal 4 11" xfId="387" xr:uid="{00000000-0005-0000-0000-000083010000}"/>
    <cellStyle name="Normal 4 12" xfId="388" xr:uid="{00000000-0005-0000-0000-000084010000}"/>
    <cellStyle name="Normal 4 13" xfId="389" xr:uid="{00000000-0005-0000-0000-000085010000}"/>
    <cellStyle name="Normal 4 14" xfId="390" xr:uid="{00000000-0005-0000-0000-000086010000}"/>
    <cellStyle name="Normal 4 15" xfId="391" xr:uid="{00000000-0005-0000-0000-000087010000}"/>
    <cellStyle name="Normal 4 16" xfId="392" xr:uid="{00000000-0005-0000-0000-000088010000}"/>
    <cellStyle name="Normal 4 17" xfId="393" xr:uid="{00000000-0005-0000-0000-000089010000}"/>
    <cellStyle name="Normal 4 18" xfId="394" xr:uid="{00000000-0005-0000-0000-00008A010000}"/>
    <cellStyle name="Normal 4 19" xfId="395" xr:uid="{00000000-0005-0000-0000-00008B010000}"/>
    <cellStyle name="Normal 4 2" xfId="396" xr:uid="{00000000-0005-0000-0000-00008C010000}"/>
    <cellStyle name="Normal 4 20" xfId="397" xr:uid="{00000000-0005-0000-0000-00008D010000}"/>
    <cellStyle name="Normal 4 21" xfId="398" xr:uid="{00000000-0005-0000-0000-00008E010000}"/>
    <cellStyle name="Normal 4 22" xfId="399" xr:uid="{00000000-0005-0000-0000-00008F010000}"/>
    <cellStyle name="Normal 4 23" xfId="400" xr:uid="{00000000-0005-0000-0000-000090010000}"/>
    <cellStyle name="Normal 4 24" xfId="401" xr:uid="{00000000-0005-0000-0000-000091010000}"/>
    <cellStyle name="Normal 4 25" xfId="402" xr:uid="{00000000-0005-0000-0000-000092010000}"/>
    <cellStyle name="Normal 4 26" xfId="403" xr:uid="{00000000-0005-0000-0000-000093010000}"/>
    <cellStyle name="Normal 4 27" xfId="404" xr:uid="{00000000-0005-0000-0000-000094010000}"/>
    <cellStyle name="Normal 4 28" xfId="405" xr:uid="{00000000-0005-0000-0000-000095010000}"/>
    <cellStyle name="Normal 4 29" xfId="406" xr:uid="{00000000-0005-0000-0000-000096010000}"/>
    <cellStyle name="Normal 4 3" xfId="407" xr:uid="{00000000-0005-0000-0000-000097010000}"/>
    <cellStyle name="Normal 4 30" xfId="408" xr:uid="{00000000-0005-0000-0000-000098010000}"/>
    <cellStyle name="Normal 4 4" xfId="409" xr:uid="{00000000-0005-0000-0000-000099010000}"/>
    <cellStyle name="Normal 4 5" xfId="410" xr:uid="{00000000-0005-0000-0000-00009A010000}"/>
    <cellStyle name="Normal 4 6" xfId="411" xr:uid="{00000000-0005-0000-0000-00009B010000}"/>
    <cellStyle name="Normal 4 7" xfId="412" xr:uid="{00000000-0005-0000-0000-00009C010000}"/>
    <cellStyle name="Normal 4 8" xfId="413" xr:uid="{00000000-0005-0000-0000-00009D010000}"/>
    <cellStyle name="Normal 4 9" xfId="414" xr:uid="{00000000-0005-0000-0000-00009E010000}"/>
    <cellStyle name="Normal 5" xfId="415" xr:uid="{00000000-0005-0000-0000-00009F010000}"/>
    <cellStyle name="Normal 5 10" xfId="416" xr:uid="{00000000-0005-0000-0000-0000A0010000}"/>
    <cellStyle name="Normal 5 11" xfId="417" xr:uid="{00000000-0005-0000-0000-0000A1010000}"/>
    <cellStyle name="Normal 5 12" xfId="418" xr:uid="{00000000-0005-0000-0000-0000A2010000}"/>
    <cellStyle name="Normal 5 13" xfId="419" xr:uid="{00000000-0005-0000-0000-0000A3010000}"/>
    <cellStyle name="Normal 5 14" xfId="420" xr:uid="{00000000-0005-0000-0000-0000A4010000}"/>
    <cellStyle name="Normal 5 15" xfId="421" xr:uid="{00000000-0005-0000-0000-0000A5010000}"/>
    <cellStyle name="Normal 5 2" xfId="422" xr:uid="{00000000-0005-0000-0000-0000A6010000}"/>
    <cellStyle name="Normal 5 3" xfId="423" xr:uid="{00000000-0005-0000-0000-0000A7010000}"/>
    <cellStyle name="Normal 5 4" xfId="424" xr:uid="{00000000-0005-0000-0000-0000A8010000}"/>
    <cellStyle name="Normal 5 5" xfId="425" xr:uid="{00000000-0005-0000-0000-0000A9010000}"/>
    <cellStyle name="Normal 5 6" xfId="426" xr:uid="{00000000-0005-0000-0000-0000AA010000}"/>
    <cellStyle name="Normal 5 7" xfId="427" xr:uid="{00000000-0005-0000-0000-0000AB010000}"/>
    <cellStyle name="Normal 5 8" xfId="428" xr:uid="{00000000-0005-0000-0000-0000AC010000}"/>
    <cellStyle name="Normal 5 9" xfId="429" xr:uid="{00000000-0005-0000-0000-0000AD010000}"/>
    <cellStyle name="Normal 6" xfId="430" xr:uid="{00000000-0005-0000-0000-0000AE010000}"/>
    <cellStyle name="Normal 6 2" xfId="431" xr:uid="{00000000-0005-0000-0000-0000AF010000}"/>
    <cellStyle name="Normal 6 3" xfId="432" xr:uid="{00000000-0005-0000-0000-0000B0010000}"/>
    <cellStyle name="Normal 6 4" xfId="433" xr:uid="{00000000-0005-0000-0000-0000B1010000}"/>
    <cellStyle name="Normal 6 5" xfId="434" xr:uid="{00000000-0005-0000-0000-0000B2010000}"/>
    <cellStyle name="Normal 7" xfId="435" xr:uid="{00000000-0005-0000-0000-0000B3010000}"/>
    <cellStyle name="Normal 7 2" xfId="436" xr:uid="{00000000-0005-0000-0000-0000B4010000}"/>
    <cellStyle name="Normal 7 3" xfId="437" xr:uid="{00000000-0005-0000-0000-0000B5010000}"/>
    <cellStyle name="Normal 7 4" xfId="438" xr:uid="{00000000-0005-0000-0000-0000B6010000}"/>
    <cellStyle name="Normal 7 5" xfId="439" xr:uid="{00000000-0005-0000-0000-0000B7010000}"/>
    <cellStyle name="Normal 8" xfId="440" xr:uid="{00000000-0005-0000-0000-0000B8010000}"/>
    <cellStyle name="Normal 9" xfId="441" xr:uid="{00000000-0005-0000-0000-0000B9010000}"/>
    <cellStyle name="Normal 9 10" xfId="442" xr:uid="{00000000-0005-0000-0000-0000BA010000}"/>
    <cellStyle name="Normal 9 11" xfId="443" xr:uid="{00000000-0005-0000-0000-0000BB010000}"/>
    <cellStyle name="Normal 9 12" xfId="444" xr:uid="{00000000-0005-0000-0000-0000BC010000}"/>
    <cellStyle name="Normal 9 13" xfId="445" xr:uid="{00000000-0005-0000-0000-0000BD010000}"/>
    <cellStyle name="Normal 9 14" xfId="446" xr:uid="{00000000-0005-0000-0000-0000BE010000}"/>
    <cellStyle name="Normal 9 2" xfId="447" xr:uid="{00000000-0005-0000-0000-0000BF010000}"/>
    <cellStyle name="Normal 9 2 2" xfId="448" xr:uid="{00000000-0005-0000-0000-0000C0010000}"/>
    <cellStyle name="Normal 9 2 3" xfId="449" xr:uid="{00000000-0005-0000-0000-0000C1010000}"/>
    <cellStyle name="Normal 9 2 4" xfId="450" xr:uid="{00000000-0005-0000-0000-0000C2010000}"/>
    <cellStyle name="Normal 9 3" xfId="451" xr:uid="{00000000-0005-0000-0000-0000C3010000}"/>
    <cellStyle name="Normal 9 4" xfId="452" xr:uid="{00000000-0005-0000-0000-0000C4010000}"/>
    <cellStyle name="Normal 9 5" xfId="453" xr:uid="{00000000-0005-0000-0000-0000C5010000}"/>
    <cellStyle name="Normal 9 6" xfId="454" xr:uid="{00000000-0005-0000-0000-0000C6010000}"/>
    <cellStyle name="Normal 9 7" xfId="455" xr:uid="{00000000-0005-0000-0000-0000C7010000}"/>
    <cellStyle name="Normal 9 8" xfId="456" xr:uid="{00000000-0005-0000-0000-0000C8010000}"/>
    <cellStyle name="Normal 9 9" xfId="457" xr:uid="{00000000-0005-0000-0000-0000C9010000}"/>
    <cellStyle name="Note 2" xfId="458" xr:uid="{00000000-0005-0000-0000-0000CA010000}"/>
    <cellStyle name="Percent" xfId="459" builtinId="5"/>
    <cellStyle name="Percent 2" xfId="460" xr:uid="{00000000-0005-0000-0000-0000CC010000}"/>
    <cellStyle name="Percent 2 2" xfId="461" xr:uid="{00000000-0005-0000-0000-0000CD010000}"/>
    <cellStyle name="Percent 3" xfId="462" xr:uid="{00000000-0005-0000-0000-0000CE010000}"/>
    <cellStyle name="Total 2" xfId="463" xr:uid="{00000000-0005-0000-0000-0000CF010000}"/>
    <cellStyle name="Total 2 2" xfId="464" xr:uid="{00000000-0005-0000-0000-0000D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59"/>
  <sheetViews>
    <sheetView zoomScale="80" zoomScaleNormal="80" workbookViewId="0">
      <pane xSplit="1" ySplit="3" topLeftCell="AF28" activePane="bottomRight" state="frozen"/>
      <selection pane="topRight" activeCell="B1" sqref="B1"/>
      <selection pane="bottomLeft" activeCell="A4" sqref="A4"/>
      <selection pane="bottomRight" activeCell="AJ53" sqref="AJ53"/>
    </sheetView>
  </sheetViews>
  <sheetFormatPr defaultRowHeight="14.4" x14ac:dyDescent="0.3"/>
  <cols>
    <col min="1" max="1" width="40.88671875" customWidth="1"/>
    <col min="2" max="3" width="16.5546875" customWidth="1"/>
    <col min="4" max="13" width="16.5546875" hidden="1" customWidth="1"/>
    <col min="14" max="14" width="18.5546875" hidden="1" customWidth="1"/>
    <col min="15" max="15" width="17.109375" hidden="1" customWidth="1"/>
    <col min="16" max="16" width="17" style="180" customWidth="1"/>
    <col min="17" max="17" width="16.5546875" customWidth="1"/>
    <col min="18" max="18" width="17.6640625" customWidth="1"/>
    <col min="19" max="19" width="19" bestFit="1" customWidth="1"/>
    <col min="20" max="20" width="17" customWidth="1"/>
    <col min="21" max="21" width="17.44140625" customWidth="1"/>
    <col min="22" max="22" width="15.6640625" customWidth="1"/>
    <col min="23" max="23" width="15.33203125" customWidth="1"/>
    <col min="24" max="24" width="15" bestFit="1" customWidth="1"/>
    <col min="25" max="25" width="18.44140625" customWidth="1"/>
    <col min="26" max="32" width="15" bestFit="1" customWidth="1"/>
    <col min="33" max="34" width="16.33203125" bestFit="1" customWidth="1"/>
    <col min="35" max="35" width="14.88671875" bestFit="1" customWidth="1"/>
  </cols>
  <sheetData>
    <row r="1" spans="1:41" ht="15" customHeight="1" x14ac:dyDescent="0.3">
      <c r="A1" s="127"/>
      <c r="B1" s="127"/>
      <c r="C1" s="127"/>
      <c r="D1" s="127"/>
      <c r="E1" s="127"/>
      <c r="F1" s="127"/>
      <c r="G1" s="127"/>
      <c r="H1" s="127"/>
      <c r="I1" s="128"/>
      <c r="J1" s="128"/>
      <c r="K1" s="128"/>
      <c r="L1" s="128"/>
      <c r="M1" s="128"/>
      <c r="N1" s="128"/>
      <c r="O1" s="128"/>
      <c r="P1" s="177"/>
      <c r="Q1" s="128"/>
      <c r="R1" s="128"/>
    </row>
    <row r="3" spans="1:41" x14ac:dyDescent="0.3">
      <c r="A3" s="10"/>
      <c r="B3" s="30" t="s">
        <v>0</v>
      </c>
      <c r="C3" s="30" t="s">
        <v>1</v>
      </c>
      <c r="D3" s="160">
        <v>44197</v>
      </c>
      <c r="E3" s="159">
        <v>44228</v>
      </c>
      <c r="F3" s="160">
        <v>44256</v>
      </c>
      <c r="G3" s="159">
        <v>44287</v>
      </c>
      <c r="H3" s="160">
        <v>44317</v>
      </c>
      <c r="I3" s="159">
        <v>44348</v>
      </c>
      <c r="J3" s="160">
        <v>44378</v>
      </c>
      <c r="K3" s="159">
        <v>44409</v>
      </c>
      <c r="L3" s="160">
        <v>44440</v>
      </c>
      <c r="M3" s="159">
        <v>44470</v>
      </c>
      <c r="N3" s="160">
        <v>44501</v>
      </c>
      <c r="O3" s="159">
        <v>44531</v>
      </c>
      <c r="P3" s="178" t="s">
        <v>2</v>
      </c>
      <c r="Q3" s="35">
        <v>44562</v>
      </c>
      <c r="R3" s="35">
        <v>44593</v>
      </c>
      <c r="S3" s="35">
        <v>44621</v>
      </c>
      <c r="T3" s="35">
        <v>44652</v>
      </c>
      <c r="U3" s="35">
        <v>44682</v>
      </c>
      <c r="V3" s="35">
        <v>44713</v>
      </c>
      <c r="W3" s="35">
        <v>44743</v>
      </c>
      <c r="X3" s="35">
        <v>44774</v>
      </c>
      <c r="Y3" s="35">
        <v>44805</v>
      </c>
      <c r="Z3" s="35">
        <v>44835</v>
      </c>
      <c r="AA3" s="35">
        <v>44866</v>
      </c>
      <c r="AB3" s="35">
        <v>44896</v>
      </c>
      <c r="AC3" s="35" t="s">
        <v>3</v>
      </c>
      <c r="AD3" s="35">
        <v>44927</v>
      </c>
      <c r="AE3" s="35">
        <v>44958</v>
      </c>
      <c r="AF3" s="35">
        <v>44986</v>
      </c>
      <c r="AG3" s="35">
        <v>45017</v>
      </c>
      <c r="AH3" s="35">
        <v>45047</v>
      </c>
      <c r="AI3" s="35">
        <v>45078</v>
      </c>
      <c r="AJ3" s="35">
        <v>45108</v>
      </c>
      <c r="AK3" s="35">
        <v>45139</v>
      </c>
      <c r="AL3" s="35">
        <v>45170</v>
      </c>
      <c r="AM3" s="35">
        <v>45200</v>
      </c>
      <c r="AN3" s="35">
        <v>45231</v>
      </c>
      <c r="AO3" s="35">
        <v>45261</v>
      </c>
    </row>
    <row r="4" spans="1:41" x14ac:dyDescent="0.3">
      <c r="A4" s="11" t="s">
        <v>4</v>
      </c>
      <c r="B4" s="70">
        <f t="shared" ref="B4:G4" si="0">SUM(B5:B6)</f>
        <v>19363224</v>
      </c>
      <c r="C4" s="70">
        <f t="shared" si="0"/>
        <v>193574959</v>
      </c>
      <c r="D4" s="70">
        <f t="shared" si="0"/>
        <v>144256863</v>
      </c>
      <c r="E4" s="70">
        <f t="shared" si="0"/>
        <v>165308030</v>
      </c>
      <c r="F4" s="70">
        <f t="shared" si="0"/>
        <v>150475348</v>
      </c>
      <c r="G4" s="70">
        <f t="shared" si="0"/>
        <v>124153511</v>
      </c>
      <c r="H4" s="70">
        <f t="shared" ref="H4:O4" si="1">SUM(H5:H6)</f>
        <v>104105177</v>
      </c>
      <c r="I4" s="70">
        <f t="shared" si="1"/>
        <v>54932058</v>
      </c>
      <c r="J4" s="70">
        <f t="shared" si="1"/>
        <v>37992248</v>
      </c>
      <c r="K4" s="70">
        <f t="shared" si="1"/>
        <v>23277530</v>
      </c>
      <c r="L4" s="70">
        <f t="shared" si="1"/>
        <v>-9537991</v>
      </c>
      <c r="M4" s="70">
        <f t="shared" si="1"/>
        <v>215752770</v>
      </c>
      <c r="N4" s="70">
        <f t="shared" si="1"/>
        <v>111547876</v>
      </c>
      <c r="O4" s="70">
        <f t="shared" si="1"/>
        <v>96822468</v>
      </c>
      <c r="P4" s="70">
        <f>SUM(P5:P6)</f>
        <v>111409082</v>
      </c>
      <c r="Q4" s="70">
        <f t="shared" ref="Q4:AB4" si="2">SUM(Q5:Q6)</f>
        <v>84363748</v>
      </c>
      <c r="R4" s="70">
        <f t="shared" si="2"/>
        <v>79690146</v>
      </c>
      <c r="S4" s="70">
        <f t="shared" si="2"/>
        <v>49354517</v>
      </c>
      <c r="T4" s="70">
        <f t="shared" si="2"/>
        <v>77672674</v>
      </c>
      <c r="U4" s="70">
        <f t="shared" si="2"/>
        <v>53973603</v>
      </c>
      <c r="V4" s="70">
        <f t="shared" si="2"/>
        <v>41282811</v>
      </c>
      <c r="W4" s="70">
        <f t="shared" si="2"/>
        <v>345827894</v>
      </c>
      <c r="X4" s="70">
        <f t="shared" si="2"/>
        <v>282738268</v>
      </c>
      <c r="Y4" s="70">
        <f t="shared" si="2"/>
        <v>232180110</v>
      </c>
      <c r="Z4" s="70">
        <f t="shared" si="2"/>
        <v>193294927</v>
      </c>
      <c r="AA4" s="70">
        <f t="shared" si="2"/>
        <v>172062749</v>
      </c>
      <c r="AB4" s="70">
        <f t="shared" si="2"/>
        <v>155685765</v>
      </c>
      <c r="AC4" s="70">
        <f t="shared" ref="AC4" si="3">SUM(AC5:AC6)</f>
        <v>175369190</v>
      </c>
      <c r="AD4" s="70">
        <f t="shared" ref="AD4:AO4" si="4">SUM(AD5:AD6)</f>
        <v>141728487</v>
      </c>
      <c r="AE4" s="70">
        <f t="shared" si="4"/>
        <v>88776627</v>
      </c>
      <c r="AF4" s="70">
        <f t="shared" si="4"/>
        <v>90535570</v>
      </c>
      <c r="AG4" s="70">
        <f t="shared" si="4"/>
        <v>58803054</v>
      </c>
      <c r="AH4" s="70">
        <f t="shared" si="4"/>
        <v>39744613</v>
      </c>
      <c r="AI4" s="70">
        <f t="shared" si="4"/>
        <v>86346638</v>
      </c>
      <c r="AJ4" s="70">
        <f t="shared" si="4"/>
        <v>0</v>
      </c>
      <c r="AK4" s="70">
        <f t="shared" si="4"/>
        <v>0</v>
      </c>
      <c r="AL4" s="70">
        <f t="shared" si="4"/>
        <v>0</v>
      </c>
      <c r="AM4" s="70">
        <f t="shared" si="4"/>
        <v>0</v>
      </c>
      <c r="AN4" s="70">
        <f t="shared" si="4"/>
        <v>0</v>
      </c>
      <c r="AO4" s="70">
        <f t="shared" si="4"/>
        <v>0</v>
      </c>
    </row>
    <row r="5" spans="1:41" x14ac:dyDescent="0.3">
      <c r="A5" s="12" t="s">
        <v>5</v>
      </c>
      <c r="B5" s="27">
        <v>19363224</v>
      </c>
      <c r="C5" s="168">
        <v>31678367</v>
      </c>
      <c r="D5" s="13">
        <v>22607925</v>
      </c>
      <c r="E5" s="13">
        <v>25776920</v>
      </c>
      <c r="F5" s="13">
        <v>18846746</v>
      </c>
      <c r="G5" s="13">
        <v>29309335</v>
      </c>
      <c r="H5" s="13">
        <v>22456230</v>
      </c>
      <c r="I5" s="13">
        <v>19492745</v>
      </c>
      <c r="J5" s="13">
        <v>25501165</v>
      </c>
      <c r="K5" s="13">
        <v>31191005</v>
      </c>
      <c r="L5" s="13">
        <v>5979570</v>
      </c>
      <c r="M5" s="13">
        <v>66954690</v>
      </c>
      <c r="N5" s="13">
        <v>48228890</v>
      </c>
      <c r="O5" s="13">
        <v>29753135</v>
      </c>
      <c r="P5" s="181">
        <v>29753135</v>
      </c>
      <c r="Q5" s="13">
        <v>38136445</v>
      </c>
      <c r="R5" s="13">
        <v>23434740</v>
      </c>
      <c r="S5" s="76">
        <v>24588825</v>
      </c>
      <c r="T5" s="76">
        <v>27966793</v>
      </c>
      <c r="U5" s="76">
        <v>30018198</v>
      </c>
      <c r="V5" s="76">
        <v>27753135</v>
      </c>
      <c r="W5" s="76">
        <v>68402478</v>
      </c>
      <c r="X5" s="76">
        <v>17795838</v>
      </c>
      <c r="Y5" s="76">
        <v>29753135</v>
      </c>
      <c r="Z5" s="76">
        <v>27170698</v>
      </c>
      <c r="AA5" s="76">
        <v>14845058</v>
      </c>
      <c r="AB5" s="76">
        <v>27138810</v>
      </c>
      <c r="AC5" s="76">
        <v>27138810</v>
      </c>
      <c r="AD5" s="76">
        <v>12566055</v>
      </c>
      <c r="AE5" s="76">
        <v>20707485</v>
      </c>
      <c r="AF5" s="76">
        <v>21780650</v>
      </c>
      <c r="AG5" s="230">
        <v>18317825</v>
      </c>
      <c r="AH5" s="230">
        <v>12229965</v>
      </c>
      <c r="AI5">
        <v>16835450</v>
      </c>
    </row>
    <row r="6" spans="1:41" x14ac:dyDescent="0.3">
      <c r="A6" s="12" t="s">
        <v>6</v>
      </c>
      <c r="B6" s="27"/>
      <c r="C6" s="168">
        <f>193574959-C5</f>
        <v>161896592</v>
      </c>
      <c r="D6" s="13">
        <v>121648938</v>
      </c>
      <c r="E6" s="13">
        <v>139531110</v>
      </c>
      <c r="F6" s="13">
        <v>131628602</v>
      </c>
      <c r="G6" s="13">
        <v>94844176</v>
      </c>
      <c r="H6" s="13">
        <v>81648947</v>
      </c>
      <c r="I6" s="13">
        <v>35439313</v>
      </c>
      <c r="J6" s="13">
        <v>12491083</v>
      </c>
      <c r="K6" s="13">
        <v>-7913475</v>
      </c>
      <c r="L6" s="13">
        <v>-15517561</v>
      </c>
      <c r="M6" s="13">
        <v>148798080</v>
      </c>
      <c r="N6" s="13">
        <v>63318986</v>
      </c>
      <c r="O6" s="13">
        <v>67069333</v>
      </c>
      <c r="P6" s="181">
        <f>111409082-P5</f>
        <v>81655947</v>
      </c>
      <c r="Q6" s="13">
        <v>46227303</v>
      </c>
      <c r="R6" s="13">
        <v>56255406</v>
      </c>
      <c r="S6" s="76">
        <v>24765692</v>
      </c>
      <c r="T6" s="76">
        <v>49705881</v>
      </c>
      <c r="U6" s="76">
        <v>23955405</v>
      </c>
      <c r="V6" s="76">
        <v>13529676</v>
      </c>
      <c r="W6" s="76">
        <v>277425416</v>
      </c>
      <c r="X6" s="76">
        <v>264942430</v>
      </c>
      <c r="Y6" s="76">
        <v>202426975</v>
      </c>
      <c r="Z6" s="76">
        <v>166124229</v>
      </c>
      <c r="AA6" s="76">
        <v>157217691</v>
      </c>
      <c r="AB6" s="76">
        <v>128546955</v>
      </c>
      <c r="AC6" s="76">
        <f>175369190-AC5</f>
        <v>148230380</v>
      </c>
      <c r="AD6" s="76">
        <v>129162432</v>
      </c>
      <c r="AE6" s="76">
        <v>68069142</v>
      </c>
      <c r="AF6" s="76">
        <v>68754920</v>
      </c>
      <c r="AG6" s="230">
        <v>40485229</v>
      </c>
      <c r="AH6" s="230">
        <v>27514648</v>
      </c>
      <c r="AI6">
        <v>69511188</v>
      </c>
    </row>
    <row r="7" spans="1:41" s="33" customFormat="1" x14ac:dyDescent="0.3">
      <c r="A7" s="11" t="s">
        <v>7</v>
      </c>
      <c r="B7" s="26">
        <v>13400392</v>
      </c>
      <c r="C7" s="169"/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82"/>
      <c r="Q7" s="32">
        <v>0</v>
      </c>
      <c r="R7" s="32">
        <v>0</v>
      </c>
      <c r="S7" s="33">
        <v>0</v>
      </c>
      <c r="T7" s="33">
        <v>0</v>
      </c>
      <c r="U7" s="33">
        <v>0</v>
      </c>
      <c r="V7" s="33">
        <v>0</v>
      </c>
      <c r="W7" s="33">
        <v>0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231">
        <v>0</v>
      </c>
      <c r="AH7" s="231">
        <v>0</v>
      </c>
      <c r="AI7" s="33">
        <v>0</v>
      </c>
    </row>
    <row r="8" spans="1:41" x14ac:dyDescent="0.3">
      <c r="A8" s="11" t="s">
        <v>8</v>
      </c>
      <c r="B8" s="70">
        <f t="shared" ref="B8:AB8" si="5">SUM(B9:B13)</f>
        <v>472260</v>
      </c>
      <c r="C8" s="70">
        <f t="shared" si="5"/>
        <v>4306550</v>
      </c>
      <c r="D8" s="70">
        <f t="shared" si="5"/>
        <v>18693600</v>
      </c>
      <c r="E8" s="70">
        <f t="shared" si="5"/>
        <v>18693600</v>
      </c>
      <c r="F8" s="70">
        <f t="shared" si="5"/>
        <v>18693600</v>
      </c>
      <c r="G8" s="70">
        <f t="shared" si="5"/>
        <v>18693600</v>
      </c>
      <c r="H8" s="70">
        <f t="shared" si="5"/>
        <v>18693600</v>
      </c>
      <c r="I8" s="70">
        <f t="shared" si="5"/>
        <v>18693600</v>
      </c>
      <c r="J8" s="70">
        <f t="shared" si="5"/>
        <v>18693600</v>
      </c>
      <c r="K8" s="70">
        <f t="shared" si="5"/>
        <v>18693600</v>
      </c>
      <c r="L8" s="70">
        <f t="shared" si="5"/>
        <v>18693600</v>
      </c>
      <c r="M8" s="70">
        <f t="shared" si="5"/>
        <v>18693600</v>
      </c>
      <c r="N8" s="70">
        <f t="shared" si="5"/>
        <v>18693600</v>
      </c>
      <c r="O8" s="70">
        <f t="shared" si="5"/>
        <v>19780983</v>
      </c>
      <c r="P8" s="70">
        <f t="shared" si="5"/>
        <v>4606550</v>
      </c>
      <c r="Q8" s="70">
        <f t="shared" ref="Q8:X8" si="6">SUM(Q9:Q13)</f>
        <v>18180983</v>
      </c>
      <c r="R8" s="70">
        <f t="shared" si="6"/>
        <v>18180983</v>
      </c>
      <c r="S8" s="70">
        <f t="shared" si="6"/>
        <v>18180983</v>
      </c>
      <c r="T8" s="70">
        <f t="shared" si="6"/>
        <v>18180983</v>
      </c>
      <c r="U8" s="70">
        <f t="shared" si="6"/>
        <v>18180983</v>
      </c>
      <c r="V8" s="70">
        <f t="shared" si="6"/>
        <v>18180983</v>
      </c>
      <c r="W8" s="70">
        <f t="shared" si="6"/>
        <v>18180983</v>
      </c>
      <c r="X8" s="70">
        <f t="shared" si="6"/>
        <v>18180983</v>
      </c>
      <c r="Y8" s="70">
        <f>SUM(Y9:Y13)</f>
        <v>18180983</v>
      </c>
      <c r="Z8" s="70">
        <f t="shared" si="5"/>
        <v>18180983</v>
      </c>
      <c r="AA8" s="70">
        <f t="shared" si="5"/>
        <v>18180983</v>
      </c>
      <c r="AB8" s="70">
        <f t="shared" si="5"/>
        <v>18180983</v>
      </c>
      <c r="AC8" s="70">
        <f t="shared" ref="AC8" si="7">SUM(AC9:AC13)</f>
        <v>4702814</v>
      </c>
      <c r="AD8" s="70">
        <f t="shared" ref="AD8:AO8" si="8">SUM(AD9:AD13)</f>
        <v>21094256</v>
      </c>
      <c r="AE8" s="70">
        <f t="shared" si="8"/>
        <v>21094256</v>
      </c>
      <c r="AF8" s="70">
        <f t="shared" si="8"/>
        <v>21094256</v>
      </c>
      <c r="AG8" s="232">
        <f t="shared" si="8"/>
        <v>21094256</v>
      </c>
      <c r="AH8" s="232">
        <f t="shared" si="8"/>
        <v>22571526</v>
      </c>
      <c r="AI8" s="70">
        <f t="shared" si="8"/>
        <v>21094256</v>
      </c>
      <c r="AJ8" s="70">
        <f t="shared" si="8"/>
        <v>0</v>
      </c>
      <c r="AK8" s="70">
        <f t="shared" si="8"/>
        <v>0</v>
      </c>
      <c r="AL8" s="70">
        <f t="shared" si="8"/>
        <v>0</v>
      </c>
      <c r="AM8" s="70">
        <f t="shared" si="8"/>
        <v>0</v>
      </c>
      <c r="AN8" s="70">
        <f t="shared" si="8"/>
        <v>0</v>
      </c>
      <c r="AO8" s="70">
        <f t="shared" si="8"/>
        <v>0</v>
      </c>
    </row>
    <row r="9" spans="1:41" ht="28.2" x14ac:dyDescent="0.3">
      <c r="A9" s="6" t="s">
        <v>9</v>
      </c>
      <c r="B9" s="27"/>
      <c r="C9" s="155"/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79"/>
      <c r="Q9" s="13">
        <v>0</v>
      </c>
      <c r="R9" s="13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230">
        <v>0</v>
      </c>
      <c r="AH9" s="230">
        <v>0</v>
      </c>
      <c r="AI9">
        <v>0</v>
      </c>
    </row>
    <row r="10" spans="1:41" x14ac:dyDescent="0.3">
      <c r="A10" s="6" t="s">
        <v>10</v>
      </c>
      <c r="B10" s="27"/>
      <c r="C10" s="168"/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79"/>
      <c r="Q10" s="13">
        <v>0</v>
      </c>
      <c r="R10" s="13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230">
        <v>0</v>
      </c>
      <c r="AH10" s="230">
        <v>0</v>
      </c>
      <c r="AI10">
        <v>0</v>
      </c>
    </row>
    <row r="11" spans="1:41" ht="28.2" x14ac:dyDescent="0.3">
      <c r="A11" s="6" t="s">
        <v>11</v>
      </c>
      <c r="B11" s="27"/>
      <c r="C11" s="154"/>
      <c r="D11" s="13">
        <v>13774433</v>
      </c>
      <c r="E11" s="13">
        <v>13774433</v>
      </c>
      <c r="F11" s="13">
        <v>13774433</v>
      </c>
      <c r="G11" s="13">
        <v>13774433</v>
      </c>
      <c r="H11" s="13">
        <v>13774433</v>
      </c>
      <c r="I11" s="13">
        <v>13774433</v>
      </c>
      <c r="J11" s="13">
        <v>13774433</v>
      </c>
      <c r="K11" s="13">
        <v>13774433</v>
      </c>
      <c r="L11" s="13">
        <v>13774433</v>
      </c>
      <c r="M11" s="13">
        <v>13774433</v>
      </c>
      <c r="N11" s="13">
        <v>13774433</v>
      </c>
      <c r="O11" s="13">
        <v>13774433</v>
      </c>
      <c r="P11" s="179"/>
      <c r="Q11" s="13">
        <v>13774433</v>
      </c>
      <c r="R11" s="13">
        <v>13774433</v>
      </c>
      <c r="S11" s="76">
        <v>13774433</v>
      </c>
      <c r="T11" s="76">
        <v>13774433</v>
      </c>
      <c r="U11" s="76">
        <v>13774433</v>
      </c>
      <c r="V11" s="76">
        <v>13774433</v>
      </c>
      <c r="W11" s="76">
        <v>13774433</v>
      </c>
      <c r="X11" s="76">
        <v>13774433</v>
      </c>
      <c r="Y11" s="76">
        <v>13774433</v>
      </c>
      <c r="Z11" s="76">
        <v>13774433</v>
      </c>
      <c r="AA11" s="76">
        <v>13774433</v>
      </c>
      <c r="AB11" s="76">
        <v>13774433</v>
      </c>
      <c r="AC11" s="76">
        <v>0</v>
      </c>
      <c r="AD11" s="76">
        <v>16341406</v>
      </c>
      <c r="AE11" s="76">
        <v>16341406</v>
      </c>
      <c r="AF11" s="76">
        <v>16341406</v>
      </c>
      <c r="AG11" s="230">
        <v>16341406</v>
      </c>
      <c r="AH11" s="230">
        <v>17818676</v>
      </c>
      <c r="AI11">
        <v>16341406</v>
      </c>
    </row>
    <row r="12" spans="1:41" ht="28.2" x14ac:dyDescent="0.3">
      <c r="A12" s="173" t="s">
        <v>12</v>
      </c>
      <c r="B12" s="27"/>
      <c r="C12" s="154">
        <f>4306550-C13</f>
        <v>4256550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79">
        <f>4606550-P13</f>
        <v>4556550</v>
      </c>
      <c r="AC12" s="76">
        <f>4702814-AC13</f>
        <v>4652814</v>
      </c>
      <c r="AD12">
        <v>4752850</v>
      </c>
      <c r="AE12">
        <v>4752850</v>
      </c>
      <c r="AF12">
        <v>4752850</v>
      </c>
      <c r="AG12" s="230"/>
      <c r="AH12" s="230"/>
      <c r="AI12">
        <v>4752850</v>
      </c>
    </row>
    <row r="13" spans="1:41" ht="28.2" x14ac:dyDescent="0.3">
      <c r="A13" s="6" t="s">
        <v>13</v>
      </c>
      <c r="B13" s="13">
        <v>472260</v>
      </c>
      <c r="C13" s="168">
        <v>50000</v>
      </c>
      <c r="D13" s="13">
        <v>4919167</v>
      </c>
      <c r="E13" s="13">
        <v>4919167</v>
      </c>
      <c r="F13" s="13">
        <v>4919167</v>
      </c>
      <c r="G13" s="13">
        <v>4919167</v>
      </c>
      <c r="H13" s="13">
        <v>4919167</v>
      </c>
      <c r="I13" s="13">
        <v>4919167</v>
      </c>
      <c r="J13" s="13">
        <v>4919167</v>
      </c>
      <c r="K13" s="13">
        <v>4919167</v>
      </c>
      <c r="L13" s="13">
        <v>4919167</v>
      </c>
      <c r="M13" s="13">
        <v>4919167</v>
      </c>
      <c r="N13" s="13">
        <v>4919167</v>
      </c>
      <c r="O13" s="13">
        <v>6006550</v>
      </c>
      <c r="P13" s="179">
        <v>50000</v>
      </c>
      <c r="Q13" s="13">
        <v>4406550</v>
      </c>
      <c r="R13" s="13">
        <v>4406550</v>
      </c>
      <c r="S13" s="76">
        <v>4406550</v>
      </c>
      <c r="T13" s="76">
        <v>4406550</v>
      </c>
      <c r="U13" s="76">
        <v>4406550</v>
      </c>
      <c r="V13" s="76">
        <v>4406550</v>
      </c>
      <c r="W13" s="76">
        <v>4406550</v>
      </c>
      <c r="X13" s="76">
        <v>4406550</v>
      </c>
      <c r="Y13" s="76">
        <v>4406550</v>
      </c>
      <c r="Z13" s="76">
        <v>4406550</v>
      </c>
      <c r="AA13" s="76">
        <v>4406550</v>
      </c>
      <c r="AB13" s="76">
        <v>4406550</v>
      </c>
      <c r="AC13" s="76">
        <v>50000</v>
      </c>
      <c r="AD13" s="76"/>
      <c r="AE13" s="76"/>
      <c r="AF13" s="76"/>
      <c r="AG13" s="230">
        <v>4752850</v>
      </c>
      <c r="AH13" s="230">
        <v>4752850</v>
      </c>
    </row>
    <row r="14" spans="1:41" x14ac:dyDescent="0.3">
      <c r="A14" s="11" t="s">
        <v>14</v>
      </c>
      <c r="B14" s="70">
        <f t="shared" ref="B14:AB14" si="9">B15-B16</f>
        <v>112905266</v>
      </c>
      <c r="C14" s="70">
        <f t="shared" si="9"/>
        <v>560836016</v>
      </c>
      <c r="D14" s="70">
        <f t="shared" si="9"/>
        <v>600020729</v>
      </c>
      <c r="E14" s="70">
        <f t="shared" si="9"/>
        <v>596739329</v>
      </c>
      <c r="F14" s="70">
        <f t="shared" si="9"/>
        <v>576874598</v>
      </c>
      <c r="G14" s="70">
        <f t="shared" si="9"/>
        <v>579838637</v>
      </c>
      <c r="H14" s="70">
        <f t="shared" si="9"/>
        <v>557595581</v>
      </c>
      <c r="I14" s="70">
        <f t="shared" si="9"/>
        <v>605819520.41999996</v>
      </c>
      <c r="J14" s="70">
        <f t="shared" si="9"/>
        <v>615827420</v>
      </c>
      <c r="K14" s="70">
        <f t="shared" si="9"/>
        <v>628866182</v>
      </c>
      <c r="L14" s="70">
        <f t="shared" si="9"/>
        <v>672732682</v>
      </c>
      <c r="M14" s="70">
        <f t="shared" si="9"/>
        <v>570124082</v>
      </c>
      <c r="N14" s="70">
        <f t="shared" si="9"/>
        <v>623544598</v>
      </c>
      <c r="O14" s="70">
        <f t="shared" si="9"/>
        <v>639019238</v>
      </c>
      <c r="P14" s="70">
        <f t="shared" si="9"/>
        <v>639021260</v>
      </c>
      <c r="Q14" s="70">
        <f t="shared" si="9"/>
        <v>658402253</v>
      </c>
      <c r="R14" s="70">
        <f t="shared" si="9"/>
        <v>666604573</v>
      </c>
      <c r="S14" s="70">
        <f t="shared" si="9"/>
        <v>679648968</v>
      </c>
      <c r="T14" s="70">
        <f t="shared" si="9"/>
        <v>685808372</v>
      </c>
      <c r="U14" s="70">
        <f t="shared" si="9"/>
        <v>712202599</v>
      </c>
      <c r="V14" s="70">
        <f t="shared" si="9"/>
        <v>729721480</v>
      </c>
      <c r="W14" s="70">
        <f t="shared" si="9"/>
        <v>590114097</v>
      </c>
      <c r="X14" s="70">
        <f t="shared" si="9"/>
        <v>620458871</v>
      </c>
      <c r="Y14" s="70">
        <f t="shared" si="9"/>
        <v>648161563</v>
      </c>
      <c r="Z14" s="70">
        <f t="shared" si="9"/>
        <v>672775514</v>
      </c>
      <c r="AA14" s="70">
        <f t="shared" si="9"/>
        <v>687450833</v>
      </c>
      <c r="AB14" s="70">
        <f t="shared" si="9"/>
        <v>699504518</v>
      </c>
      <c r="AC14" s="70">
        <f>AC15-AC16</f>
        <v>699504518</v>
      </c>
      <c r="AD14" s="70">
        <f t="shared" ref="AD14:AO14" si="10">AD15-AD16</f>
        <v>695190019</v>
      </c>
      <c r="AE14" s="70">
        <f t="shared" si="10"/>
        <v>753585044</v>
      </c>
      <c r="AF14" s="70">
        <f t="shared" si="10"/>
        <v>773495910</v>
      </c>
      <c r="AG14" s="232">
        <f t="shared" si="10"/>
        <v>776253240</v>
      </c>
      <c r="AH14" s="232">
        <f t="shared" si="10"/>
        <v>803806314</v>
      </c>
      <c r="AI14" s="70">
        <f t="shared" si="10"/>
        <v>810054308</v>
      </c>
      <c r="AJ14" s="70">
        <f t="shared" si="10"/>
        <v>0</v>
      </c>
      <c r="AK14" s="70">
        <f t="shared" si="10"/>
        <v>0</v>
      </c>
      <c r="AL14" s="70">
        <f t="shared" si="10"/>
        <v>0</v>
      </c>
      <c r="AM14" s="70">
        <f t="shared" si="10"/>
        <v>0</v>
      </c>
      <c r="AN14" s="70">
        <f t="shared" si="10"/>
        <v>0</v>
      </c>
      <c r="AO14" s="70">
        <f t="shared" si="10"/>
        <v>0</v>
      </c>
    </row>
    <row r="15" spans="1:41" x14ac:dyDescent="0.3">
      <c r="A15" s="12" t="s">
        <v>15</v>
      </c>
      <c r="B15" s="27">
        <v>112905266</v>
      </c>
      <c r="C15" s="154">
        <v>664592356</v>
      </c>
      <c r="D15" s="13">
        <v>703777069</v>
      </c>
      <c r="E15" s="13">
        <v>701542064</v>
      </c>
      <c r="F15" s="13">
        <v>682074733</v>
      </c>
      <c r="G15" s="13">
        <v>695038772</v>
      </c>
      <c r="H15" s="13">
        <v>674348122</v>
      </c>
      <c r="I15" s="13">
        <v>723335812</v>
      </c>
      <c r="J15" s="13">
        <v>743868312</v>
      </c>
      <c r="K15" s="13">
        <v>762934145</v>
      </c>
      <c r="L15" s="13">
        <v>810800645</v>
      </c>
      <c r="M15" s="13">
        <v>707054084</v>
      </c>
      <c r="N15" s="13">
        <v>764974931</v>
      </c>
      <c r="O15" s="13">
        <v>792587190</v>
      </c>
      <c r="P15" s="181">
        <v>792589211</v>
      </c>
      <c r="Q15" s="13">
        <v>813471307</v>
      </c>
      <c r="R15" s="13">
        <v>825025727</v>
      </c>
      <c r="S15" s="76">
        <v>839202702</v>
      </c>
      <c r="T15" s="76">
        <v>850862106</v>
      </c>
      <c r="U15" s="76">
        <v>880182835</v>
      </c>
      <c r="V15" s="76">
        <v>896587782</v>
      </c>
      <c r="W15" s="76">
        <v>762077134</v>
      </c>
      <c r="X15" s="76">
        <v>797954008</v>
      </c>
      <c r="Y15" s="76">
        <v>830850911</v>
      </c>
      <c r="Z15" s="76">
        <v>862590172</v>
      </c>
      <c r="AA15" s="76">
        <v>888516741</v>
      </c>
      <c r="AB15" s="76">
        <v>910801986</v>
      </c>
      <c r="AC15" s="76">
        <v>910801986</v>
      </c>
      <c r="AD15" s="76">
        <v>907335219</v>
      </c>
      <c r="AE15" s="76">
        <v>969521479</v>
      </c>
      <c r="AF15" s="76">
        <v>1005641110</v>
      </c>
      <c r="AG15" s="230">
        <v>1026968565</v>
      </c>
      <c r="AH15" s="230">
        <v>1054521639</v>
      </c>
      <c r="AI15">
        <v>1061569759</v>
      </c>
    </row>
    <row r="16" spans="1:41" x14ac:dyDescent="0.3">
      <c r="A16" s="12" t="s">
        <v>16</v>
      </c>
      <c r="B16" s="27"/>
      <c r="C16" s="154">
        <v>103756340</v>
      </c>
      <c r="D16" s="13">
        <v>103756340</v>
      </c>
      <c r="E16" s="13">
        <v>104802735</v>
      </c>
      <c r="F16" s="13">
        <v>105200135</v>
      </c>
      <c r="G16" s="13">
        <v>115200135</v>
      </c>
      <c r="H16" s="13">
        <v>116752541</v>
      </c>
      <c r="I16" s="13">
        <v>117516291.58</v>
      </c>
      <c r="J16" s="13">
        <v>128040892</v>
      </c>
      <c r="K16" s="13">
        <v>134067963</v>
      </c>
      <c r="L16" s="13">
        <v>138067963</v>
      </c>
      <c r="M16" s="13">
        <v>136930002</v>
      </c>
      <c r="N16" s="13">
        <v>141430333</v>
      </c>
      <c r="O16" s="13">
        <v>153567952</v>
      </c>
      <c r="P16" s="181">
        <v>153567951</v>
      </c>
      <c r="Q16" s="13">
        <v>155069054</v>
      </c>
      <c r="R16" s="13">
        <v>158421154</v>
      </c>
      <c r="S16" s="76">
        <v>159553734</v>
      </c>
      <c r="T16" s="76">
        <v>165053734</v>
      </c>
      <c r="U16" s="76">
        <v>167980236</v>
      </c>
      <c r="V16" s="76">
        <v>166866302</v>
      </c>
      <c r="W16" s="76">
        <v>171963037</v>
      </c>
      <c r="X16" s="76">
        <v>177495137</v>
      </c>
      <c r="Y16" s="76">
        <v>182689348</v>
      </c>
      <c r="Z16" s="76">
        <v>189814658</v>
      </c>
      <c r="AA16" s="76">
        <v>201065908</v>
      </c>
      <c r="AB16" s="76">
        <v>211297468</v>
      </c>
      <c r="AC16" s="76">
        <v>211297468</v>
      </c>
      <c r="AD16" s="76">
        <v>212145200</v>
      </c>
      <c r="AE16" s="76">
        <v>215936435</v>
      </c>
      <c r="AF16" s="76">
        <v>232145200</v>
      </c>
      <c r="AG16" s="230">
        <v>250715325</v>
      </c>
      <c r="AH16" s="230">
        <v>250715325</v>
      </c>
      <c r="AI16">
        <v>251515451</v>
      </c>
    </row>
    <row r="17" spans="1:41" x14ac:dyDescent="0.3">
      <c r="A17" s="11" t="s">
        <v>17</v>
      </c>
      <c r="B17" s="70">
        <f t="shared" ref="B17:I17" si="11">SUM(B18:B20)</f>
        <v>0</v>
      </c>
      <c r="C17" s="70">
        <f t="shared" si="11"/>
        <v>0</v>
      </c>
      <c r="D17" s="70">
        <f t="shared" si="11"/>
        <v>0</v>
      </c>
      <c r="E17" s="70">
        <f t="shared" si="11"/>
        <v>0</v>
      </c>
      <c r="F17" s="70">
        <f t="shared" si="11"/>
        <v>0</v>
      </c>
      <c r="G17" s="70">
        <f t="shared" si="11"/>
        <v>0</v>
      </c>
      <c r="H17" s="70">
        <f t="shared" si="11"/>
        <v>0</v>
      </c>
      <c r="I17" s="70">
        <f t="shared" si="11"/>
        <v>0</v>
      </c>
      <c r="J17" s="70">
        <f t="shared" ref="J17:AB17" si="12">SUM(J18:J20)</f>
        <v>0</v>
      </c>
      <c r="K17" s="70">
        <f t="shared" si="12"/>
        <v>0</v>
      </c>
      <c r="L17" s="70">
        <f t="shared" si="12"/>
        <v>0</v>
      </c>
      <c r="M17" s="70">
        <f t="shared" si="12"/>
        <v>0</v>
      </c>
      <c r="N17" s="70">
        <f t="shared" si="12"/>
        <v>0</v>
      </c>
      <c r="O17" s="70">
        <f t="shared" si="12"/>
        <v>0</v>
      </c>
      <c r="P17" s="70">
        <f t="shared" si="12"/>
        <v>0</v>
      </c>
      <c r="Q17" s="70">
        <f t="shared" si="12"/>
        <v>0</v>
      </c>
      <c r="R17" s="70">
        <f t="shared" si="12"/>
        <v>0</v>
      </c>
      <c r="S17" s="70">
        <f t="shared" si="12"/>
        <v>0</v>
      </c>
      <c r="T17" s="70">
        <f t="shared" si="12"/>
        <v>0</v>
      </c>
      <c r="U17" s="70">
        <f t="shared" si="12"/>
        <v>0</v>
      </c>
      <c r="V17" s="70">
        <f t="shared" si="12"/>
        <v>0</v>
      </c>
      <c r="W17" s="70">
        <f t="shared" si="12"/>
        <v>0</v>
      </c>
      <c r="X17" s="70">
        <f t="shared" si="12"/>
        <v>0</v>
      </c>
      <c r="Y17" s="70">
        <f t="shared" si="12"/>
        <v>0</v>
      </c>
      <c r="Z17" s="70">
        <f t="shared" si="12"/>
        <v>0</v>
      </c>
      <c r="AA17" s="70">
        <f t="shared" si="12"/>
        <v>0</v>
      </c>
      <c r="AB17" s="70">
        <f t="shared" si="12"/>
        <v>0</v>
      </c>
      <c r="AC17" s="70">
        <f t="shared" ref="AC17" si="13">SUM(AC18:AC20)</f>
        <v>0</v>
      </c>
      <c r="AD17" s="70">
        <f t="shared" ref="AD17:AO17" si="14">SUM(AD18:AD20)</f>
        <v>0</v>
      </c>
      <c r="AE17" s="70">
        <f t="shared" si="14"/>
        <v>0</v>
      </c>
      <c r="AF17" s="70">
        <f t="shared" si="14"/>
        <v>0</v>
      </c>
      <c r="AG17" s="232">
        <f t="shared" si="14"/>
        <v>0</v>
      </c>
      <c r="AH17" s="232">
        <f t="shared" si="14"/>
        <v>0</v>
      </c>
      <c r="AI17" s="70">
        <f t="shared" si="14"/>
        <v>0</v>
      </c>
      <c r="AJ17" s="70">
        <f t="shared" si="14"/>
        <v>0</v>
      </c>
      <c r="AK17" s="70">
        <f t="shared" si="14"/>
        <v>0</v>
      </c>
      <c r="AL17" s="70">
        <f t="shared" si="14"/>
        <v>0</v>
      </c>
      <c r="AM17" s="70">
        <f t="shared" si="14"/>
        <v>0</v>
      </c>
      <c r="AN17" s="70">
        <f t="shared" si="14"/>
        <v>0</v>
      </c>
      <c r="AO17" s="70">
        <f t="shared" si="14"/>
        <v>0</v>
      </c>
    </row>
    <row r="18" spans="1:41" x14ac:dyDescent="0.3">
      <c r="A18" s="12" t="s">
        <v>18</v>
      </c>
      <c r="B18" s="27"/>
      <c r="C18" s="168"/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79"/>
      <c r="Q18" s="13">
        <v>0</v>
      </c>
      <c r="R18" s="13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6">
        <v>0</v>
      </c>
      <c r="AG18" s="230">
        <v>0</v>
      </c>
      <c r="AH18" s="230">
        <v>0</v>
      </c>
      <c r="AI18">
        <v>0</v>
      </c>
    </row>
    <row r="19" spans="1:41" x14ac:dyDescent="0.3">
      <c r="A19" s="12" t="s">
        <v>19</v>
      </c>
      <c r="B19" s="27"/>
      <c r="C19" s="168"/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79"/>
      <c r="Q19" s="13">
        <v>0</v>
      </c>
      <c r="R19" s="13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76">
        <v>0</v>
      </c>
      <c r="AA19" s="76">
        <v>0</v>
      </c>
      <c r="AB19" s="76">
        <v>0</v>
      </c>
      <c r="AC19" s="76">
        <v>0</v>
      </c>
      <c r="AD19" s="76">
        <v>0</v>
      </c>
      <c r="AE19" s="76">
        <v>0</v>
      </c>
      <c r="AF19" s="76">
        <v>0</v>
      </c>
      <c r="AG19" s="230">
        <v>0</v>
      </c>
      <c r="AH19" s="230">
        <v>0</v>
      </c>
      <c r="AI19">
        <v>0</v>
      </c>
    </row>
    <row r="20" spans="1:41" x14ac:dyDescent="0.3">
      <c r="A20" s="12" t="s">
        <v>20</v>
      </c>
      <c r="B20" s="27"/>
      <c r="C20" s="154"/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79"/>
      <c r="Q20" s="13">
        <v>0</v>
      </c>
      <c r="R20" s="13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76">
        <v>0</v>
      </c>
      <c r="AA20" s="76">
        <v>0</v>
      </c>
      <c r="AB20" s="76">
        <v>0</v>
      </c>
      <c r="AC20" s="76">
        <v>0</v>
      </c>
      <c r="AD20" s="76">
        <v>0</v>
      </c>
      <c r="AE20" s="76">
        <v>0</v>
      </c>
      <c r="AF20" s="76">
        <v>0</v>
      </c>
      <c r="AG20" s="230">
        <v>0</v>
      </c>
      <c r="AH20" s="230">
        <v>0</v>
      </c>
      <c r="AI20">
        <v>0</v>
      </c>
    </row>
    <row r="21" spans="1:41" x14ac:dyDescent="0.3">
      <c r="A21" s="11" t="s">
        <v>21</v>
      </c>
      <c r="B21" s="70">
        <f t="shared" ref="B21:H21" si="15">SUM(B22:B26)</f>
        <v>4874587</v>
      </c>
      <c r="C21" s="70">
        <f t="shared" si="15"/>
        <v>14341369</v>
      </c>
      <c r="D21" s="70">
        <f t="shared" si="15"/>
        <v>16586304</v>
      </c>
      <c r="E21" s="70">
        <f t="shared" si="15"/>
        <v>15545404</v>
      </c>
      <c r="F21" s="70">
        <f t="shared" si="15"/>
        <v>16915536</v>
      </c>
      <c r="G21" s="70">
        <f t="shared" si="15"/>
        <v>15915536</v>
      </c>
      <c r="H21" s="70">
        <f t="shared" si="15"/>
        <v>17664687</v>
      </c>
      <c r="I21" s="70">
        <f t="shared" ref="I21:AB21" si="16">SUM(I22:I26)</f>
        <v>17664687</v>
      </c>
      <c r="J21" s="70">
        <f t="shared" si="16"/>
        <v>19606447</v>
      </c>
      <c r="K21" s="70">
        <f t="shared" si="16"/>
        <v>22017296</v>
      </c>
      <c r="L21" s="70">
        <f t="shared" si="16"/>
        <v>19036779</v>
      </c>
      <c r="M21" s="70">
        <f t="shared" si="16"/>
        <v>21026370</v>
      </c>
      <c r="N21" s="70">
        <f t="shared" si="16"/>
        <v>31577814</v>
      </c>
      <c r="O21" s="70">
        <f t="shared" si="16"/>
        <v>13812113</v>
      </c>
      <c r="P21" s="70">
        <f t="shared" si="16"/>
        <v>13812113</v>
      </c>
      <c r="Q21" s="70">
        <f t="shared" si="16"/>
        <v>18481225</v>
      </c>
      <c r="R21" s="70">
        <f t="shared" si="16"/>
        <v>17898449</v>
      </c>
      <c r="S21" s="70">
        <f t="shared" si="16"/>
        <v>30478639</v>
      </c>
      <c r="T21" s="70">
        <f t="shared" si="16"/>
        <v>30478639</v>
      </c>
      <c r="U21" s="70">
        <f t="shared" si="16"/>
        <v>33026408</v>
      </c>
      <c r="V21" s="70">
        <f t="shared" si="16"/>
        <v>23835393</v>
      </c>
      <c r="W21" s="70">
        <f t="shared" si="16"/>
        <v>33272404</v>
      </c>
      <c r="X21" s="70">
        <f t="shared" si="16"/>
        <v>33272403</v>
      </c>
      <c r="Y21" s="70">
        <f t="shared" si="16"/>
        <v>24285695</v>
      </c>
      <c r="Z21" s="70">
        <f t="shared" si="16"/>
        <v>24285695</v>
      </c>
      <c r="AA21" s="70">
        <f t="shared" si="16"/>
        <v>24285695</v>
      </c>
      <c r="AB21" s="70">
        <f t="shared" si="16"/>
        <v>22181954</v>
      </c>
      <c r="AC21" s="70">
        <f t="shared" ref="AC21" si="17">SUM(AC22:AC26)</f>
        <v>23317292</v>
      </c>
      <c r="AD21" s="70">
        <f t="shared" ref="AD21:AO21" si="18">SUM(AD22:AD26)</f>
        <v>46232495</v>
      </c>
      <c r="AE21" s="70">
        <f t="shared" si="18"/>
        <v>46232495</v>
      </c>
      <c r="AF21" s="70">
        <f t="shared" si="18"/>
        <v>34397685</v>
      </c>
      <c r="AG21" s="232">
        <f t="shared" si="18"/>
        <v>46232495</v>
      </c>
      <c r="AH21" s="232">
        <f t="shared" si="18"/>
        <v>46232495</v>
      </c>
      <c r="AI21" s="70">
        <f t="shared" si="18"/>
        <v>23143686</v>
      </c>
      <c r="AJ21" s="70">
        <f t="shared" si="18"/>
        <v>0</v>
      </c>
      <c r="AK21" s="70">
        <f t="shared" si="18"/>
        <v>0</v>
      </c>
      <c r="AL21" s="70">
        <f t="shared" si="18"/>
        <v>0</v>
      </c>
      <c r="AM21" s="70">
        <f t="shared" si="18"/>
        <v>0</v>
      </c>
      <c r="AN21" s="70">
        <f t="shared" si="18"/>
        <v>0</v>
      </c>
      <c r="AO21" s="70">
        <f t="shared" si="18"/>
        <v>0</v>
      </c>
    </row>
    <row r="22" spans="1:41" x14ac:dyDescent="0.3">
      <c r="A22" s="12" t="s">
        <v>22</v>
      </c>
      <c r="B22" s="27"/>
      <c r="C22" s="168"/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79"/>
      <c r="Q22" s="13">
        <v>0</v>
      </c>
      <c r="R22" s="13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76">
        <v>0</v>
      </c>
      <c r="AA22" s="76">
        <v>0</v>
      </c>
      <c r="AB22" s="76">
        <v>0</v>
      </c>
      <c r="AC22" s="76">
        <v>0</v>
      </c>
      <c r="AD22" s="76">
        <v>0</v>
      </c>
      <c r="AE22" s="76">
        <v>0</v>
      </c>
      <c r="AF22" s="76">
        <v>0</v>
      </c>
      <c r="AG22" s="230">
        <v>0</v>
      </c>
      <c r="AH22" s="230">
        <v>0</v>
      </c>
      <c r="AI22">
        <v>0</v>
      </c>
    </row>
    <row r="23" spans="1:41" x14ac:dyDescent="0.3">
      <c r="A23" s="12" t="s">
        <v>23</v>
      </c>
      <c r="B23" s="27">
        <v>4123114</v>
      </c>
      <c r="C23" s="168">
        <v>13929886</v>
      </c>
      <c r="D23" s="13">
        <v>13929887</v>
      </c>
      <c r="E23" s="13">
        <v>13929887</v>
      </c>
      <c r="F23" s="13">
        <v>13929887</v>
      </c>
      <c r="G23" s="13">
        <v>13929887</v>
      </c>
      <c r="H23" s="13">
        <v>13929887</v>
      </c>
      <c r="I23" s="13">
        <v>13929887</v>
      </c>
      <c r="J23" s="13">
        <v>13929887</v>
      </c>
      <c r="K23" s="13">
        <v>13929887</v>
      </c>
      <c r="L23" s="13">
        <v>13929887</v>
      </c>
      <c r="M23" s="13">
        <v>13929887</v>
      </c>
      <c r="N23" s="13">
        <v>13929887</v>
      </c>
      <c r="O23" s="13">
        <v>13342075</v>
      </c>
      <c r="P23" s="181">
        <v>13342075</v>
      </c>
      <c r="Q23" s="13">
        <v>13342074</v>
      </c>
      <c r="R23" s="13">
        <v>13342075</v>
      </c>
      <c r="S23" s="76">
        <v>13342074</v>
      </c>
      <c r="T23" s="76">
        <v>13342074</v>
      </c>
      <c r="U23" s="76">
        <v>13342074</v>
      </c>
      <c r="V23" s="76">
        <v>13342074</v>
      </c>
      <c r="W23" s="76">
        <v>13342075</v>
      </c>
      <c r="X23" s="76">
        <v>13342074</v>
      </c>
      <c r="Y23" s="76">
        <v>13342074</v>
      </c>
      <c r="Z23" s="76">
        <v>13342074</v>
      </c>
      <c r="AA23" s="76">
        <v>13342074</v>
      </c>
      <c r="AB23" s="76">
        <v>14463787</v>
      </c>
      <c r="AC23" s="76">
        <v>18183924</v>
      </c>
      <c r="AD23" s="76">
        <v>18183924</v>
      </c>
      <c r="AE23" s="76">
        <v>18183924</v>
      </c>
      <c r="AF23" s="76">
        <v>18183924</v>
      </c>
      <c r="AG23" s="230">
        <v>18183924</v>
      </c>
      <c r="AH23" s="230">
        <v>18183924</v>
      </c>
      <c r="AI23">
        <v>18183924</v>
      </c>
    </row>
    <row r="24" spans="1:41" x14ac:dyDescent="0.3">
      <c r="A24" s="12" t="s">
        <v>24</v>
      </c>
      <c r="B24" s="27">
        <v>0</v>
      </c>
      <c r="C24" s="168"/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79"/>
      <c r="Q24" s="13">
        <v>0</v>
      </c>
      <c r="R24" s="13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76">
        <v>0</v>
      </c>
      <c r="AA24" s="76">
        <v>0</v>
      </c>
      <c r="AB24" s="76">
        <v>0</v>
      </c>
      <c r="AC24" s="76">
        <v>0</v>
      </c>
      <c r="AD24" s="76">
        <v>0</v>
      </c>
      <c r="AE24" s="76">
        <v>0</v>
      </c>
      <c r="AF24" s="76">
        <v>0</v>
      </c>
      <c r="AG24" s="230">
        <v>0</v>
      </c>
      <c r="AH24" s="230">
        <v>0</v>
      </c>
      <c r="AI24">
        <v>0</v>
      </c>
    </row>
    <row r="25" spans="1:41" x14ac:dyDescent="0.3">
      <c r="A25" s="12" t="s">
        <v>25</v>
      </c>
      <c r="B25" s="27">
        <v>751473</v>
      </c>
      <c r="C25" s="168">
        <v>411483</v>
      </c>
      <c r="D25" s="13">
        <v>411483</v>
      </c>
      <c r="E25" s="13">
        <v>411483</v>
      </c>
      <c r="F25" s="13">
        <v>411483</v>
      </c>
      <c r="G25" s="13">
        <v>411483</v>
      </c>
      <c r="H25" s="13">
        <v>411483</v>
      </c>
      <c r="I25" s="13">
        <v>411483</v>
      </c>
      <c r="J25" s="13">
        <v>411483</v>
      </c>
      <c r="K25" s="13">
        <v>411483</v>
      </c>
      <c r="L25" s="13">
        <v>411483</v>
      </c>
      <c r="M25" s="13">
        <v>411483</v>
      </c>
      <c r="N25" s="13">
        <v>411483</v>
      </c>
      <c r="O25" s="13">
        <v>470038</v>
      </c>
      <c r="P25" s="181">
        <v>470038</v>
      </c>
      <c r="Q25" s="13">
        <v>470038</v>
      </c>
      <c r="R25" s="13">
        <v>470038</v>
      </c>
      <c r="S25" s="76">
        <v>470038</v>
      </c>
      <c r="T25" s="76">
        <v>470038</v>
      </c>
      <c r="U25" s="76">
        <v>470038</v>
      </c>
      <c r="V25" s="76">
        <v>470038</v>
      </c>
      <c r="W25" s="76">
        <v>470038</v>
      </c>
      <c r="X25" s="76">
        <v>470038</v>
      </c>
      <c r="Y25" s="76">
        <v>470038</v>
      </c>
      <c r="Z25" s="76">
        <v>470038</v>
      </c>
      <c r="AA25" s="76">
        <v>470038</v>
      </c>
      <c r="AB25" s="76">
        <v>470038</v>
      </c>
      <c r="AC25" s="76">
        <v>343727</v>
      </c>
      <c r="AD25" s="76">
        <v>343727</v>
      </c>
      <c r="AE25" s="76">
        <v>343727</v>
      </c>
      <c r="AF25" s="76">
        <v>343727</v>
      </c>
      <c r="AG25" s="230">
        <v>343727</v>
      </c>
      <c r="AH25" s="230">
        <v>343727</v>
      </c>
      <c r="AI25">
        <v>343727</v>
      </c>
    </row>
    <row r="26" spans="1:41" x14ac:dyDescent="0.3">
      <c r="A26" s="12" t="s">
        <v>26</v>
      </c>
      <c r="B26" s="27"/>
      <c r="C26" s="168"/>
      <c r="D26" s="13">
        <v>2244934</v>
      </c>
      <c r="E26" s="13">
        <v>1204034</v>
      </c>
      <c r="F26" s="13">
        <v>2574166</v>
      </c>
      <c r="G26" s="13">
        <v>1574166</v>
      </c>
      <c r="H26" s="13">
        <v>3323317</v>
      </c>
      <c r="I26" s="13">
        <v>3323317</v>
      </c>
      <c r="J26" s="13">
        <v>5265077</v>
      </c>
      <c r="K26" s="13">
        <v>7675926</v>
      </c>
      <c r="L26" s="13">
        <v>4695409</v>
      </c>
      <c r="M26" s="13">
        <v>6685000</v>
      </c>
      <c r="N26" s="13">
        <v>17236444</v>
      </c>
      <c r="O26" s="13">
        <v>0</v>
      </c>
      <c r="P26" s="179"/>
      <c r="Q26" s="13">
        <v>4669113</v>
      </c>
      <c r="R26" s="13">
        <v>4086336</v>
      </c>
      <c r="S26" s="76">
        <v>16666527</v>
      </c>
      <c r="T26" s="76">
        <v>16666527</v>
      </c>
      <c r="U26" s="76">
        <v>19214296</v>
      </c>
      <c r="V26" s="76">
        <v>10023281</v>
      </c>
      <c r="W26" s="76">
        <v>19460291</v>
      </c>
      <c r="X26" s="76">
        <v>19460291</v>
      </c>
      <c r="Y26" s="76">
        <v>10473583</v>
      </c>
      <c r="Z26" s="76">
        <v>10473583</v>
      </c>
      <c r="AA26" s="76">
        <v>10473583</v>
      </c>
      <c r="AB26" s="76">
        <v>7248129</v>
      </c>
      <c r="AC26" s="76">
        <v>4789641</v>
      </c>
      <c r="AD26" s="76">
        <v>27704844</v>
      </c>
      <c r="AE26" s="76">
        <v>27704844</v>
      </c>
      <c r="AF26" s="76">
        <v>15870034</v>
      </c>
      <c r="AG26" s="230">
        <v>27704844</v>
      </c>
      <c r="AH26" s="230">
        <v>27704844</v>
      </c>
      <c r="AI26">
        <v>4616035</v>
      </c>
    </row>
    <row r="27" spans="1:41" x14ac:dyDescent="0.3">
      <c r="A27" s="11" t="s">
        <v>27</v>
      </c>
      <c r="B27" s="70">
        <f t="shared" ref="B27:AC27" si="19">B21+B17+B14+B8+B7+B4</f>
        <v>151015729</v>
      </c>
      <c r="C27" s="70">
        <f t="shared" si="19"/>
        <v>773058894</v>
      </c>
      <c r="D27" s="70">
        <f t="shared" si="19"/>
        <v>779557496</v>
      </c>
      <c r="E27" s="70">
        <f t="shared" si="19"/>
        <v>796286363</v>
      </c>
      <c r="F27" s="70">
        <f t="shared" si="19"/>
        <v>762959082</v>
      </c>
      <c r="G27" s="70">
        <f t="shared" si="19"/>
        <v>738601284</v>
      </c>
      <c r="H27" s="70">
        <f t="shared" si="19"/>
        <v>698059045</v>
      </c>
      <c r="I27" s="70">
        <f t="shared" si="19"/>
        <v>697109865.41999996</v>
      </c>
      <c r="J27" s="70">
        <f t="shared" si="19"/>
        <v>692119715</v>
      </c>
      <c r="K27" s="70">
        <f t="shared" si="19"/>
        <v>692854608</v>
      </c>
      <c r="L27" s="70">
        <f t="shared" si="19"/>
        <v>700925070</v>
      </c>
      <c r="M27" s="70">
        <f t="shared" si="19"/>
        <v>825596822</v>
      </c>
      <c r="N27" s="70">
        <f t="shared" si="19"/>
        <v>785363888</v>
      </c>
      <c r="O27" s="70">
        <f t="shared" si="19"/>
        <v>769434802</v>
      </c>
      <c r="P27" s="70">
        <f t="shared" si="19"/>
        <v>768849005</v>
      </c>
      <c r="Q27" s="70">
        <f t="shared" si="19"/>
        <v>779428209</v>
      </c>
      <c r="R27" s="70">
        <f t="shared" si="19"/>
        <v>782374151</v>
      </c>
      <c r="S27" s="70">
        <f t="shared" si="19"/>
        <v>777663107</v>
      </c>
      <c r="T27" s="70">
        <f t="shared" si="19"/>
        <v>812140668</v>
      </c>
      <c r="U27" s="70">
        <f t="shared" si="19"/>
        <v>817383593</v>
      </c>
      <c r="V27" s="70">
        <f t="shared" si="19"/>
        <v>813020667</v>
      </c>
      <c r="W27" s="70">
        <f t="shared" si="19"/>
        <v>987395378</v>
      </c>
      <c r="X27" s="70">
        <f t="shared" si="19"/>
        <v>954650525</v>
      </c>
      <c r="Y27" s="70">
        <f t="shared" si="19"/>
        <v>922808351</v>
      </c>
      <c r="Z27" s="70">
        <f t="shared" si="19"/>
        <v>908537119</v>
      </c>
      <c r="AA27" s="70">
        <f t="shared" si="19"/>
        <v>901980260</v>
      </c>
      <c r="AB27" s="70">
        <f t="shared" si="19"/>
        <v>895553220</v>
      </c>
      <c r="AC27" s="70">
        <f t="shared" si="19"/>
        <v>902893814</v>
      </c>
      <c r="AD27" s="70">
        <f t="shared" ref="AD27:AO27" si="20">AD21+AD17+AD14+AD8+AD7+AD4</f>
        <v>904245257</v>
      </c>
      <c r="AE27" s="70">
        <f t="shared" si="20"/>
        <v>909688422</v>
      </c>
      <c r="AF27" s="70">
        <f t="shared" si="20"/>
        <v>919523421</v>
      </c>
      <c r="AG27" s="232">
        <f t="shared" si="20"/>
        <v>902383045</v>
      </c>
      <c r="AH27" s="232">
        <f t="shared" si="20"/>
        <v>912354948</v>
      </c>
      <c r="AI27" s="70">
        <f t="shared" si="20"/>
        <v>940638888</v>
      </c>
      <c r="AJ27" s="70">
        <f t="shared" si="20"/>
        <v>0</v>
      </c>
      <c r="AK27" s="70">
        <f t="shared" si="20"/>
        <v>0</v>
      </c>
      <c r="AL27" s="70">
        <f t="shared" si="20"/>
        <v>0</v>
      </c>
      <c r="AM27" s="70">
        <f t="shared" si="20"/>
        <v>0</v>
      </c>
      <c r="AN27" s="70">
        <f t="shared" si="20"/>
        <v>0</v>
      </c>
      <c r="AO27" s="70">
        <f t="shared" si="20"/>
        <v>0</v>
      </c>
    </row>
    <row r="28" spans="1:41" x14ac:dyDescent="0.3">
      <c r="A28" s="12" t="s">
        <v>28</v>
      </c>
      <c r="B28" s="27">
        <v>8112861</v>
      </c>
      <c r="C28" s="168">
        <v>417162829</v>
      </c>
      <c r="D28" s="13">
        <v>231857578</v>
      </c>
      <c r="E28" s="13">
        <v>229648701</v>
      </c>
      <c r="F28" s="13">
        <v>177997753</v>
      </c>
      <c r="G28" s="13">
        <v>117562001</v>
      </c>
      <c r="H28" s="13">
        <v>89323514</v>
      </c>
      <c r="I28" s="13">
        <v>78357806</v>
      </c>
      <c r="J28" s="13">
        <v>69379943</v>
      </c>
      <c r="K28" s="13">
        <v>74367353</v>
      </c>
      <c r="L28" s="13">
        <v>80072655</v>
      </c>
      <c r="M28" s="13">
        <v>176480245</v>
      </c>
      <c r="N28" s="13">
        <v>132255721</v>
      </c>
      <c r="O28" s="13">
        <v>115650681</v>
      </c>
      <c r="P28" s="179">
        <v>111884960</v>
      </c>
      <c r="Q28" s="13">
        <v>111384499</v>
      </c>
      <c r="R28" s="13">
        <v>109193930</v>
      </c>
      <c r="S28" s="76">
        <v>101588304</v>
      </c>
      <c r="T28" s="76">
        <v>115839712</v>
      </c>
      <c r="U28" s="76">
        <v>106899491</v>
      </c>
      <c r="V28" s="76">
        <v>98528350</v>
      </c>
      <c r="W28" s="76">
        <v>243357988</v>
      </c>
      <c r="X28" s="76">
        <v>194783142</v>
      </c>
      <c r="Y28" s="76">
        <v>164073613</v>
      </c>
      <c r="Z28" s="76">
        <v>143283961</v>
      </c>
      <c r="AA28" s="76">
        <v>141539250</v>
      </c>
      <c r="AB28" s="76">
        <v>123538735</v>
      </c>
      <c r="AC28" s="76">
        <v>123549662</v>
      </c>
      <c r="AD28" s="76">
        <v>130211376</v>
      </c>
      <c r="AE28" s="76">
        <v>125373572</v>
      </c>
      <c r="AF28" s="76">
        <v>133233726</v>
      </c>
      <c r="AG28" s="230">
        <v>122776559</v>
      </c>
      <c r="AH28" s="230">
        <v>112078489</v>
      </c>
      <c r="AI28">
        <v>114091527</v>
      </c>
    </row>
    <row r="29" spans="1:41" x14ac:dyDescent="0.3">
      <c r="A29" s="12" t="s">
        <v>29</v>
      </c>
      <c r="B29" s="27">
        <v>8350444</v>
      </c>
      <c r="C29" s="168"/>
      <c r="D29" s="13">
        <v>7640525</v>
      </c>
      <c r="E29" s="13">
        <v>6520000</v>
      </c>
      <c r="F29" s="13">
        <v>9330078</v>
      </c>
      <c r="G29" s="13">
        <v>12100078</v>
      </c>
      <c r="H29" s="13">
        <v>7911500</v>
      </c>
      <c r="I29" s="13">
        <v>11547125</v>
      </c>
      <c r="J29" s="13">
        <v>10422200</v>
      </c>
      <c r="K29" s="13">
        <v>10280600</v>
      </c>
      <c r="L29" s="13">
        <v>6562400</v>
      </c>
      <c r="M29" s="13">
        <v>8705925</v>
      </c>
      <c r="N29" s="13">
        <v>8777425</v>
      </c>
      <c r="O29" s="13">
        <v>8674425</v>
      </c>
      <c r="P29" s="179">
        <v>8674425</v>
      </c>
      <c r="Q29" s="13">
        <v>7040025</v>
      </c>
      <c r="R29" s="13">
        <v>7040025</v>
      </c>
      <c r="S29" s="76">
        <v>5756125</v>
      </c>
      <c r="T29" s="76">
        <v>6901425</v>
      </c>
      <c r="U29" s="76">
        <v>3759625</v>
      </c>
      <c r="V29" s="76">
        <v>5310000</v>
      </c>
      <c r="W29" s="76">
        <v>5310000</v>
      </c>
      <c r="X29" s="76">
        <v>8427000</v>
      </c>
      <c r="Y29" s="76">
        <v>11041000</v>
      </c>
      <c r="Z29" s="76">
        <v>12696800</v>
      </c>
      <c r="AA29" s="76">
        <v>11163325</v>
      </c>
      <c r="AB29" s="76">
        <v>12468325</v>
      </c>
      <c r="AC29" s="76">
        <v>12468325</v>
      </c>
      <c r="AD29" s="76">
        <v>12562825</v>
      </c>
      <c r="AE29" s="76">
        <v>13605825</v>
      </c>
      <c r="AF29" s="76">
        <v>11598625</v>
      </c>
      <c r="AG29" s="230">
        <v>12848625</v>
      </c>
      <c r="AH29" s="230">
        <v>14237620</v>
      </c>
      <c r="AI29">
        <v>14109120</v>
      </c>
    </row>
    <row r="30" spans="1:41" x14ac:dyDescent="0.3">
      <c r="A30" s="12" t="s">
        <v>30</v>
      </c>
      <c r="B30" s="27">
        <v>112140909</v>
      </c>
      <c r="C30" s="168"/>
      <c r="D30" s="13">
        <v>202175362</v>
      </c>
      <c r="E30" s="13">
        <v>212892161</v>
      </c>
      <c r="F30" s="13">
        <v>210439250</v>
      </c>
      <c r="G30" s="13">
        <v>214664550</v>
      </c>
      <c r="H30" s="13">
        <v>218244629</v>
      </c>
      <c r="I30" s="13">
        <v>223052827</v>
      </c>
      <c r="J30" s="13">
        <v>226286299</v>
      </c>
      <c r="K30" s="13">
        <v>226395385</v>
      </c>
      <c r="L30" s="13">
        <v>221262473</v>
      </c>
      <c r="M30" s="13">
        <v>224452536</v>
      </c>
      <c r="N30" s="13">
        <v>231484607</v>
      </c>
      <c r="O30" s="13">
        <v>236671325</v>
      </c>
      <c r="P30" s="179">
        <v>236671325</v>
      </c>
      <c r="Q30" s="13">
        <v>240688808</v>
      </c>
      <c r="R30" s="13">
        <v>242681313</v>
      </c>
      <c r="S30" s="76">
        <v>245274436</v>
      </c>
      <c r="T30" s="76">
        <v>249945160</v>
      </c>
      <c r="U30" s="76">
        <v>253770648</v>
      </c>
      <c r="V30" s="76">
        <v>256399465</v>
      </c>
      <c r="W30" s="76">
        <v>260667240</v>
      </c>
      <c r="X30" s="76">
        <v>263479539</v>
      </c>
      <c r="Y30" s="76">
        <v>266728664</v>
      </c>
      <c r="Z30" s="76">
        <v>268829096</v>
      </c>
      <c r="AA30" s="76">
        <v>271197041</v>
      </c>
      <c r="AB30" s="76">
        <v>274173279</v>
      </c>
      <c r="AC30" s="76">
        <v>274173279</v>
      </c>
      <c r="AD30" s="76">
        <v>279485749</v>
      </c>
      <c r="AE30" s="76">
        <v>283197560</v>
      </c>
      <c r="AF30" s="76">
        <v>286982955</v>
      </c>
      <c r="AG30" s="230">
        <v>289770963</v>
      </c>
      <c r="AH30" s="230">
        <v>289770963</v>
      </c>
      <c r="AI30">
        <v>295543488</v>
      </c>
    </row>
    <row r="31" spans="1:41" x14ac:dyDescent="0.3">
      <c r="A31" s="11" t="s">
        <v>31</v>
      </c>
      <c r="B31" s="70">
        <f t="shared" ref="B31:AB31" si="21">SUM(B28:B30)</f>
        <v>128604214</v>
      </c>
      <c r="C31" s="70">
        <f t="shared" si="21"/>
        <v>417162829</v>
      </c>
      <c r="D31" s="70">
        <f t="shared" si="21"/>
        <v>441673465</v>
      </c>
      <c r="E31" s="70">
        <f t="shared" si="21"/>
        <v>449060862</v>
      </c>
      <c r="F31" s="70">
        <f t="shared" si="21"/>
        <v>397767081</v>
      </c>
      <c r="G31" s="70">
        <f t="shared" si="21"/>
        <v>344326629</v>
      </c>
      <c r="H31" s="70">
        <f t="shared" si="21"/>
        <v>315479643</v>
      </c>
      <c r="I31" s="70">
        <f t="shared" si="21"/>
        <v>312957758</v>
      </c>
      <c r="J31" s="70">
        <f t="shared" si="21"/>
        <v>306088442</v>
      </c>
      <c r="K31" s="70">
        <f t="shared" si="21"/>
        <v>311043338</v>
      </c>
      <c r="L31" s="70">
        <f t="shared" si="21"/>
        <v>307897528</v>
      </c>
      <c r="M31" s="70">
        <f t="shared" si="21"/>
        <v>409638706</v>
      </c>
      <c r="N31" s="70">
        <f t="shared" si="21"/>
        <v>372517753</v>
      </c>
      <c r="O31" s="70">
        <f t="shared" si="21"/>
        <v>360996431</v>
      </c>
      <c r="P31" s="70">
        <f t="shared" si="21"/>
        <v>357230710</v>
      </c>
      <c r="Q31" s="70">
        <f t="shared" si="21"/>
        <v>359113332</v>
      </c>
      <c r="R31" s="70">
        <f t="shared" si="21"/>
        <v>358915268</v>
      </c>
      <c r="S31" s="70">
        <f t="shared" si="21"/>
        <v>352618865</v>
      </c>
      <c r="T31" s="70">
        <f t="shared" si="21"/>
        <v>372686297</v>
      </c>
      <c r="U31" s="70">
        <f t="shared" si="21"/>
        <v>364429764</v>
      </c>
      <c r="V31" s="70">
        <f t="shared" si="21"/>
        <v>360237815</v>
      </c>
      <c r="W31" s="70">
        <f t="shared" si="21"/>
        <v>509335228</v>
      </c>
      <c r="X31" s="70">
        <f t="shared" si="21"/>
        <v>466689681</v>
      </c>
      <c r="Y31" s="70">
        <f t="shared" si="21"/>
        <v>441843277</v>
      </c>
      <c r="Z31" s="70">
        <f t="shared" si="21"/>
        <v>424809857</v>
      </c>
      <c r="AA31" s="70">
        <f t="shared" si="21"/>
        <v>423899616</v>
      </c>
      <c r="AB31" s="70">
        <f t="shared" si="21"/>
        <v>410180339</v>
      </c>
      <c r="AC31" s="70">
        <f t="shared" ref="AC31" si="22">SUM(AC28:AC30)</f>
        <v>410191266</v>
      </c>
      <c r="AD31" s="70">
        <f t="shared" ref="AD31:AO31" si="23">SUM(AD28:AD30)</f>
        <v>422259950</v>
      </c>
      <c r="AE31" s="70">
        <f t="shared" si="23"/>
        <v>422176957</v>
      </c>
      <c r="AF31" s="70">
        <f t="shared" si="23"/>
        <v>431815306</v>
      </c>
      <c r="AG31" s="232">
        <f t="shared" si="23"/>
        <v>425396147</v>
      </c>
      <c r="AH31" s="232">
        <f t="shared" si="23"/>
        <v>416087072</v>
      </c>
      <c r="AI31" s="70">
        <f t="shared" si="23"/>
        <v>423744135</v>
      </c>
      <c r="AJ31" s="70">
        <f t="shared" si="23"/>
        <v>0</v>
      </c>
      <c r="AK31" s="70">
        <f t="shared" si="23"/>
        <v>0</v>
      </c>
      <c r="AL31" s="70">
        <f t="shared" si="23"/>
        <v>0</v>
      </c>
      <c r="AM31" s="70">
        <f t="shared" si="23"/>
        <v>0</v>
      </c>
      <c r="AN31" s="70">
        <f t="shared" si="23"/>
        <v>0</v>
      </c>
      <c r="AO31" s="70">
        <f t="shared" si="23"/>
        <v>0</v>
      </c>
    </row>
    <row r="32" spans="1:41" x14ac:dyDescent="0.3">
      <c r="A32" s="12" t="s">
        <v>32</v>
      </c>
      <c r="B32" s="27">
        <v>27231</v>
      </c>
      <c r="C32" s="154"/>
      <c r="D32" s="13">
        <v>0</v>
      </c>
      <c r="E32" s="13">
        <v>0</v>
      </c>
      <c r="F32" s="13">
        <v>0</v>
      </c>
      <c r="G32" s="13">
        <v>348330</v>
      </c>
      <c r="H32" s="13">
        <v>0</v>
      </c>
      <c r="I32" s="13">
        <v>348500</v>
      </c>
      <c r="J32" s="13">
        <v>348500</v>
      </c>
      <c r="K32" s="13">
        <v>348500</v>
      </c>
      <c r="L32" s="13">
        <v>510314</v>
      </c>
      <c r="M32" s="13">
        <v>1074937</v>
      </c>
      <c r="N32" s="13">
        <v>1074937</v>
      </c>
      <c r="O32" s="13">
        <v>0</v>
      </c>
      <c r="P32" s="179"/>
      <c r="Q32" s="13">
        <v>646992</v>
      </c>
      <c r="R32" s="13">
        <v>644861</v>
      </c>
      <c r="S32" s="76">
        <v>533603</v>
      </c>
      <c r="T32" s="76">
        <v>1051195</v>
      </c>
      <c r="U32" s="76">
        <v>701327</v>
      </c>
      <c r="V32" s="76">
        <v>697627</v>
      </c>
      <c r="W32" s="76">
        <v>697627</v>
      </c>
      <c r="X32" s="76">
        <v>1119955</v>
      </c>
      <c r="Y32" s="76">
        <v>565709</v>
      </c>
      <c r="Z32" s="76">
        <v>1177100</v>
      </c>
      <c r="AA32" s="76">
        <v>526761</v>
      </c>
      <c r="AB32" s="76">
        <v>0</v>
      </c>
      <c r="AC32" s="76">
        <v>0</v>
      </c>
      <c r="AD32" s="76">
        <v>612374</v>
      </c>
      <c r="AE32" s="76">
        <v>1847529</v>
      </c>
      <c r="AF32" s="76">
        <v>612374</v>
      </c>
      <c r="AG32" s="230">
        <v>1031023</v>
      </c>
      <c r="AH32" s="230">
        <v>974182</v>
      </c>
      <c r="AI32">
        <v>984631</v>
      </c>
    </row>
    <row r="33" spans="1:41" x14ac:dyDescent="0.3">
      <c r="A33" s="12" t="s">
        <v>33</v>
      </c>
      <c r="B33" s="27">
        <v>3618123</v>
      </c>
      <c r="C33" s="154">
        <v>3000000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79">
        <v>3000000</v>
      </c>
      <c r="Q33" s="13">
        <v>0</v>
      </c>
      <c r="R33" s="1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76">
        <v>0</v>
      </c>
      <c r="AA33" s="76">
        <v>0</v>
      </c>
      <c r="AB33" s="76">
        <v>0</v>
      </c>
      <c r="AC33" s="76">
        <v>6186195</v>
      </c>
      <c r="AD33" s="76">
        <v>0</v>
      </c>
      <c r="AE33" s="76">
        <v>0</v>
      </c>
      <c r="AF33" s="76">
        <v>0</v>
      </c>
      <c r="AG33" s="230">
        <v>0</v>
      </c>
      <c r="AH33" s="230">
        <v>0</v>
      </c>
      <c r="AI33">
        <v>0</v>
      </c>
    </row>
    <row r="34" spans="1:41" x14ac:dyDescent="0.3">
      <c r="A34" s="12" t="s">
        <v>34</v>
      </c>
      <c r="B34" s="27"/>
      <c r="C34" s="154"/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79"/>
      <c r="Q34" s="13">
        <v>0</v>
      </c>
      <c r="R34" s="13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6">
        <v>0</v>
      </c>
      <c r="AG34" s="230">
        <v>0</v>
      </c>
      <c r="AH34" s="230">
        <v>0</v>
      </c>
      <c r="AI34">
        <v>0</v>
      </c>
    </row>
    <row r="35" spans="1:41" x14ac:dyDescent="0.3">
      <c r="A35" s="12" t="s">
        <v>35</v>
      </c>
      <c r="B35" s="27"/>
      <c r="C35" s="154"/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79"/>
      <c r="Q35" s="13">
        <v>0</v>
      </c>
      <c r="R35" s="13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230">
        <v>0</v>
      </c>
      <c r="AH35" s="230">
        <v>0</v>
      </c>
      <c r="AI35">
        <v>0</v>
      </c>
    </row>
    <row r="36" spans="1:41" x14ac:dyDescent="0.3">
      <c r="A36" s="12" t="s">
        <v>36</v>
      </c>
      <c r="B36" s="27">
        <v>1214920</v>
      </c>
      <c r="C36" s="168">
        <f>450674088-C33-C28</f>
        <v>30511259</v>
      </c>
      <c r="D36" s="13">
        <v>17698129</v>
      </c>
      <c r="E36" s="13">
        <v>27559387</v>
      </c>
      <c r="F36" s="13">
        <v>41391640</v>
      </c>
      <c r="G36" s="13">
        <v>58187204</v>
      </c>
      <c r="H36" s="13">
        <v>35421347</v>
      </c>
      <c r="I36" s="13">
        <v>36028307</v>
      </c>
      <c r="J36" s="13">
        <v>40037364</v>
      </c>
      <c r="K36" s="13">
        <v>35037364</v>
      </c>
      <c r="L36" s="13">
        <v>35049958</v>
      </c>
      <c r="M36" s="13">
        <v>52631188</v>
      </c>
      <c r="N36" s="13">
        <v>43521075</v>
      </c>
      <c r="O36" s="13">
        <v>54878851</v>
      </c>
      <c r="P36" s="179">
        <f>1699875+360000+53466886</f>
        <v>55526761</v>
      </c>
      <c r="Q36" s="13">
        <v>58482251</v>
      </c>
      <c r="R36" s="13">
        <v>57835259</v>
      </c>
      <c r="S36" s="76">
        <v>53693531</v>
      </c>
      <c r="T36" s="76">
        <v>59122317</v>
      </c>
      <c r="U36" s="76">
        <v>63367184</v>
      </c>
      <c r="V36" s="76">
        <v>54884015</v>
      </c>
      <c r="W36" s="76">
        <v>60691900</v>
      </c>
      <c r="X36" s="76">
        <v>73850884</v>
      </c>
      <c r="Y36" s="76">
        <v>63324985</v>
      </c>
      <c r="Z36" s="76">
        <v>63655123</v>
      </c>
      <c r="AA36" s="76">
        <v>64155106</v>
      </c>
      <c r="AB36" s="76">
        <v>66654574</v>
      </c>
      <c r="AC36" s="76">
        <f>78479206+1706242+360000</f>
        <v>80545448</v>
      </c>
      <c r="AD36" s="76">
        <v>63471781</v>
      </c>
      <c r="AE36" s="76">
        <v>61001446</v>
      </c>
      <c r="AF36" s="76">
        <v>62682823</v>
      </c>
      <c r="AG36" s="230">
        <v>61001447</v>
      </c>
      <c r="AH36" s="230">
        <v>70862955</v>
      </c>
      <c r="AI36">
        <v>77850756</v>
      </c>
    </row>
    <row r="37" spans="1:41" x14ac:dyDescent="0.3">
      <c r="A37" s="12" t="s">
        <v>37</v>
      </c>
      <c r="B37" s="27">
        <v>2291669</v>
      </c>
      <c r="C37" s="168"/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79"/>
      <c r="Q37" s="13">
        <v>0</v>
      </c>
      <c r="R37" s="13">
        <v>0</v>
      </c>
      <c r="S37" s="49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 s="76">
        <v>0</v>
      </c>
      <c r="AB37" s="76">
        <v>0</v>
      </c>
      <c r="AC37" s="76">
        <v>0</v>
      </c>
      <c r="AD37" s="76">
        <v>0</v>
      </c>
      <c r="AE37" s="76">
        <v>0</v>
      </c>
      <c r="AF37" s="76">
        <v>0</v>
      </c>
      <c r="AG37" s="230">
        <v>0</v>
      </c>
      <c r="AH37" s="230">
        <v>0</v>
      </c>
      <c r="AI37">
        <v>0</v>
      </c>
    </row>
    <row r="38" spans="1:41" x14ac:dyDescent="0.3">
      <c r="A38" s="11" t="s">
        <v>38</v>
      </c>
      <c r="B38" s="70">
        <f t="shared" ref="B38:K38" si="24">SUM(B31:B37)</f>
        <v>135756157</v>
      </c>
      <c r="C38" s="70">
        <f t="shared" si="24"/>
        <v>450674088</v>
      </c>
      <c r="D38" s="70">
        <f t="shared" si="24"/>
        <v>459371594</v>
      </c>
      <c r="E38" s="70">
        <f t="shared" si="24"/>
        <v>476620249</v>
      </c>
      <c r="F38" s="70">
        <f t="shared" si="24"/>
        <v>439158721</v>
      </c>
      <c r="G38" s="70">
        <f t="shared" si="24"/>
        <v>402862163</v>
      </c>
      <c r="H38" s="70">
        <f t="shared" si="24"/>
        <v>350900990</v>
      </c>
      <c r="I38" s="70">
        <f t="shared" si="24"/>
        <v>349334565</v>
      </c>
      <c r="J38" s="70">
        <f t="shared" si="24"/>
        <v>346474306</v>
      </c>
      <c r="K38" s="70">
        <f t="shared" si="24"/>
        <v>346429202</v>
      </c>
      <c r="L38" s="70">
        <f>SUM(L31:L37)</f>
        <v>343457800</v>
      </c>
      <c r="M38" s="70">
        <f>SUM(M31:M37)</f>
        <v>463344831</v>
      </c>
      <c r="N38" s="70">
        <f>SUM(N31:N37)</f>
        <v>417113765</v>
      </c>
      <c r="O38" s="70">
        <f>SUM(O31:O37)</f>
        <v>415875282</v>
      </c>
      <c r="P38" s="70">
        <f>SUM(P31:P37)</f>
        <v>415757471</v>
      </c>
      <c r="Q38" s="70">
        <f t="shared" ref="Q38:AB38" si="25">SUM(Q31:Q37)</f>
        <v>418242575</v>
      </c>
      <c r="R38" s="70">
        <f t="shared" si="25"/>
        <v>417395388</v>
      </c>
      <c r="S38" s="70">
        <f t="shared" si="25"/>
        <v>406845999</v>
      </c>
      <c r="T38" s="70">
        <f t="shared" si="25"/>
        <v>432859809</v>
      </c>
      <c r="U38" s="70">
        <f t="shared" si="25"/>
        <v>428498275</v>
      </c>
      <c r="V38" s="70">
        <f t="shared" si="25"/>
        <v>415819457</v>
      </c>
      <c r="W38" s="70">
        <f t="shared" si="25"/>
        <v>570724755</v>
      </c>
      <c r="X38" s="70">
        <f t="shared" si="25"/>
        <v>541660520</v>
      </c>
      <c r="Y38" s="70">
        <f t="shared" si="25"/>
        <v>505733971</v>
      </c>
      <c r="Z38" s="70">
        <f t="shared" si="25"/>
        <v>489642080</v>
      </c>
      <c r="AA38" s="70">
        <f t="shared" si="25"/>
        <v>488581483</v>
      </c>
      <c r="AB38" s="70">
        <f t="shared" si="25"/>
        <v>476834913</v>
      </c>
      <c r="AC38" s="70">
        <f t="shared" ref="AC38" si="26">SUM(AC31:AC37)</f>
        <v>496922909</v>
      </c>
      <c r="AD38" s="70">
        <f t="shared" ref="AD38:AO38" si="27">SUM(AD31:AD37)</f>
        <v>486344105</v>
      </c>
      <c r="AE38" s="70">
        <f t="shared" si="27"/>
        <v>485025932</v>
      </c>
      <c r="AF38" s="70">
        <f t="shared" si="27"/>
        <v>495110503</v>
      </c>
      <c r="AG38" s="232">
        <f t="shared" si="27"/>
        <v>487428617</v>
      </c>
      <c r="AH38" s="232">
        <f t="shared" si="27"/>
        <v>487924209</v>
      </c>
      <c r="AI38" s="70">
        <f t="shared" si="27"/>
        <v>502579522</v>
      </c>
      <c r="AJ38" s="70">
        <f t="shared" si="27"/>
        <v>0</v>
      </c>
      <c r="AK38" s="70">
        <f t="shared" si="27"/>
        <v>0</v>
      </c>
      <c r="AL38" s="70">
        <f t="shared" si="27"/>
        <v>0</v>
      </c>
      <c r="AM38" s="70">
        <f t="shared" si="27"/>
        <v>0</v>
      </c>
      <c r="AN38" s="70">
        <f t="shared" si="27"/>
        <v>0</v>
      </c>
      <c r="AO38" s="70">
        <f t="shared" si="27"/>
        <v>0</v>
      </c>
    </row>
    <row r="39" spans="1:41" x14ac:dyDescent="0.3">
      <c r="A39" s="12" t="s">
        <v>39</v>
      </c>
      <c r="B39" s="27">
        <v>10494697</v>
      </c>
      <c r="C39" s="168">
        <v>86891078</v>
      </c>
      <c r="D39" s="13">
        <v>87010295</v>
      </c>
      <c r="E39" s="13">
        <v>87653870</v>
      </c>
      <c r="F39" s="13">
        <v>87985754</v>
      </c>
      <c r="G39" s="13">
        <v>88330956</v>
      </c>
      <c r="H39" s="13">
        <v>60324040</v>
      </c>
      <c r="I39" s="13">
        <v>89133527.689999998</v>
      </c>
      <c r="J39" s="13">
        <v>90252541</v>
      </c>
      <c r="K39" s="13">
        <v>90252541</v>
      </c>
      <c r="L39" s="13">
        <v>98819410</v>
      </c>
      <c r="M39" s="13">
        <v>99715365</v>
      </c>
      <c r="N39" s="13">
        <v>100696507</v>
      </c>
      <c r="O39" s="13">
        <v>103103252</v>
      </c>
      <c r="P39" s="179">
        <v>103103252</v>
      </c>
      <c r="Q39" s="13">
        <v>105860215</v>
      </c>
      <c r="R39" s="13">
        <v>105860214</v>
      </c>
      <c r="S39" s="76">
        <v>105995457</v>
      </c>
      <c r="T39" s="76">
        <v>109181781</v>
      </c>
      <c r="U39" s="76">
        <v>110955643</v>
      </c>
      <c r="V39" s="76">
        <v>112663220</v>
      </c>
      <c r="W39" s="76">
        <v>116817678</v>
      </c>
      <c r="X39" s="76">
        <v>118049351</v>
      </c>
      <c r="Y39" s="76">
        <v>119412990</v>
      </c>
      <c r="Z39" s="76">
        <v>120821691</v>
      </c>
      <c r="AA39" s="76">
        <v>122284744</v>
      </c>
      <c r="AB39" s="76">
        <v>123927301</v>
      </c>
      <c r="AC39" s="225">
        <v>124551811</v>
      </c>
      <c r="AD39" s="76">
        <v>125899763</v>
      </c>
      <c r="AE39" s="76">
        <v>128909507</v>
      </c>
      <c r="AF39" s="76">
        <v>131492284</v>
      </c>
      <c r="AG39" s="230">
        <v>132892782</v>
      </c>
      <c r="AH39" s="230">
        <v>134459781</v>
      </c>
      <c r="AI39">
        <v>136523862</v>
      </c>
    </row>
    <row r="40" spans="1:41" x14ac:dyDescent="0.3">
      <c r="A40" s="12" t="s">
        <v>40</v>
      </c>
      <c r="B40" s="27">
        <v>340425</v>
      </c>
      <c r="C40" s="154"/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79"/>
      <c r="Q40" s="13">
        <v>0</v>
      </c>
      <c r="R40" s="13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s="76">
        <v>0</v>
      </c>
      <c r="AA40" s="76">
        <v>0</v>
      </c>
      <c r="AB40" s="76">
        <v>0</v>
      </c>
      <c r="AC40" s="76">
        <v>0</v>
      </c>
      <c r="AD40" s="76">
        <v>0</v>
      </c>
      <c r="AE40" s="76">
        <v>0</v>
      </c>
      <c r="AF40" s="76">
        <v>0</v>
      </c>
      <c r="AG40" s="230">
        <v>0</v>
      </c>
      <c r="AH40" s="230">
        <v>0</v>
      </c>
      <c r="AI40">
        <v>0</v>
      </c>
    </row>
    <row r="41" spans="1:41" x14ac:dyDescent="0.3">
      <c r="A41" s="12" t="s">
        <v>41</v>
      </c>
      <c r="B41" s="27">
        <v>351220</v>
      </c>
      <c r="C41" s="168">
        <v>149736730</v>
      </c>
      <c r="D41" s="13">
        <v>168025282</v>
      </c>
      <c r="E41" s="13">
        <v>168025282</v>
      </c>
      <c r="F41" s="13">
        <v>167455625</v>
      </c>
      <c r="G41" s="13">
        <v>175717378</v>
      </c>
      <c r="H41" s="13">
        <v>149736730</v>
      </c>
      <c r="I41" s="13">
        <v>175717378</v>
      </c>
      <c r="J41" s="13">
        <v>175717378</v>
      </c>
      <c r="K41" s="13">
        <v>175717378</v>
      </c>
      <c r="L41" s="13">
        <v>175717378</v>
      </c>
      <c r="M41" s="13">
        <v>175717378</v>
      </c>
      <c r="N41" s="13">
        <v>175717378</v>
      </c>
      <c r="O41" s="13">
        <v>175717378</v>
      </c>
      <c r="P41" s="181">
        <v>175717378</v>
      </c>
      <c r="Q41" s="13">
        <v>186259393</v>
      </c>
      <c r="R41" s="13">
        <v>186301045</v>
      </c>
      <c r="S41" s="76">
        <v>186301045</v>
      </c>
      <c r="T41" s="76">
        <v>186301045</v>
      </c>
      <c r="U41" s="76">
        <v>186301045</v>
      </c>
      <c r="V41" s="76">
        <v>186301045</v>
      </c>
      <c r="W41" s="76">
        <v>186301045</v>
      </c>
      <c r="X41" s="76">
        <v>186301045</v>
      </c>
      <c r="Y41" s="76">
        <v>186301045</v>
      </c>
      <c r="Z41" s="76">
        <v>186301045</v>
      </c>
      <c r="AA41" s="76">
        <v>186301045</v>
      </c>
      <c r="AB41" s="76">
        <v>186301045</v>
      </c>
      <c r="AC41" s="76">
        <v>186301045</v>
      </c>
      <c r="AD41" s="76">
        <v>208992711.83000001</v>
      </c>
      <c r="AE41" s="76">
        <v>208992712</v>
      </c>
      <c r="AF41" s="76">
        <v>209795207</v>
      </c>
      <c r="AG41" s="230">
        <v>208992712</v>
      </c>
      <c r="AH41" s="230">
        <v>208992712</v>
      </c>
      <c r="AI41">
        <v>209795207</v>
      </c>
    </row>
    <row r="42" spans="1:41" x14ac:dyDescent="0.3">
      <c r="A42" s="12" t="s">
        <v>42</v>
      </c>
      <c r="B42" s="27">
        <v>3541956</v>
      </c>
      <c r="C42" s="168">
        <f>25980648</f>
        <v>25980648</v>
      </c>
      <c r="D42" s="13">
        <v>5865490</v>
      </c>
      <c r="E42" s="13">
        <v>4702128</v>
      </c>
      <c r="F42" s="13">
        <v>9216560</v>
      </c>
      <c r="G42" s="13">
        <v>11914437</v>
      </c>
      <c r="H42" s="13">
        <v>16818170</v>
      </c>
      <c r="I42" s="13">
        <v>23148044.420000002</v>
      </c>
      <c r="J42" s="13">
        <v>19899140</v>
      </c>
      <c r="K42" s="13">
        <v>20679137</v>
      </c>
      <c r="L42" s="13">
        <v>23154132</v>
      </c>
      <c r="M42" s="13">
        <v>27042898</v>
      </c>
      <c r="N42" s="13">
        <v>32059888</v>
      </c>
      <c r="O42" s="13">
        <v>14962540</v>
      </c>
      <c r="P42" s="181">
        <f>19554428-3000000-3910886-360000-720000-979875</f>
        <v>10583667</v>
      </c>
      <c r="Q42" s="13">
        <v>5344203</v>
      </c>
      <c r="R42" s="13">
        <v>9130268</v>
      </c>
      <c r="S42" s="76">
        <v>14833370</v>
      </c>
      <c r="T42" s="76">
        <v>20110797</v>
      </c>
      <c r="U42" s="76">
        <v>27941394</v>
      </c>
      <c r="V42" s="76">
        <v>34549709</v>
      </c>
      <c r="W42" s="76">
        <v>49864663</v>
      </c>
      <c r="X42" s="76">
        <v>44952373</v>
      </c>
      <c r="Y42" s="76">
        <v>47673109</v>
      </c>
      <c r="Z42" s="76">
        <v>48085068</v>
      </c>
      <c r="AA42" s="76">
        <v>41125752</v>
      </c>
      <c r="AB42" s="76">
        <v>44802725</v>
      </c>
      <c r="AC42" s="76">
        <f>39683249-6186195-986242-720000-360000-7936650</f>
        <v>23494162</v>
      </c>
      <c r="AD42" s="76">
        <v>11631964</v>
      </c>
      <c r="AE42" s="76">
        <v>15383558</v>
      </c>
      <c r="AF42" s="76">
        <v>11501541</v>
      </c>
      <c r="AG42" s="230">
        <v>1692221</v>
      </c>
      <c r="AH42" s="230">
        <v>9601533</v>
      </c>
      <c r="AI42">
        <v>20116411</v>
      </c>
    </row>
    <row r="43" spans="1:41" x14ac:dyDescent="0.3">
      <c r="A43" s="12" t="s">
        <v>43</v>
      </c>
      <c r="B43" s="27">
        <v>531274</v>
      </c>
      <c r="C43" s="168">
        <v>59776350</v>
      </c>
      <c r="D43" s="13">
        <v>59284834</v>
      </c>
      <c r="E43" s="13">
        <v>59284834</v>
      </c>
      <c r="F43" s="13">
        <v>59142420</v>
      </c>
      <c r="G43" s="13">
        <v>59776350</v>
      </c>
      <c r="H43" s="13">
        <v>52441188</v>
      </c>
      <c r="I43" s="13">
        <v>59776350</v>
      </c>
      <c r="J43" s="13">
        <v>59776350</v>
      </c>
      <c r="K43" s="13">
        <v>59776350</v>
      </c>
      <c r="L43" s="13">
        <v>59776350</v>
      </c>
      <c r="M43" s="13">
        <v>59776350</v>
      </c>
      <c r="N43" s="13">
        <v>59776350</v>
      </c>
      <c r="O43" s="13">
        <v>59776350</v>
      </c>
      <c r="P43" s="181">
        <v>63687236</v>
      </c>
      <c r="Q43" s="13">
        <v>63721823</v>
      </c>
      <c r="R43" s="13">
        <v>63687236</v>
      </c>
      <c r="S43" s="76">
        <v>63687236</v>
      </c>
      <c r="T43" s="76">
        <v>63687236</v>
      </c>
      <c r="U43" s="76">
        <v>63687236</v>
      </c>
      <c r="V43" s="76">
        <v>63687236</v>
      </c>
      <c r="W43" s="76">
        <v>63687236</v>
      </c>
      <c r="X43" s="76">
        <v>63687236</v>
      </c>
      <c r="Y43" s="76">
        <v>63687236</v>
      </c>
      <c r="Z43" s="76">
        <v>63687236</v>
      </c>
      <c r="AA43" s="76">
        <v>63687236</v>
      </c>
      <c r="AB43" s="76">
        <v>63687236</v>
      </c>
      <c r="AC43" s="226">
        <v>71623886</v>
      </c>
      <c r="AD43" s="76">
        <v>71376713.209999993</v>
      </c>
      <c r="AE43" s="76">
        <v>71376713</v>
      </c>
      <c r="AF43" s="76">
        <v>71623886</v>
      </c>
      <c r="AG43" s="230">
        <v>71376713</v>
      </c>
      <c r="AH43" s="230">
        <v>71376713</v>
      </c>
      <c r="AI43">
        <v>71623886</v>
      </c>
    </row>
    <row r="44" spans="1:41" x14ac:dyDescent="0.3">
      <c r="A44" s="12" t="s">
        <v>44</v>
      </c>
      <c r="B44" s="27"/>
      <c r="C44" s="168"/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79"/>
      <c r="Q44" s="13">
        <v>0</v>
      </c>
      <c r="R44" s="13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s="76">
        <v>0</v>
      </c>
      <c r="AA44" s="76">
        <v>0</v>
      </c>
      <c r="AB44" s="76">
        <v>0</v>
      </c>
      <c r="AC44" s="76">
        <v>0</v>
      </c>
      <c r="AD44" s="76">
        <v>0</v>
      </c>
      <c r="AE44" s="76">
        <v>0</v>
      </c>
      <c r="AF44" s="76">
        <v>0</v>
      </c>
      <c r="AG44" s="230">
        <v>0</v>
      </c>
      <c r="AH44" s="230">
        <v>0</v>
      </c>
      <c r="AI44">
        <v>0</v>
      </c>
    </row>
    <row r="45" spans="1:41" x14ac:dyDescent="0.3">
      <c r="A45" s="12" t="s">
        <v>45</v>
      </c>
      <c r="B45" s="27"/>
      <c r="C45" s="168"/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79"/>
      <c r="Q45" s="13">
        <v>0</v>
      </c>
      <c r="R45" s="13">
        <v>0</v>
      </c>
      <c r="S45" s="49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6">
        <v>0</v>
      </c>
      <c r="AG45" s="230">
        <v>0</v>
      </c>
      <c r="AH45" s="230">
        <v>0</v>
      </c>
      <c r="AI45">
        <v>0</v>
      </c>
    </row>
    <row r="46" spans="1:41" x14ac:dyDescent="0.3">
      <c r="A46" s="12" t="s">
        <v>46</v>
      </c>
      <c r="B46" s="27"/>
      <c r="C46" s="168"/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79"/>
      <c r="Q46" s="14">
        <v>0</v>
      </c>
      <c r="R46" s="27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76">
        <v>0</v>
      </c>
      <c r="AB46" s="76">
        <v>0</v>
      </c>
      <c r="AC46" s="76">
        <v>0</v>
      </c>
      <c r="AD46" s="76">
        <v>0</v>
      </c>
      <c r="AE46" s="76">
        <v>0</v>
      </c>
      <c r="AF46" s="76">
        <v>0</v>
      </c>
      <c r="AG46" s="230">
        <v>0</v>
      </c>
      <c r="AH46" s="230">
        <v>0</v>
      </c>
      <c r="AI46">
        <v>0</v>
      </c>
    </row>
    <row r="47" spans="1:41" x14ac:dyDescent="0.3">
      <c r="A47" s="12" t="s">
        <v>47</v>
      </c>
      <c r="B47" s="27"/>
      <c r="C47" s="168"/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79"/>
      <c r="Q47" s="14">
        <v>0</v>
      </c>
      <c r="R47" s="14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s="76">
        <v>0</v>
      </c>
      <c r="AA47" s="76">
        <v>0</v>
      </c>
      <c r="AB47" s="76">
        <v>0</v>
      </c>
      <c r="AC47" s="76">
        <v>0</v>
      </c>
      <c r="AD47" s="76">
        <v>0</v>
      </c>
      <c r="AE47" s="76">
        <v>0</v>
      </c>
      <c r="AF47" s="76">
        <v>0</v>
      </c>
      <c r="AG47" s="230">
        <v>0</v>
      </c>
      <c r="AH47" s="230">
        <v>0</v>
      </c>
      <c r="AI47">
        <v>0</v>
      </c>
    </row>
    <row r="48" spans="1:41" x14ac:dyDescent="0.3">
      <c r="A48" s="11" t="s">
        <v>48</v>
      </c>
      <c r="B48" s="70">
        <f t="shared" ref="B48:H48" si="28">SUM(B39:B47)</f>
        <v>15259572</v>
      </c>
      <c r="C48" s="70">
        <f t="shared" si="28"/>
        <v>322384806</v>
      </c>
      <c r="D48" s="70">
        <f t="shared" si="28"/>
        <v>320185901</v>
      </c>
      <c r="E48" s="70">
        <f t="shared" si="28"/>
        <v>319666114</v>
      </c>
      <c r="F48" s="70">
        <f t="shared" si="28"/>
        <v>323800359</v>
      </c>
      <c r="G48" s="70">
        <f t="shared" si="28"/>
        <v>335739121</v>
      </c>
      <c r="H48" s="70">
        <f t="shared" si="28"/>
        <v>279320128</v>
      </c>
      <c r="I48" s="70">
        <f t="shared" ref="I48:AB48" si="29">SUM(I39:I47)</f>
        <v>347775300.11000001</v>
      </c>
      <c r="J48" s="70">
        <f t="shared" si="29"/>
        <v>345645409</v>
      </c>
      <c r="K48" s="70">
        <f t="shared" si="29"/>
        <v>346425406</v>
      </c>
      <c r="L48" s="70">
        <f t="shared" si="29"/>
        <v>357467270</v>
      </c>
      <c r="M48" s="70">
        <f t="shared" si="29"/>
        <v>362251991</v>
      </c>
      <c r="N48" s="70">
        <f t="shared" si="29"/>
        <v>368250123</v>
      </c>
      <c r="O48" s="70">
        <f t="shared" si="29"/>
        <v>353559520</v>
      </c>
      <c r="P48" s="70">
        <f t="shared" si="29"/>
        <v>353091533</v>
      </c>
      <c r="Q48" s="70">
        <f t="shared" si="29"/>
        <v>361185634</v>
      </c>
      <c r="R48" s="70">
        <f t="shared" si="29"/>
        <v>364978763</v>
      </c>
      <c r="S48" s="70">
        <f t="shared" si="29"/>
        <v>370817108</v>
      </c>
      <c r="T48" s="70">
        <f t="shared" si="29"/>
        <v>379280859</v>
      </c>
      <c r="U48" s="70">
        <f t="shared" si="29"/>
        <v>388885318</v>
      </c>
      <c r="V48" s="70">
        <f t="shared" si="29"/>
        <v>397201210</v>
      </c>
      <c r="W48" s="70">
        <f t="shared" si="29"/>
        <v>416670622</v>
      </c>
      <c r="X48" s="70">
        <f t="shared" si="29"/>
        <v>412990005</v>
      </c>
      <c r="Y48" s="70">
        <f t="shared" si="29"/>
        <v>417074380</v>
      </c>
      <c r="Z48" s="70">
        <f t="shared" si="29"/>
        <v>418895040</v>
      </c>
      <c r="AA48" s="70">
        <f t="shared" si="29"/>
        <v>413398777</v>
      </c>
      <c r="AB48" s="70">
        <f t="shared" si="29"/>
        <v>418718307</v>
      </c>
      <c r="AC48" s="70">
        <f t="shared" ref="AC48" si="30">SUM(AC39:AC47)</f>
        <v>405970904</v>
      </c>
      <c r="AD48" s="70">
        <f t="shared" ref="AD48:AF48" si="31">SUM(AD39:AD47)</f>
        <v>417901152.04000002</v>
      </c>
      <c r="AE48" s="70">
        <f t="shared" si="31"/>
        <v>424662490</v>
      </c>
      <c r="AF48" s="70">
        <f t="shared" si="31"/>
        <v>424412918</v>
      </c>
      <c r="AG48" s="70">
        <f t="shared" ref="AG48:AO48" si="32">SUM(AG39:AG47)</f>
        <v>414954428</v>
      </c>
      <c r="AH48" s="70">
        <f t="shared" si="32"/>
        <v>424430739</v>
      </c>
      <c r="AI48" s="70">
        <f t="shared" si="32"/>
        <v>438059366</v>
      </c>
      <c r="AJ48" s="70">
        <f t="shared" si="32"/>
        <v>0</v>
      </c>
      <c r="AK48" s="70">
        <f t="shared" si="32"/>
        <v>0</v>
      </c>
      <c r="AL48" s="70">
        <f t="shared" si="32"/>
        <v>0</v>
      </c>
      <c r="AM48" s="70">
        <f t="shared" si="32"/>
        <v>0</v>
      </c>
      <c r="AN48" s="70">
        <f t="shared" si="32"/>
        <v>0</v>
      </c>
      <c r="AO48" s="70">
        <f t="shared" si="32"/>
        <v>0</v>
      </c>
    </row>
    <row r="49" spans="1:41" x14ac:dyDescent="0.3">
      <c r="A49" s="11" t="s">
        <v>49</v>
      </c>
      <c r="B49" s="70">
        <f>B48+B38</f>
        <v>151015729</v>
      </c>
      <c r="C49" s="70">
        <f t="shared" ref="C49:AB49" si="33">C48+C38</f>
        <v>773058894</v>
      </c>
      <c r="D49" s="70">
        <f t="shared" si="33"/>
        <v>779557495</v>
      </c>
      <c r="E49" s="70">
        <f t="shared" si="33"/>
        <v>796286363</v>
      </c>
      <c r="F49" s="70">
        <f t="shared" si="33"/>
        <v>762959080</v>
      </c>
      <c r="G49" s="70">
        <f t="shared" si="33"/>
        <v>738601284</v>
      </c>
      <c r="H49" s="70">
        <f t="shared" si="33"/>
        <v>630221118</v>
      </c>
      <c r="I49" s="70">
        <f t="shared" si="33"/>
        <v>697109865.11000001</v>
      </c>
      <c r="J49" s="70">
        <f t="shared" si="33"/>
        <v>692119715</v>
      </c>
      <c r="K49" s="70">
        <f t="shared" si="33"/>
        <v>692854608</v>
      </c>
      <c r="L49" s="70">
        <f t="shared" si="33"/>
        <v>700925070</v>
      </c>
      <c r="M49" s="70">
        <f t="shared" si="33"/>
        <v>825596822</v>
      </c>
      <c r="N49" s="70">
        <f t="shared" si="33"/>
        <v>785363888</v>
      </c>
      <c r="O49" s="70">
        <f t="shared" si="33"/>
        <v>769434802</v>
      </c>
      <c r="P49" s="166">
        <f t="shared" si="33"/>
        <v>768849004</v>
      </c>
      <c r="Q49" s="166">
        <f t="shared" si="33"/>
        <v>779428209</v>
      </c>
      <c r="R49" s="166">
        <f t="shared" si="33"/>
        <v>782374151</v>
      </c>
      <c r="S49" s="166">
        <f t="shared" si="33"/>
        <v>777663107</v>
      </c>
      <c r="T49" s="166">
        <f t="shared" si="33"/>
        <v>812140668</v>
      </c>
      <c r="U49" s="166">
        <f t="shared" si="33"/>
        <v>817383593</v>
      </c>
      <c r="V49" s="166">
        <f t="shared" si="33"/>
        <v>813020667</v>
      </c>
      <c r="W49" s="166">
        <f t="shared" si="33"/>
        <v>987395377</v>
      </c>
      <c r="X49" s="166">
        <f t="shared" si="33"/>
        <v>954650525</v>
      </c>
      <c r="Y49" s="166">
        <f t="shared" si="33"/>
        <v>922808351</v>
      </c>
      <c r="Z49" s="166">
        <f t="shared" si="33"/>
        <v>908537120</v>
      </c>
      <c r="AA49" s="166">
        <f t="shared" si="33"/>
        <v>901980260</v>
      </c>
      <c r="AB49" s="166">
        <f t="shared" si="33"/>
        <v>895553220</v>
      </c>
      <c r="AC49" s="166">
        <f t="shared" ref="AC49" si="34">AC48+AC38</f>
        <v>902893813</v>
      </c>
      <c r="AD49" s="166">
        <f t="shared" ref="AD49:AF49" si="35">AD48+AD38</f>
        <v>904245257.03999996</v>
      </c>
      <c r="AE49" s="166">
        <f t="shared" si="35"/>
        <v>909688422</v>
      </c>
      <c r="AF49" s="166">
        <f t="shared" si="35"/>
        <v>919523421</v>
      </c>
      <c r="AG49" s="166">
        <f t="shared" ref="AG49:AO49" si="36">AG48+AG38</f>
        <v>902383045</v>
      </c>
      <c r="AH49" s="166">
        <f t="shared" si="36"/>
        <v>912354948</v>
      </c>
      <c r="AI49" s="166">
        <f t="shared" si="36"/>
        <v>940638888</v>
      </c>
      <c r="AJ49" s="166">
        <f t="shared" si="36"/>
        <v>0</v>
      </c>
      <c r="AK49" s="166">
        <f t="shared" si="36"/>
        <v>0</v>
      </c>
      <c r="AL49" s="166">
        <f t="shared" si="36"/>
        <v>0</v>
      </c>
      <c r="AM49" s="166">
        <f t="shared" si="36"/>
        <v>0</v>
      </c>
      <c r="AN49" s="166">
        <f t="shared" si="36"/>
        <v>0</v>
      </c>
      <c r="AO49" s="166">
        <f t="shared" si="36"/>
        <v>0</v>
      </c>
    </row>
    <row r="51" spans="1:41" x14ac:dyDescent="0.3">
      <c r="B51" s="21">
        <f t="shared" ref="B51:I51" si="37">B49-B27</f>
        <v>0</v>
      </c>
      <c r="C51" s="21">
        <f t="shared" si="37"/>
        <v>0</v>
      </c>
      <c r="D51" s="21">
        <f t="shared" si="37"/>
        <v>-1</v>
      </c>
      <c r="E51" s="21">
        <f t="shared" si="37"/>
        <v>0</v>
      </c>
      <c r="F51" s="21">
        <f t="shared" si="37"/>
        <v>-2</v>
      </c>
      <c r="G51" s="21">
        <f t="shared" si="37"/>
        <v>0</v>
      </c>
      <c r="H51" s="21">
        <f t="shared" si="37"/>
        <v>-67837927</v>
      </c>
      <c r="I51" s="21">
        <f t="shared" si="37"/>
        <v>-0.30999994277954102</v>
      </c>
      <c r="J51" s="21">
        <f t="shared" ref="J51:R51" si="38">J49-J27</f>
        <v>0</v>
      </c>
      <c r="K51" s="21">
        <f t="shared" si="38"/>
        <v>0</v>
      </c>
      <c r="L51" s="21">
        <f t="shared" si="38"/>
        <v>0</v>
      </c>
      <c r="M51" s="21">
        <f t="shared" si="38"/>
        <v>0</v>
      </c>
      <c r="N51" s="21">
        <f t="shared" si="38"/>
        <v>0</v>
      </c>
      <c r="O51" s="21">
        <f t="shared" si="38"/>
        <v>0</v>
      </c>
      <c r="P51" s="180">
        <f t="shared" si="38"/>
        <v>-1</v>
      </c>
      <c r="Q51" s="21">
        <f t="shared" si="38"/>
        <v>0</v>
      </c>
      <c r="R51" s="21">
        <f t="shared" si="38"/>
        <v>0</v>
      </c>
    </row>
    <row r="59" spans="1:41" x14ac:dyDescent="0.3">
      <c r="J59" s="31"/>
    </row>
  </sheetData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3"/>
  <sheetViews>
    <sheetView tabSelected="1" zoomScale="70" zoomScaleNormal="70" workbookViewId="0">
      <pane xSplit="1" ySplit="2" topLeftCell="AG15" activePane="bottomRight" state="frozen"/>
      <selection pane="topRight" activeCell="B1" sqref="B1"/>
      <selection pane="bottomLeft" activeCell="A3" sqref="A3"/>
      <selection pane="bottomRight" activeCell="AS36" sqref="AS36"/>
    </sheetView>
  </sheetViews>
  <sheetFormatPr defaultRowHeight="14.4" x14ac:dyDescent="0.3"/>
  <cols>
    <col min="1" max="1" width="41" customWidth="1"/>
    <col min="2" max="2" width="15.33203125" bestFit="1" customWidth="1"/>
    <col min="3" max="3" width="15.33203125" customWidth="1"/>
    <col min="4" max="8" width="15.33203125" hidden="1" customWidth="1"/>
    <col min="9" max="11" width="14.33203125" hidden="1" customWidth="1"/>
    <col min="12" max="15" width="15.33203125" hidden="1" customWidth="1"/>
    <col min="16" max="16" width="15.88671875" bestFit="1" customWidth="1"/>
    <col min="17" max="20" width="15.33203125" bestFit="1" customWidth="1"/>
    <col min="21" max="24" width="13.88671875" bestFit="1" customWidth="1"/>
    <col min="25" max="25" width="15.6640625" customWidth="1"/>
    <col min="26" max="27" width="14.33203125" bestFit="1" customWidth="1"/>
    <col min="28" max="29" width="13.88671875" bestFit="1" customWidth="1"/>
    <col min="30" max="30" width="15" bestFit="1" customWidth="1"/>
    <col min="31" max="33" width="13.88671875" bestFit="1" customWidth="1"/>
    <col min="35" max="35" width="15.21875" bestFit="1" customWidth="1"/>
  </cols>
  <sheetData>
    <row r="1" spans="1:41" ht="15" customHeight="1" x14ac:dyDescent="0.3">
      <c r="A1" s="235"/>
      <c r="B1" s="235"/>
      <c r="C1" s="235"/>
      <c r="D1" s="235"/>
      <c r="E1" s="235"/>
      <c r="F1" s="235"/>
      <c r="G1" s="235"/>
      <c r="H1" s="235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</row>
    <row r="2" spans="1:41" x14ac:dyDescent="0.3">
      <c r="A2" s="15"/>
      <c r="B2" s="16" t="s">
        <v>0</v>
      </c>
      <c r="C2" s="16" t="s">
        <v>1</v>
      </c>
      <c r="D2" s="162">
        <v>44197</v>
      </c>
      <c r="E2" s="162">
        <v>44229</v>
      </c>
      <c r="F2" s="162">
        <v>44258</v>
      </c>
      <c r="G2" s="162">
        <v>44290</v>
      </c>
      <c r="H2" s="162">
        <v>44321</v>
      </c>
      <c r="I2" s="162">
        <v>44353</v>
      </c>
      <c r="J2" s="162">
        <v>44384</v>
      </c>
      <c r="K2" s="162">
        <v>44416</v>
      </c>
      <c r="L2" s="162">
        <v>44448</v>
      </c>
      <c r="M2" s="162">
        <v>44479</v>
      </c>
      <c r="N2" s="162">
        <v>44511</v>
      </c>
      <c r="O2" s="162">
        <v>44542</v>
      </c>
      <c r="P2" s="36" t="s">
        <v>2</v>
      </c>
      <c r="Q2" s="36">
        <v>44562</v>
      </c>
      <c r="R2" s="36">
        <v>44593</v>
      </c>
      <c r="S2" s="36">
        <v>44621</v>
      </c>
      <c r="T2" s="36">
        <v>44652</v>
      </c>
      <c r="U2" s="36">
        <v>44682</v>
      </c>
      <c r="V2" s="36">
        <v>44713</v>
      </c>
      <c r="W2" s="36">
        <v>44743</v>
      </c>
      <c r="X2" s="36">
        <v>44774</v>
      </c>
      <c r="Y2" s="36">
        <v>44805</v>
      </c>
      <c r="Z2" s="36">
        <v>44835</v>
      </c>
      <c r="AA2" s="36">
        <v>44866</v>
      </c>
      <c r="AB2" s="36">
        <v>44896</v>
      </c>
      <c r="AC2" s="36" t="s">
        <v>3</v>
      </c>
      <c r="AD2" s="36">
        <v>44927</v>
      </c>
      <c r="AE2" s="36">
        <v>44958</v>
      </c>
      <c r="AF2" s="36">
        <v>44986</v>
      </c>
      <c r="AG2" s="36">
        <v>45017</v>
      </c>
      <c r="AH2" s="36">
        <v>45047</v>
      </c>
      <c r="AI2" s="36">
        <v>45078</v>
      </c>
      <c r="AJ2" s="36">
        <v>45108</v>
      </c>
      <c r="AK2" s="36">
        <v>45139</v>
      </c>
      <c r="AL2" s="36">
        <v>45170</v>
      </c>
      <c r="AM2" s="36">
        <v>45200</v>
      </c>
      <c r="AN2" s="36">
        <v>45231</v>
      </c>
      <c r="AO2" s="36">
        <v>45261</v>
      </c>
    </row>
    <row r="3" spans="1:41" x14ac:dyDescent="0.3">
      <c r="A3" s="17" t="s">
        <v>50</v>
      </c>
      <c r="B3" s="71">
        <f t="shared" ref="B3:G3" si="0">B4+B7</f>
        <v>14599.247546899</v>
      </c>
      <c r="C3" s="71">
        <f t="shared" si="0"/>
        <v>89988820.400000006</v>
      </c>
      <c r="D3" s="71">
        <f t="shared" si="0"/>
        <v>30585996</v>
      </c>
      <c r="E3" s="71">
        <f t="shared" si="0"/>
        <v>18854461</v>
      </c>
      <c r="F3" s="71">
        <f t="shared" si="0"/>
        <v>18857461</v>
      </c>
      <c r="G3" s="71">
        <f t="shared" si="0"/>
        <v>38776809</v>
      </c>
      <c r="H3" s="71">
        <f t="shared" ref="H3:O3" si="1">H4+H7</f>
        <v>49832011</v>
      </c>
      <c r="I3" s="71">
        <f t="shared" si="1"/>
        <v>56848071</v>
      </c>
      <c r="J3" s="71">
        <f t="shared" si="1"/>
        <v>66413428</v>
      </c>
      <c r="K3" s="71">
        <f t="shared" si="1"/>
        <v>75543144</v>
      </c>
      <c r="L3" s="71">
        <f t="shared" si="1"/>
        <v>83873502</v>
      </c>
      <c r="M3" s="71">
        <f t="shared" si="1"/>
        <v>97404364</v>
      </c>
      <c r="N3" s="71">
        <f t="shared" si="1"/>
        <v>108668819</v>
      </c>
      <c r="O3" s="71">
        <f t="shared" si="1"/>
        <v>119206907</v>
      </c>
      <c r="P3" s="71">
        <f>P4+P7</f>
        <v>127629687</v>
      </c>
      <c r="Q3" s="71">
        <f t="shared" ref="Q3:AA3" si="2">Q4+Q7</f>
        <v>10450366</v>
      </c>
      <c r="R3" s="71">
        <f t="shared" si="2"/>
        <v>20749112</v>
      </c>
      <c r="S3" s="71">
        <f t="shared" si="2"/>
        <v>32374452</v>
      </c>
      <c r="T3" s="71">
        <f t="shared" si="2"/>
        <v>46806853</v>
      </c>
      <c r="U3" s="71">
        <f t="shared" si="2"/>
        <v>61013900</v>
      </c>
      <c r="V3" s="71">
        <f t="shared" si="2"/>
        <v>69565058</v>
      </c>
      <c r="W3" s="71">
        <f t="shared" si="2"/>
        <v>93672516</v>
      </c>
      <c r="X3" s="71">
        <f t="shared" si="2"/>
        <v>98918148</v>
      </c>
      <c r="Y3" s="71">
        <f t="shared" si="2"/>
        <v>109478226</v>
      </c>
      <c r="Z3" s="71">
        <f t="shared" si="2"/>
        <v>120400363</v>
      </c>
      <c r="AA3" s="71">
        <f t="shared" si="2"/>
        <v>132020567</v>
      </c>
      <c r="AB3" s="71">
        <f t="shared" ref="AB3:AC3" si="3">AB4+AB7</f>
        <v>151367102</v>
      </c>
      <c r="AC3" s="71">
        <f t="shared" si="3"/>
        <v>163297222</v>
      </c>
      <c r="AD3" s="71">
        <f t="shared" ref="AD3:AG3" si="4">AD4+AD7</f>
        <v>16792269</v>
      </c>
      <c r="AE3" s="71">
        <f t="shared" si="4"/>
        <v>29513360.640000001</v>
      </c>
      <c r="AF3" s="71">
        <f t="shared" si="4"/>
        <v>47589433.5</v>
      </c>
      <c r="AG3" s="71">
        <f t="shared" si="4"/>
        <v>59820666.709999993</v>
      </c>
      <c r="AH3" s="71">
        <f t="shared" ref="AH3:AO3" si="5">AH4+AH7</f>
        <v>73068153.099999994</v>
      </c>
      <c r="AI3" s="71">
        <f t="shared" si="5"/>
        <v>89135469.129999995</v>
      </c>
      <c r="AJ3" s="71">
        <f t="shared" si="5"/>
        <v>0</v>
      </c>
      <c r="AK3" s="71">
        <f t="shared" si="5"/>
        <v>0</v>
      </c>
      <c r="AL3" s="71">
        <f t="shared" si="5"/>
        <v>0</v>
      </c>
      <c r="AM3" s="71">
        <f t="shared" si="5"/>
        <v>0</v>
      </c>
      <c r="AN3" s="71">
        <f t="shared" si="5"/>
        <v>0</v>
      </c>
      <c r="AO3" s="71">
        <f t="shared" si="5"/>
        <v>0</v>
      </c>
    </row>
    <row r="4" spans="1:41" x14ac:dyDescent="0.3">
      <c r="A4" s="17" t="s">
        <v>51</v>
      </c>
      <c r="B4" s="71">
        <f t="shared" ref="B4:G4" si="6">SUM(B5:B6)</f>
        <v>12855.805909999999</v>
      </c>
      <c r="C4" s="71">
        <f t="shared" si="6"/>
        <v>57716167.390000001</v>
      </c>
      <c r="D4" s="71">
        <f t="shared" si="6"/>
        <v>22002313</v>
      </c>
      <c r="E4" s="71">
        <f t="shared" si="6"/>
        <v>15103211</v>
      </c>
      <c r="F4" s="71">
        <f t="shared" si="6"/>
        <v>15106211</v>
      </c>
      <c r="G4" s="71">
        <f t="shared" si="6"/>
        <v>29315810</v>
      </c>
      <c r="H4" s="71">
        <f t="shared" ref="H4:O4" si="7">SUM(H5:H6)</f>
        <v>38443297</v>
      </c>
      <c r="I4" s="71">
        <f t="shared" si="7"/>
        <v>43484342</v>
      </c>
      <c r="J4" s="71">
        <f t="shared" si="7"/>
        <v>51031104</v>
      </c>
      <c r="K4" s="71">
        <f t="shared" si="7"/>
        <v>58279380</v>
      </c>
      <c r="L4" s="71">
        <f t="shared" si="7"/>
        <v>64803293</v>
      </c>
      <c r="M4" s="71">
        <f t="shared" si="7"/>
        <v>73836500</v>
      </c>
      <c r="N4" s="71">
        <f t="shared" si="7"/>
        <v>82542100</v>
      </c>
      <c r="O4" s="71">
        <f t="shared" si="7"/>
        <v>91126237</v>
      </c>
      <c r="P4" s="71">
        <f>SUM(P5:P6)</f>
        <v>117126237</v>
      </c>
      <c r="Q4" s="71">
        <f t="shared" ref="Q4:AA4" si="8">SUM(Q5:Q6)</f>
        <v>8199016</v>
      </c>
      <c r="R4" s="71">
        <f t="shared" si="8"/>
        <v>16431897</v>
      </c>
      <c r="S4" s="71">
        <f t="shared" si="8"/>
        <v>25415762</v>
      </c>
      <c r="T4" s="71">
        <f t="shared" si="8"/>
        <v>36143028</v>
      </c>
      <c r="U4" s="71">
        <f t="shared" si="8"/>
        <v>47891415</v>
      </c>
      <c r="V4" s="71">
        <f t="shared" si="8"/>
        <v>53960298</v>
      </c>
      <c r="W4" s="71">
        <f t="shared" si="8"/>
        <v>71691531</v>
      </c>
      <c r="X4" s="71">
        <f t="shared" si="8"/>
        <v>74646173</v>
      </c>
      <c r="Y4" s="71">
        <f t="shared" si="8"/>
        <v>82782691</v>
      </c>
      <c r="Z4" s="71">
        <f t="shared" si="8"/>
        <v>91135758</v>
      </c>
      <c r="AA4" s="71">
        <f t="shared" si="8"/>
        <v>100216757</v>
      </c>
      <c r="AB4" s="71">
        <f t="shared" ref="AB4:AC4" si="9">SUM(AB5:AB6)</f>
        <v>109376279</v>
      </c>
      <c r="AC4" s="71">
        <f t="shared" si="9"/>
        <v>145787327</v>
      </c>
      <c r="AD4" s="71">
        <f t="shared" ref="AD4:AG4" si="10">SUM(AD5:AD6)</f>
        <v>12566054</v>
      </c>
      <c r="AE4" s="71">
        <f t="shared" si="10"/>
        <v>22398966.140000001</v>
      </c>
      <c r="AF4" s="71">
        <f t="shared" si="10"/>
        <v>37979821</v>
      </c>
      <c r="AG4" s="71">
        <f t="shared" si="10"/>
        <v>47081343.709999993</v>
      </c>
      <c r="AH4" s="71">
        <f t="shared" ref="AH4:AO4" si="11">SUM(AH5:AH6)</f>
        <v>57757853.600000001</v>
      </c>
      <c r="AI4" s="71">
        <f t="shared" si="11"/>
        <v>70837913.129999995</v>
      </c>
      <c r="AJ4" s="71">
        <f t="shared" si="11"/>
        <v>0</v>
      </c>
      <c r="AK4" s="71">
        <f t="shared" si="11"/>
        <v>0</v>
      </c>
      <c r="AL4" s="71">
        <f t="shared" si="11"/>
        <v>0</v>
      </c>
      <c r="AM4" s="71">
        <f t="shared" si="11"/>
        <v>0</v>
      </c>
      <c r="AN4" s="71">
        <f t="shared" si="11"/>
        <v>0</v>
      </c>
      <c r="AO4" s="71">
        <f t="shared" si="11"/>
        <v>0</v>
      </c>
    </row>
    <row r="5" spans="1:41" x14ac:dyDescent="0.3">
      <c r="A5" s="18" t="s">
        <v>52</v>
      </c>
      <c r="B5" s="29">
        <v>11945.43491</v>
      </c>
      <c r="C5" s="170">
        <v>52206140</v>
      </c>
      <c r="D5" s="19">
        <v>20400486</v>
      </c>
      <c r="E5" s="19">
        <v>13911917</v>
      </c>
      <c r="F5" s="19">
        <v>13911917</v>
      </c>
      <c r="G5" s="19">
        <v>27136249</v>
      </c>
      <c r="H5" s="19">
        <v>35808173</v>
      </c>
      <c r="I5" s="19">
        <v>40435218</v>
      </c>
      <c r="J5" s="19">
        <v>47535267</v>
      </c>
      <c r="K5" s="19">
        <v>54482616</v>
      </c>
      <c r="L5" s="19">
        <v>60808672</v>
      </c>
      <c r="M5" s="19">
        <v>69824956</v>
      </c>
      <c r="N5" s="19">
        <v>77347789</v>
      </c>
      <c r="O5" s="19">
        <v>84111193</v>
      </c>
      <c r="P5" s="156">
        <v>110111193</v>
      </c>
      <c r="Q5" s="19">
        <v>7777104</v>
      </c>
      <c r="R5" s="19">
        <v>15618002</v>
      </c>
      <c r="S5" s="19">
        <v>24175866</v>
      </c>
      <c r="T5" s="19">
        <v>34233265</v>
      </c>
      <c r="U5" s="76">
        <v>45358395</v>
      </c>
      <c r="V5" s="76">
        <v>51108181</v>
      </c>
      <c r="W5" s="76">
        <v>67791255</v>
      </c>
      <c r="X5" s="76">
        <v>70038993</v>
      </c>
      <c r="Y5" s="76">
        <v>77520374</v>
      </c>
      <c r="Z5" s="76">
        <v>85311861</v>
      </c>
      <c r="AA5" s="76">
        <v>93839845</v>
      </c>
      <c r="AB5" s="76">
        <v>102493547</v>
      </c>
      <c r="AC5" s="76">
        <v>137493546</v>
      </c>
      <c r="AD5" s="76">
        <v>11746334</v>
      </c>
      <c r="AE5" s="76">
        <v>20907742.780000001</v>
      </c>
      <c r="AF5" s="76">
        <v>35885583</v>
      </c>
      <c r="AG5" s="76">
        <v>44515349.799999997</v>
      </c>
      <c r="AH5">
        <v>54529441.990000002</v>
      </c>
      <c r="AI5">
        <v>67196381.170000002</v>
      </c>
    </row>
    <row r="6" spans="1:41" x14ac:dyDescent="0.3">
      <c r="A6" s="18" t="s">
        <v>53</v>
      </c>
      <c r="B6" s="29">
        <v>910.37099999999998</v>
      </c>
      <c r="C6" s="171">
        <v>5510027.3899999997</v>
      </c>
      <c r="D6" s="19">
        <v>1601827</v>
      </c>
      <c r="E6" s="19">
        <v>1191294</v>
      </c>
      <c r="F6" s="19">
        <v>1194294</v>
      </c>
      <c r="G6" s="19">
        <v>2179561</v>
      </c>
      <c r="H6" s="19">
        <v>2635124</v>
      </c>
      <c r="I6" s="19">
        <v>3049124</v>
      </c>
      <c r="J6" s="19">
        <v>3495837</v>
      </c>
      <c r="K6" s="19">
        <v>3796764</v>
      </c>
      <c r="L6" s="19">
        <v>3994621</v>
      </c>
      <c r="M6" s="19">
        <v>4011544</v>
      </c>
      <c r="N6" s="19">
        <v>5194311</v>
      </c>
      <c r="O6" s="19">
        <v>7015044</v>
      </c>
      <c r="P6" s="157">
        <v>7015044</v>
      </c>
      <c r="Q6" s="19">
        <v>421912</v>
      </c>
      <c r="R6" s="19">
        <v>813895</v>
      </c>
      <c r="S6" s="19">
        <v>1239896</v>
      </c>
      <c r="T6" s="19">
        <v>1909763</v>
      </c>
      <c r="U6" s="76">
        <v>2533020</v>
      </c>
      <c r="V6" s="76">
        <v>2852117</v>
      </c>
      <c r="W6" s="76">
        <v>3900276</v>
      </c>
      <c r="X6" s="76">
        <v>4607180</v>
      </c>
      <c r="Y6" s="76">
        <v>5262317</v>
      </c>
      <c r="Z6" s="76">
        <v>5823897</v>
      </c>
      <c r="AA6" s="76">
        <v>6376912</v>
      </c>
      <c r="AB6" s="76">
        <v>6882732</v>
      </c>
      <c r="AC6" s="76">
        <v>8293781</v>
      </c>
      <c r="AD6" s="76">
        <v>819720</v>
      </c>
      <c r="AE6" s="76">
        <v>1491223.36</v>
      </c>
      <c r="AF6" s="76">
        <v>2094238</v>
      </c>
      <c r="AG6" s="76">
        <v>2565993.91</v>
      </c>
      <c r="AH6">
        <v>3228411.61</v>
      </c>
      <c r="AI6">
        <v>3641531.96</v>
      </c>
    </row>
    <row r="7" spans="1:41" x14ac:dyDescent="0.3">
      <c r="A7" s="17" t="s">
        <v>54</v>
      </c>
      <c r="B7" s="71">
        <f t="shared" ref="B7:AB7" si="12">SUM(B8:B11)</f>
        <v>1743.4416368990005</v>
      </c>
      <c r="C7" s="71">
        <f t="shared" si="12"/>
        <v>32272653.009999998</v>
      </c>
      <c r="D7" s="71">
        <f t="shared" si="12"/>
        <v>8583683</v>
      </c>
      <c r="E7" s="71">
        <f t="shared" si="12"/>
        <v>3751250</v>
      </c>
      <c r="F7" s="71">
        <f t="shared" si="12"/>
        <v>3751250</v>
      </c>
      <c r="G7" s="71">
        <f t="shared" si="12"/>
        <v>9460999</v>
      </c>
      <c r="H7" s="71">
        <f t="shared" si="12"/>
        <v>11388714</v>
      </c>
      <c r="I7" s="71">
        <f t="shared" si="12"/>
        <v>13363729</v>
      </c>
      <c r="J7" s="71">
        <f t="shared" si="12"/>
        <v>15382324</v>
      </c>
      <c r="K7" s="71">
        <f t="shared" si="12"/>
        <v>17263764</v>
      </c>
      <c r="L7" s="71">
        <f t="shared" si="12"/>
        <v>19070209</v>
      </c>
      <c r="M7" s="71">
        <f t="shared" si="12"/>
        <v>23567864</v>
      </c>
      <c r="N7" s="71">
        <f t="shared" si="12"/>
        <v>26126719</v>
      </c>
      <c r="O7" s="71">
        <f t="shared" si="12"/>
        <v>28080670</v>
      </c>
      <c r="P7" s="71">
        <f t="shared" si="12"/>
        <v>10503450</v>
      </c>
      <c r="Q7" s="71">
        <f t="shared" si="12"/>
        <v>2251350</v>
      </c>
      <c r="R7" s="71">
        <f t="shared" si="12"/>
        <v>4317215</v>
      </c>
      <c r="S7" s="71">
        <f t="shared" si="12"/>
        <v>6958690</v>
      </c>
      <c r="T7" s="71">
        <f t="shared" si="12"/>
        <v>10663825</v>
      </c>
      <c r="U7" s="71">
        <f t="shared" si="12"/>
        <v>13122485</v>
      </c>
      <c r="V7" s="71">
        <f t="shared" si="12"/>
        <v>15604760</v>
      </c>
      <c r="W7" s="71">
        <f t="shared" si="12"/>
        <v>21980985</v>
      </c>
      <c r="X7" s="71">
        <f t="shared" si="12"/>
        <v>24271975</v>
      </c>
      <c r="Y7" s="71">
        <f t="shared" si="12"/>
        <v>26695535</v>
      </c>
      <c r="Z7" s="71">
        <f t="shared" si="12"/>
        <v>29264605</v>
      </c>
      <c r="AA7" s="71">
        <f t="shared" si="12"/>
        <v>31803810</v>
      </c>
      <c r="AB7" s="71">
        <f t="shared" si="12"/>
        <v>41990823</v>
      </c>
      <c r="AC7" s="71">
        <f t="shared" ref="AC7:AO7" si="13">SUM(AC8:AC11)</f>
        <v>17509895</v>
      </c>
      <c r="AD7" s="71">
        <f t="shared" si="13"/>
        <v>4226215</v>
      </c>
      <c r="AE7" s="71">
        <f t="shared" si="13"/>
        <v>7114394.5</v>
      </c>
      <c r="AF7" s="71">
        <f t="shared" si="13"/>
        <v>9609612.5</v>
      </c>
      <c r="AG7" s="71">
        <f t="shared" si="13"/>
        <v>12739323</v>
      </c>
      <c r="AH7" s="71">
        <f t="shared" si="13"/>
        <v>15310299.5</v>
      </c>
      <c r="AI7" s="71">
        <f t="shared" si="13"/>
        <v>18297556</v>
      </c>
      <c r="AJ7" s="71">
        <f t="shared" si="13"/>
        <v>0</v>
      </c>
      <c r="AK7" s="71">
        <f t="shared" si="13"/>
        <v>0</v>
      </c>
      <c r="AL7" s="71">
        <f t="shared" si="13"/>
        <v>0</v>
      </c>
      <c r="AM7" s="71">
        <f t="shared" si="13"/>
        <v>0</v>
      </c>
      <c r="AN7" s="71">
        <f t="shared" si="13"/>
        <v>0</v>
      </c>
      <c r="AO7" s="71">
        <f t="shared" si="13"/>
        <v>0</v>
      </c>
    </row>
    <row r="8" spans="1:41" x14ac:dyDescent="0.3">
      <c r="A8" s="18" t="s">
        <v>55</v>
      </c>
      <c r="B8" s="29"/>
      <c r="C8" s="29"/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75"/>
      <c r="Q8" s="19">
        <v>0</v>
      </c>
      <c r="R8" s="19">
        <v>0</v>
      </c>
      <c r="S8" s="19">
        <v>0</v>
      </c>
      <c r="T8" s="19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228">
        <v>0</v>
      </c>
      <c r="AH8" s="228">
        <v>0</v>
      </c>
      <c r="AI8">
        <v>0</v>
      </c>
    </row>
    <row r="9" spans="1:41" x14ac:dyDescent="0.3">
      <c r="A9" s="18" t="s">
        <v>56</v>
      </c>
      <c r="B9" s="29"/>
      <c r="C9" s="170">
        <v>1740558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56">
        <f>741527+71072</f>
        <v>812599</v>
      </c>
      <c r="Q9" s="19">
        <v>0</v>
      </c>
      <c r="R9" s="19">
        <v>0</v>
      </c>
      <c r="S9" s="19">
        <v>0</v>
      </c>
      <c r="T9" s="1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726958</v>
      </c>
      <c r="AD9">
        <v>0</v>
      </c>
      <c r="AE9">
        <v>0</v>
      </c>
      <c r="AF9">
        <v>0</v>
      </c>
      <c r="AG9" s="229">
        <v>0</v>
      </c>
      <c r="AH9" s="229">
        <v>0</v>
      </c>
      <c r="AI9">
        <v>0</v>
      </c>
    </row>
    <row r="10" spans="1:41" x14ac:dyDescent="0.3">
      <c r="A10" s="18" t="s">
        <v>57</v>
      </c>
      <c r="B10" s="29"/>
      <c r="C10" s="170"/>
      <c r="D10" s="19">
        <v>795353</v>
      </c>
      <c r="E10" s="19">
        <v>0</v>
      </c>
      <c r="F10" s="19">
        <v>0</v>
      </c>
      <c r="G10" s="19">
        <v>812599</v>
      </c>
      <c r="H10" s="19">
        <v>812599</v>
      </c>
      <c r="I10" s="19">
        <v>812599</v>
      </c>
      <c r="J10" s="19">
        <v>812599</v>
      </c>
      <c r="K10" s="19">
        <v>812599</v>
      </c>
      <c r="L10" s="19">
        <v>812599</v>
      </c>
      <c r="M10" s="19">
        <v>812599</v>
      </c>
      <c r="N10" s="19">
        <v>812599</v>
      </c>
      <c r="O10" s="19">
        <v>812599</v>
      </c>
      <c r="P10" s="156"/>
      <c r="Q10" s="19">
        <v>0</v>
      </c>
      <c r="R10" s="19">
        <v>0</v>
      </c>
      <c r="S10" s="19">
        <v>0</v>
      </c>
      <c r="T10" s="19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7515068</v>
      </c>
      <c r="AC10">
        <v>0</v>
      </c>
      <c r="AD10">
        <v>0</v>
      </c>
      <c r="AE10">
        <v>0</v>
      </c>
      <c r="AF10">
        <v>0</v>
      </c>
      <c r="AG10" s="229">
        <v>0</v>
      </c>
      <c r="AH10" s="229">
        <v>0</v>
      </c>
      <c r="AI10">
        <v>0</v>
      </c>
    </row>
    <row r="11" spans="1:41" s="33" customFormat="1" x14ac:dyDescent="0.3">
      <c r="A11" s="17" t="s">
        <v>58</v>
      </c>
      <c r="B11" s="28">
        <v>1743.4416368990005</v>
      </c>
      <c r="C11" s="170">
        <f>36042122.4-C6</f>
        <v>30532095.009999998</v>
      </c>
      <c r="D11" s="220">
        <v>7788330</v>
      </c>
      <c r="E11" s="220">
        <v>3751250</v>
      </c>
      <c r="F11" s="220">
        <v>3751250</v>
      </c>
      <c r="G11" s="220">
        <v>8648400</v>
      </c>
      <c r="H11" s="220">
        <v>10576115</v>
      </c>
      <c r="I11" s="220">
        <v>12551130</v>
      </c>
      <c r="J11" s="220">
        <v>14569725</v>
      </c>
      <c r="K11" s="220">
        <v>16451165</v>
      </c>
      <c r="L11" s="220">
        <v>18257610</v>
      </c>
      <c r="M11" s="220">
        <v>22755265</v>
      </c>
      <c r="N11" s="220">
        <v>25314120</v>
      </c>
      <c r="O11" s="220">
        <v>27268071</v>
      </c>
      <c r="P11" s="176">
        <f>17518494-P9-P6</f>
        <v>9690851</v>
      </c>
      <c r="Q11" s="37">
        <v>2251350</v>
      </c>
      <c r="R11" s="37">
        <v>4317215</v>
      </c>
      <c r="S11" s="37">
        <v>6958690</v>
      </c>
      <c r="T11" s="37">
        <v>10663825</v>
      </c>
      <c r="U11" s="219">
        <v>13122485</v>
      </c>
      <c r="V11" s="219">
        <v>15604760</v>
      </c>
      <c r="W11" s="219">
        <v>21980985</v>
      </c>
      <c r="X11" s="219">
        <v>24271975</v>
      </c>
      <c r="Y11" s="219">
        <v>26695535</v>
      </c>
      <c r="Z11" s="33">
        <v>29264605</v>
      </c>
      <c r="AA11" s="33">
        <v>31803810</v>
      </c>
      <c r="AB11" s="33">
        <v>34475755</v>
      </c>
      <c r="AC11" s="219">
        <f>25803676-AC9-AC6</f>
        <v>16782937</v>
      </c>
      <c r="AD11" s="33">
        <v>4226215</v>
      </c>
      <c r="AE11" s="33">
        <v>7114394.5</v>
      </c>
      <c r="AF11" s="33">
        <v>9609612.5</v>
      </c>
      <c r="AG11" s="33">
        <v>12739323</v>
      </c>
      <c r="AH11" s="33">
        <v>15310299.5</v>
      </c>
      <c r="AI11" s="33">
        <v>18297556</v>
      </c>
    </row>
    <row r="12" spans="1:41" x14ac:dyDescent="0.3">
      <c r="A12" s="17" t="s">
        <v>59</v>
      </c>
      <c r="B12" s="71">
        <f t="shared" ref="B12:AB12" si="14">SUM(B13:B18)</f>
        <v>549.0847</v>
      </c>
      <c r="C12" s="71">
        <f t="shared" si="14"/>
        <v>4015405</v>
      </c>
      <c r="D12" s="71">
        <f t="shared" si="14"/>
        <v>1344541</v>
      </c>
      <c r="E12" s="71">
        <f t="shared" si="14"/>
        <v>313601</v>
      </c>
      <c r="F12" s="71">
        <f t="shared" si="14"/>
        <v>945205</v>
      </c>
      <c r="G12" s="71">
        <f t="shared" si="14"/>
        <v>679804</v>
      </c>
      <c r="H12" s="71">
        <f t="shared" si="14"/>
        <v>797403</v>
      </c>
      <c r="I12" s="71">
        <f t="shared" si="14"/>
        <v>909537</v>
      </c>
      <c r="J12" s="71">
        <f t="shared" si="14"/>
        <v>1179807</v>
      </c>
      <c r="K12" s="71">
        <f t="shared" si="14"/>
        <v>1842704</v>
      </c>
      <c r="L12" s="71">
        <f t="shared" si="14"/>
        <v>2234516</v>
      </c>
      <c r="M12" s="71">
        <f t="shared" si="14"/>
        <v>2521143</v>
      </c>
      <c r="N12" s="71">
        <f t="shared" si="14"/>
        <v>2856157</v>
      </c>
      <c r="O12" s="71">
        <f t="shared" si="14"/>
        <v>11600519</v>
      </c>
      <c r="P12" s="71">
        <f t="shared" si="14"/>
        <v>9300660</v>
      </c>
      <c r="Q12" s="71">
        <f t="shared" si="14"/>
        <v>347304</v>
      </c>
      <c r="R12" s="71">
        <f t="shared" si="14"/>
        <v>588996</v>
      </c>
      <c r="S12" s="71">
        <f t="shared" si="14"/>
        <v>2165940</v>
      </c>
      <c r="T12" s="71">
        <f t="shared" si="14"/>
        <v>2459336</v>
      </c>
      <c r="U12" s="71">
        <f t="shared" si="14"/>
        <v>2775541</v>
      </c>
      <c r="V12" s="71">
        <f t="shared" si="14"/>
        <v>2505342</v>
      </c>
      <c r="W12" s="71">
        <f t="shared" si="14"/>
        <v>2978272</v>
      </c>
      <c r="X12" s="71">
        <f t="shared" si="14"/>
        <v>3093406</v>
      </c>
      <c r="Y12" s="71">
        <f t="shared" si="14"/>
        <v>2580527</v>
      </c>
      <c r="Z12" s="71">
        <f t="shared" si="14"/>
        <v>2903144</v>
      </c>
      <c r="AA12" s="71">
        <f t="shared" si="14"/>
        <v>4818086</v>
      </c>
      <c r="AB12" s="71">
        <f t="shared" si="14"/>
        <v>5254870</v>
      </c>
      <c r="AC12" s="71">
        <f t="shared" ref="AC12:AO12" si="15">SUM(AC13:AC18)</f>
        <v>13389959.75</v>
      </c>
      <c r="AD12" s="71">
        <f t="shared" si="15"/>
        <v>234725</v>
      </c>
      <c r="AE12" s="71">
        <f t="shared" si="15"/>
        <v>294570</v>
      </c>
      <c r="AF12" s="71">
        <f t="shared" si="15"/>
        <v>660198</v>
      </c>
      <c r="AG12" s="71">
        <f t="shared" si="15"/>
        <v>575031</v>
      </c>
      <c r="AH12" s="71">
        <f t="shared" si="15"/>
        <v>802551</v>
      </c>
      <c r="AI12" s="71">
        <f t="shared" si="15"/>
        <v>992632.15</v>
      </c>
      <c r="AJ12" s="71">
        <f t="shared" si="15"/>
        <v>0</v>
      </c>
      <c r="AK12" s="71">
        <f t="shared" si="15"/>
        <v>0</v>
      </c>
      <c r="AL12" s="71">
        <f t="shared" si="15"/>
        <v>0</v>
      </c>
      <c r="AM12" s="71">
        <f t="shared" si="15"/>
        <v>0</v>
      </c>
      <c r="AN12" s="71">
        <f t="shared" si="15"/>
        <v>0</v>
      </c>
      <c r="AO12" s="71">
        <f t="shared" si="15"/>
        <v>0</v>
      </c>
    </row>
    <row r="13" spans="1:41" x14ac:dyDescent="0.3">
      <c r="A13" s="18" t="s">
        <v>60</v>
      </c>
      <c r="B13" s="29">
        <v>185.36</v>
      </c>
      <c r="C13" s="170">
        <v>4015405</v>
      </c>
      <c r="D13" s="19">
        <v>0</v>
      </c>
      <c r="E13" s="19">
        <v>125632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7910004</v>
      </c>
      <c r="P13" s="156">
        <v>6368527</v>
      </c>
      <c r="Q13" s="19">
        <v>0</v>
      </c>
      <c r="R13" s="19">
        <v>0</v>
      </c>
      <c r="S13" s="19">
        <v>0</v>
      </c>
      <c r="T13" s="19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>7100139.75+729732</f>
        <v>7829871.75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">
      <c r="A14" s="18" t="s">
        <v>61</v>
      </c>
      <c r="B14" s="29">
        <v>363.72469999999998</v>
      </c>
      <c r="C14" s="170"/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155435</v>
      </c>
      <c r="L14" s="19">
        <v>155435</v>
      </c>
      <c r="M14" s="19">
        <v>155436</v>
      </c>
      <c r="N14" s="19">
        <v>155436</v>
      </c>
      <c r="O14" s="19">
        <v>825237</v>
      </c>
      <c r="P14" s="175"/>
      <c r="Q14" s="19">
        <v>0</v>
      </c>
      <c r="R14" s="19">
        <v>0</v>
      </c>
      <c r="S14" s="19">
        <v>0</v>
      </c>
      <c r="T14" s="19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">
      <c r="A15" s="18" t="s">
        <v>62</v>
      </c>
      <c r="B15" s="29"/>
      <c r="C15" s="172"/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75"/>
      <c r="Q15" s="19">
        <v>0</v>
      </c>
      <c r="R15" s="19">
        <v>0</v>
      </c>
      <c r="S15" s="19">
        <v>0</v>
      </c>
      <c r="T15" s="19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">
      <c r="A16" s="18" t="s">
        <v>63</v>
      </c>
      <c r="B16" s="29"/>
      <c r="C16" s="170"/>
      <c r="D16" s="19">
        <v>824611</v>
      </c>
      <c r="E16" s="19">
        <v>112134</v>
      </c>
      <c r="F16" s="19">
        <v>425275</v>
      </c>
      <c r="G16" s="19">
        <v>508091</v>
      </c>
      <c r="H16" s="19">
        <v>625690</v>
      </c>
      <c r="I16" s="19">
        <v>737824</v>
      </c>
      <c r="J16" s="19">
        <v>737824</v>
      </c>
      <c r="K16" s="19">
        <v>962092</v>
      </c>
      <c r="L16" s="19">
        <v>1110216</v>
      </c>
      <c r="M16" s="19">
        <v>1222350</v>
      </c>
      <c r="N16" s="19">
        <v>1427844</v>
      </c>
      <c r="O16" s="19">
        <v>1441153</v>
      </c>
      <c r="P16" s="156"/>
      <c r="Q16" s="19">
        <v>151334</v>
      </c>
      <c r="R16" s="19">
        <v>250694</v>
      </c>
      <c r="S16" s="19">
        <v>411602</v>
      </c>
      <c r="T16" s="19">
        <v>523736</v>
      </c>
      <c r="U16" s="76">
        <v>635870</v>
      </c>
      <c r="V16" s="76">
        <v>751004</v>
      </c>
      <c r="W16" s="76">
        <v>866138</v>
      </c>
      <c r="X16" s="76">
        <v>981272</v>
      </c>
      <c r="Y16" s="76">
        <v>1096406</v>
      </c>
      <c r="Z16" s="76">
        <v>1220405</v>
      </c>
      <c r="AA16" s="76">
        <v>1335539</v>
      </c>
      <c r="AB16" s="76">
        <v>1565807</v>
      </c>
      <c r="AC16" s="76">
        <v>0</v>
      </c>
      <c r="AD16" s="76">
        <v>108225</v>
      </c>
      <c r="AE16" s="76">
        <v>132255</v>
      </c>
      <c r="AF16" s="76">
        <v>484566</v>
      </c>
      <c r="AG16" s="76">
        <v>477657</v>
      </c>
      <c r="AH16">
        <v>592791</v>
      </c>
      <c r="AI16">
        <v>707925</v>
      </c>
    </row>
    <row r="17" spans="1:41" x14ac:dyDescent="0.3">
      <c r="A17" s="18" t="s">
        <v>64</v>
      </c>
      <c r="B17" s="29"/>
      <c r="C17" s="29"/>
      <c r="D17" s="19">
        <v>519930</v>
      </c>
      <c r="E17" s="19">
        <v>75835</v>
      </c>
      <c r="F17" s="19">
        <v>519930</v>
      </c>
      <c r="G17" s="19">
        <v>171713</v>
      </c>
      <c r="H17" s="19">
        <v>171713</v>
      </c>
      <c r="I17" s="19">
        <v>171713</v>
      </c>
      <c r="J17" s="19">
        <v>441983</v>
      </c>
      <c r="K17" s="19">
        <v>725177</v>
      </c>
      <c r="L17" s="19">
        <v>968865</v>
      </c>
      <c r="M17" s="19">
        <v>1143357</v>
      </c>
      <c r="N17" s="19">
        <v>1272877</v>
      </c>
      <c r="O17" s="19">
        <v>1424125</v>
      </c>
      <c r="P17" s="175"/>
      <c r="Q17" s="19">
        <v>195970</v>
      </c>
      <c r="R17" s="19">
        <v>338302</v>
      </c>
      <c r="S17" s="19">
        <v>1754338</v>
      </c>
      <c r="T17" s="19">
        <v>1935600</v>
      </c>
      <c r="U17" s="76">
        <v>2139671</v>
      </c>
      <c r="V17" s="76">
        <v>1754338</v>
      </c>
      <c r="W17" s="76">
        <v>2112134</v>
      </c>
      <c r="X17" s="76">
        <v>2112134</v>
      </c>
      <c r="Y17" s="76">
        <v>1484121</v>
      </c>
      <c r="Z17" s="76">
        <v>1682739</v>
      </c>
      <c r="AA17" s="76">
        <v>3482547</v>
      </c>
      <c r="AB17" s="76">
        <v>3689063</v>
      </c>
      <c r="AC17" s="76">
        <v>0</v>
      </c>
      <c r="AD17" s="76">
        <v>126500</v>
      </c>
      <c r="AE17" s="76">
        <v>162315</v>
      </c>
      <c r="AF17" s="76">
        <v>175632</v>
      </c>
      <c r="AG17" s="76">
        <v>97374</v>
      </c>
      <c r="AH17">
        <v>209760</v>
      </c>
      <c r="AI17">
        <v>284707.15000000002</v>
      </c>
    </row>
    <row r="18" spans="1:41" x14ac:dyDescent="0.3">
      <c r="A18" s="18" t="s">
        <v>65</v>
      </c>
      <c r="B18" s="29"/>
      <c r="C18" s="158"/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75">
        <f>52743744-P21</f>
        <v>2932133</v>
      </c>
      <c r="Q18" s="19">
        <v>0</v>
      </c>
      <c r="R18" s="19">
        <v>0</v>
      </c>
      <c r="S18" s="19">
        <v>0</v>
      </c>
      <c r="T18" s="19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76">
        <f>63062722-AC21+226883</f>
        <v>5560088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41" x14ac:dyDescent="0.3">
      <c r="A19" s="17" t="s">
        <v>66</v>
      </c>
      <c r="B19" s="71">
        <f t="shared" ref="B19:H19" si="16">B3-B12</f>
        <v>14050.162846899</v>
      </c>
      <c r="C19" s="71">
        <f t="shared" si="16"/>
        <v>85973415.400000006</v>
      </c>
      <c r="D19" s="71">
        <f t="shared" si="16"/>
        <v>29241455</v>
      </c>
      <c r="E19" s="71">
        <f t="shared" si="16"/>
        <v>18540860</v>
      </c>
      <c r="F19" s="71">
        <f t="shared" si="16"/>
        <v>17912256</v>
      </c>
      <c r="G19" s="71">
        <f t="shared" si="16"/>
        <v>38097005</v>
      </c>
      <c r="H19" s="71">
        <f t="shared" si="16"/>
        <v>49034608</v>
      </c>
      <c r="I19" s="71">
        <f t="shared" ref="I19:AB19" si="17">I3-I12</f>
        <v>55938534</v>
      </c>
      <c r="J19" s="71">
        <f t="shared" si="17"/>
        <v>65233621</v>
      </c>
      <c r="K19" s="71">
        <f t="shared" si="17"/>
        <v>73700440</v>
      </c>
      <c r="L19" s="71">
        <f t="shared" si="17"/>
        <v>81638986</v>
      </c>
      <c r="M19" s="71">
        <f t="shared" si="17"/>
        <v>94883221</v>
      </c>
      <c r="N19" s="71">
        <f t="shared" si="17"/>
        <v>105812662</v>
      </c>
      <c r="O19" s="71">
        <f t="shared" si="17"/>
        <v>107606388</v>
      </c>
      <c r="P19" s="71">
        <f t="shared" si="17"/>
        <v>118329027</v>
      </c>
      <c r="Q19" s="71">
        <f t="shared" si="17"/>
        <v>10103062</v>
      </c>
      <c r="R19" s="71">
        <f t="shared" si="17"/>
        <v>20160116</v>
      </c>
      <c r="S19" s="71">
        <f t="shared" si="17"/>
        <v>30208512</v>
      </c>
      <c r="T19" s="71">
        <f t="shared" si="17"/>
        <v>44347517</v>
      </c>
      <c r="U19" s="71">
        <f t="shared" si="17"/>
        <v>58238359</v>
      </c>
      <c r="V19" s="71">
        <f t="shared" si="17"/>
        <v>67059716</v>
      </c>
      <c r="W19" s="71">
        <f t="shared" si="17"/>
        <v>90694244</v>
      </c>
      <c r="X19" s="71">
        <f t="shared" si="17"/>
        <v>95824742</v>
      </c>
      <c r="Y19" s="71">
        <f t="shared" si="17"/>
        <v>106897699</v>
      </c>
      <c r="Z19" s="71">
        <f t="shared" si="17"/>
        <v>117497219</v>
      </c>
      <c r="AA19" s="71">
        <f t="shared" si="17"/>
        <v>127202481</v>
      </c>
      <c r="AB19" s="71">
        <f t="shared" si="17"/>
        <v>146112232</v>
      </c>
      <c r="AC19" s="71">
        <f t="shared" ref="AC19:AG19" si="18">AC3-AC12</f>
        <v>149907262.25</v>
      </c>
      <c r="AD19" s="71">
        <f t="shared" si="18"/>
        <v>16557544</v>
      </c>
      <c r="AE19" s="71">
        <f t="shared" si="18"/>
        <v>29218790.640000001</v>
      </c>
      <c r="AF19" s="71">
        <f t="shared" si="18"/>
        <v>46929235.5</v>
      </c>
      <c r="AG19" s="71">
        <f t="shared" si="18"/>
        <v>59245635.709999993</v>
      </c>
      <c r="AH19" s="71">
        <f t="shared" ref="AH19:AO19" si="19">AH3-AH12</f>
        <v>72265602.099999994</v>
      </c>
      <c r="AI19" s="71">
        <f t="shared" si="19"/>
        <v>88142836.979999989</v>
      </c>
      <c r="AJ19" s="71">
        <f t="shared" si="19"/>
        <v>0</v>
      </c>
      <c r="AK19" s="71">
        <f t="shared" si="19"/>
        <v>0</v>
      </c>
      <c r="AL19" s="71">
        <f t="shared" si="19"/>
        <v>0</v>
      </c>
      <c r="AM19" s="71">
        <f t="shared" si="19"/>
        <v>0</v>
      </c>
      <c r="AN19" s="71">
        <f t="shared" si="19"/>
        <v>0</v>
      </c>
      <c r="AO19" s="71">
        <f t="shared" si="19"/>
        <v>0</v>
      </c>
    </row>
    <row r="20" spans="1:41" x14ac:dyDescent="0.3">
      <c r="A20" s="17" t="s">
        <v>67</v>
      </c>
      <c r="B20" s="71">
        <f t="shared" ref="B20:J20" si="20">B21-B22</f>
        <v>0</v>
      </c>
      <c r="C20" s="71">
        <f t="shared" si="20"/>
        <v>6731110</v>
      </c>
      <c r="D20" s="71">
        <f t="shared" si="20"/>
        <v>1340135</v>
      </c>
      <c r="E20" s="71">
        <f t="shared" si="20"/>
        <v>1046395</v>
      </c>
      <c r="F20" s="71">
        <f t="shared" si="20"/>
        <v>1443795</v>
      </c>
      <c r="G20" s="71">
        <f t="shared" si="20"/>
        <v>11443795</v>
      </c>
      <c r="H20" s="71">
        <f t="shared" si="20"/>
        <v>12996201</v>
      </c>
      <c r="I20" s="71">
        <f t="shared" si="20"/>
        <v>13759951.599999994</v>
      </c>
      <c r="J20" s="71">
        <f t="shared" si="20"/>
        <v>24284551</v>
      </c>
      <c r="K20" s="71">
        <f t="shared" ref="K20:AB20" si="21">K21-K22</f>
        <v>30311623</v>
      </c>
      <c r="L20" s="71">
        <f t="shared" si="21"/>
        <v>34311623</v>
      </c>
      <c r="M20" s="71">
        <f t="shared" si="21"/>
        <v>33173662</v>
      </c>
      <c r="N20" s="71">
        <f t="shared" si="21"/>
        <v>37673993</v>
      </c>
      <c r="O20" s="71">
        <f t="shared" si="21"/>
        <v>49811612</v>
      </c>
      <c r="P20" s="71">
        <f t="shared" si="21"/>
        <v>49811611</v>
      </c>
      <c r="Q20" s="71">
        <f t="shared" si="21"/>
        <v>1501103</v>
      </c>
      <c r="R20" s="71">
        <f t="shared" si="21"/>
        <v>4853203</v>
      </c>
      <c r="S20" s="71">
        <f t="shared" si="21"/>
        <v>5985783</v>
      </c>
      <c r="T20" s="71">
        <f t="shared" si="21"/>
        <v>11485783</v>
      </c>
      <c r="U20" s="71">
        <f t="shared" si="21"/>
        <v>14412285</v>
      </c>
      <c r="V20" s="71">
        <f t="shared" si="21"/>
        <v>13298351</v>
      </c>
      <c r="W20" s="71">
        <f t="shared" si="21"/>
        <v>18395086</v>
      </c>
      <c r="X20" s="71">
        <f t="shared" si="21"/>
        <v>23927186</v>
      </c>
      <c r="Y20" s="71">
        <f t="shared" si="21"/>
        <v>29121397</v>
      </c>
      <c r="Z20" s="71">
        <f t="shared" si="21"/>
        <v>36246707</v>
      </c>
      <c r="AA20" s="71">
        <f t="shared" si="21"/>
        <v>47497957</v>
      </c>
      <c r="AB20" s="71">
        <f t="shared" si="21"/>
        <v>57729517</v>
      </c>
      <c r="AC20" s="71">
        <f t="shared" ref="AC20:AG20" si="22">AC21-AC22</f>
        <v>57729517</v>
      </c>
      <c r="AD20" s="71">
        <f t="shared" si="22"/>
        <v>847732</v>
      </c>
      <c r="AE20" s="71">
        <f t="shared" si="22"/>
        <v>4638967</v>
      </c>
      <c r="AF20" s="71">
        <f t="shared" si="22"/>
        <v>20847732</v>
      </c>
      <c r="AG20" s="71">
        <f t="shared" si="22"/>
        <v>39417857</v>
      </c>
      <c r="AH20" s="71">
        <f t="shared" ref="AH20:AO20" si="23">AH21-AH22</f>
        <v>39417857</v>
      </c>
      <c r="AI20" s="71">
        <f t="shared" si="23"/>
        <v>40217983</v>
      </c>
      <c r="AJ20" s="71">
        <f t="shared" si="23"/>
        <v>0</v>
      </c>
      <c r="AK20" s="71">
        <f t="shared" si="23"/>
        <v>0</v>
      </c>
      <c r="AL20" s="71">
        <f t="shared" si="23"/>
        <v>0</v>
      </c>
      <c r="AM20" s="71">
        <f t="shared" si="23"/>
        <v>0</v>
      </c>
      <c r="AN20" s="71">
        <f t="shared" si="23"/>
        <v>0</v>
      </c>
      <c r="AO20" s="71">
        <f t="shared" si="23"/>
        <v>0</v>
      </c>
    </row>
    <row r="21" spans="1:41" x14ac:dyDescent="0.3">
      <c r="A21" s="18" t="s">
        <v>68</v>
      </c>
      <c r="B21" s="29"/>
      <c r="C21" s="158">
        <v>6731110</v>
      </c>
      <c r="D21" s="19">
        <v>98365365</v>
      </c>
      <c r="E21" s="19">
        <v>104802735</v>
      </c>
      <c r="F21" s="19">
        <v>105200135</v>
      </c>
      <c r="G21" s="19">
        <v>115200135</v>
      </c>
      <c r="H21" s="19">
        <v>116752541</v>
      </c>
      <c r="I21" s="19">
        <v>117516291.59999999</v>
      </c>
      <c r="J21" s="19">
        <v>128040891</v>
      </c>
      <c r="K21" s="19">
        <v>134067963</v>
      </c>
      <c r="L21" s="19">
        <v>138067963</v>
      </c>
      <c r="M21" s="19">
        <v>136930002</v>
      </c>
      <c r="N21" s="19">
        <v>141430333</v>
      </c>
      <c r="O21" s="19">
        <v>153567952</v>
      </c>
      <c r="P21" s="158">
        <v>49811611</v>
      </c>
      <c r="Q21" s="19">
        <v>155069054</v>
      </c>
      <c r="R21" s="19">
        <v>158421154</v>
      </c>
      <c r="S21" s="19">
        <v>159553734</v>
      </c>
      <c r="T21" s="19">
        <v>165053734</v>
      </c>
      <c r="U21" s="76">
        <v>167980236</v>
      </c>
      <c r="V21" s="76">
        <v>166866302</v>
      </c>
      <c r="W21" s="76">
        <v>171963037</v>
      </c>
      <c r="X21" s="76">
        <v>177495137</v>
      </c>
      <c r="Y21" s="76">
        <v>182689348</v>
      </c>
      <c r="Z21" s="76">
        <v>189814658</v>
      </c>
      <c r="AA21" s="76">
        <v>201065908</v>
      </c>
      <c r="AB21" s="76">
        <v>211297468</v>
      </c>
      <c r="AC21" s="76">
        <v>57729517</v>
      </c>
      <c r="AD21" s="76">
        <v>212145200</v>
      </c>
      <c r="AE21" s="76">
        <v>215936435</v>
      </c>
      <c r="AF21" s="76">
        <v>232145200</v>
      </c>
      <c r="AG21" s="76">
        <v>250715325</v>
      </c>
      <c r="AH21">
        <v>250715325</v>
      </c>
      <c r="AI21">
        <v>251515451</v>
      </c>
    </row>
    <row r="22" spans="1:41" x14ac:dyDescent="0.3">
      <c r="A22" s="18" t="s">
        <v>69</v>
      </c>
      <c r="B22" s="29"/>
      <c r="C22" s="29"/>
      <c r="D22" s="19">
        <v>97025230</v>
      </c>
      <c r="E22" s="19">
        <v>103756340</v>
      </c>
      <c r="F22" s="19">
        <v>103756340</v>
      </c>
      <c r="G22" s="19">
        <v>103756340</v>
      </c>
      <c r="H22" s="19">
        <v>103756340</v>
      </c>
      <c r="I22" s="19">
        <v>103756340</v>
      </c>
      <c r="J22" s="19">
        <v>103756340</v>
      </c>
      <c r="K22" s="19">
        <v>103756340</v>
      </c>
      <c r="L22" s="19">
        <v>103756340</v>
      </c>
      <c r="M22" s="19">
        <v>103756340</v>
      </c>
      <c r="N22" s="19">
        <v>103756340</v>
      </c>
      <c r="O22" s="19">
        <v>103756340</v>
      </c>
      <c r="P22" s="175"/>
      <c r="Q22" s="19">
        <v>153567951</v>
      </c>
      <c r="R22" s="19">
        <v>153567951</v>
      </c>
      <c r="S22" s="19">
        <v>153567951</v>
      </c>
      <c r="T22" s="19">
        <v>153567951</v>
      </c>
      <c r="U22" s="76">
        <v>153567951</v>
      </c>
      <c r="V22" s="76">
        <v>153567951</v>
      </c>
      <c r="W22" s="76">
        <v>153567951</v>
      </c>
      <c r="X22" s="76">
        <v>153567951</v>
      </c>
      <c r="Y22" s="76">
        <v>153567951</v>
      </c>
      <c r="Z22" s="76">
        <v>153567951</v>
      </c>
      <c r="AA22" s="76">
        <v>153567951</v>
      </c>
      <c r="AB22" s="76">
        <v>153567951</v>
      </c>
      <c r="AC22" s="76">
        <v>0</v>
      </c>
      <c r="AD22" s="76">
        <v>211297468</v>
      </c>
      <c r="AE22" s="76">
        <v>211297468</v>
      </c>
      <c r="AF22" s="76">
        <v>211297468</v>
      </c>
      <c r="AG22" s="76">
        <v>211297468</v>
      </c>
      <c r="AH22">
        <v>211297468</v>
      </c>
      <c r="AI22">
        <v>211297468</v>
      </c>
    </row>
    <row r="23" spans="1:41" x14ac:dyDescent="0.3">
      <c r="A23" s="17" t="s">
        <v>70</v>
      </c>
      <c r="B23" s="71">
        <f t="shared" ref="B23:AB23" si="24">SUM(B24:B28)</f>
        <v>11019.3799</v>
      </c>
      <c r="C23" s="71">
        <f t="shared" si="24"/>
        <v>41954424.07</v>
      </c>
      <c r="D23" s="71">
        <f t="shared" si="24"/>
        <v>11268205</v>
      </c>
      <c r="E23" s="71">
        <f t="shared" si="24"/>
        <v>12743928</v>
      </c>
      <c r="F23" s="71">
        <f t="shared" si="24"/>
        <v>7203492</v>
      </c>
      <c r="G23" s="71">
        <f t="shared" si="24"/>
        <v>14770903.300000001</v>
      </c>
      <c r="H23" s="71">
        <f t="shared" si="24"/>
        <v>16799638</v>
      </c>
      <c r="I23" s="71">
        <f t="shared" si="24"/>
        <v>18842693</v>
      </c>
      <c r="J23" s="71">
        <f t="shared" si="24"/>
        <v>20950423</v>
      </c>
      <c r="K23" s="71">
        <f t="shared" si="24"/>
        <v>22703242</v>
      </c>
      <c r="L23" s="71">
        <f t="shared" si="24"/>
        <v>24219227</v>
      </c>
      <c r="M23" s="71">
        <f t="shared" si="24"/>
        <v>34828451</v>
      </c>
      <c r="N23" s="71">
        <f t="shared" si="24"/>
        <v>36936315</v>
      </c>
      <c r="O23" s="71">
        <f t="shared" si="24"/>
        <v>43081642</v>
      </c>
      <c r="P23" s="71">
        <f t="shared" si="24"/>
        <v>47387554</v>
      </c>
      <c r="Q23" s="71">
        <f t="shared" si="24"/>
        <v>3350161</v>
      </c>
      <c r="R23" s="71">
        <f t="shared" si="24"/>
        <v>6288018</v>
      </c>
      <c r="S23" s="71">
        <f t="shared" si="24"/>
        <v>9723919</v>
      </c>
      <c r="T23" s="71">
        <f t="shared" si="24"/>
        <v>13342424</v>
      </c>
      <c r="U23" s="71">
        <f t="shared" si="24"/>
        <v>16670116</v>
      </c>
      <c r="V23" s="71">
        <f t="shared" si="24"/>
        <v>20144244</v>
      </c>
      <c r="W23" s="71">
        <f t="shared" si="24"/>
        <v>23743714</v>
      </c>
      <c r="X23" s="71">
        <f t="shared" si="24"/>
        <v>28538906</v>
      </c>
      <c r="Y23" s="71">
        <f t="shared" si="24"/>
        <v>31963329</v>
      </c>
      <c r="Z23" s="71">
        <f t="shared" si="24"/>
        <v>35295279</v>
      </c>
      <c r="AA23" s="71">
        <f t="shared" si="24"/>
        <v>40974849</v>
      </c>
      <c r="AB23" s="71">
        <f t="shared" si="24"/>
        <v>46124704</v>
      </c>
      <c r="AC23" s="71">
        <f t="shared" ref="AC23:AO23" si="25">SUM(AC24:AC28)</f>
        <v>50646966</v>
      </c>
      <c r="AD23" s="71">
        <f t="shared" si="25"/>
        <v>4442931</v>
      </c>
      <c r="AE23" s="71">
        <f t="shared" si="25"/>
        <v>9751671.0099999998</v>
      </c>
      <c r="AF23" s="71">
        <f t="shared" si="25"/>
        <v>15114694</v>
      </c>
      <c r="AG23" s="71">
        <f t="shared" si="25"/>
        <v>19130429.689999998</v>
      </c>
      <c r="AH23" s="71">
        <f t="shared" si="25"/>
        <v>24476548.560000002</v>
      </c>
      <c r="AI23" s="71">
        <f t="shared" si="25"/>
        <v>29343211.960000001</v>
      </c>
      <c r="AJ23" s="71">
        <f t="shared" si="25"/>
        <v>0</v>
      </c>
      <c r="AK23" s="71">
        <f t="shared" si="25"/>
        <v>0</v>
      </c>
      <c r="AL23" s="71">
        <f t="shared" si="25"/>
        <v>0</v>
      </c>
      <c r="AM23" s="71">
        <f t="shared" si="25"/>
        <v>0</v>
      </c>
      <c r="AN23" s="71">
        <f t="shared" si="25"/>
        <v>0</v>
      </c>
      <c r="AO23" s="71">
        <f t="shared" si="25"/>
        <v>0</v>
      </c>
    </row>
    <row r="24" spans="1:41" x14ac:dyDescent="0.3">
      <c r="A24" s="18" t="s">
        <v>71</v>
      </c>
      <c r="B24" s="29">
        <v>3512.444</v>
      </c>
      <c r="C24" s="172">
        <v>13381925</v>
      </c>
      <c r="D24" s="19">
        <v>4015380</v>
      </c>
      <c r="E24" s="19">
        <v>7203057</v>
      </c>
      <c r="F24" s="19">
        <v>2807941</v>
      </c>
      <c r="G24" s="19">
        <v>6283605.2999999998</v>
      </c>
      <c r="H24" s="19">
        <v>6337605</v>
      </c>
      <c r="I24" s="19">
        <v>6433605</v>
      </c>
      <c r="J24" s="19">
        <v>6624455</v>
      </c>
      <c r="K24" s="19">
        <v>6772255</v>
      </c>
      <c r="L24" s="19">
        <v>6812555</v>
      </c>
      <c r="M24" s="19">
        <v>16154594</v>
      </c>
      <c r="N24" s="19">
        <v>16949453</v>
      </c>
      <c r="O24" s="19">
        <v>19012053</v>
      </c>
      <c r="P24" s="158">
        <v>19797057</v>
      </c>
      <c r="Q24" s="19">
        <v>1511544</v>
      </c>
      <c r="R24" s="19">
        <v>3117450</v>
      </c>
      <c r="S24" s="19">
        <v>4699799</v>
      </c>
      <c r="T24" s="19">
        <v>6253907</v>
      </c>
      <c r="U24" s="76">
        <v>7867667</v>
      </c>
      <c r="V24" s="76">
        <v>9486634</v>
      </c>
      <c r="W24" s="76">
        <v>10969215</v>
      </c>
      <c r="X24" s="76">
        <v>12519274</v>
      </c>
      <c r="Y24" s="76">
        <v>14088672</v>
      </c>
      <c r="Z24" s="76">
        <v>15793602</v>
      </c>
      <c r="AA24" s="76">
        <v>17571459</v>
      </c>
      <c r="AB24" s="76">
        <v>19614180</v>
      </c>
      <c r="AC24" s="76">
        <v>19612580</v>
      </c>
      <c r="AD24" s="76">
        <v>1617391</v>
      </c>
      <c r="AE24" s="76">
        <v>3842988.78</v>
      </c>
      <c r="AF24" s="76">
        <v>5782451</v>
      </c>
      <c r="AG24" s="76">
        <v>7436948.1600000001</v>
      </c>
      <c r="AH24">
        <v>10661308.42</v>
      </c>
      <c r="AI24">
        <v>12734843.199999999</v>
      </c>
    </row>
    <row r="25" spans="1:41" x14ac:dyDescent="0.3">
      <c r="A25" s="18" t="s">
        <v>72</v>
      </c>
      <c r="B25" s="29">
        <v>401.87299999999999</v>
      </c>
      <c r="C25" s="170">
        <f>10316051+799332+2165546+162400</f>
        <v>13443329</v>
      </c>
      <c r="D25" s="19">
        <v>2653410</v>
      </c>
      <c r="E25" s="19">
        <v>2807941</v>
      </c>
      <c r="F25" s="19">
        <v>1662185</v>
      </c>
      <c r="G25" s="19">
        <v>3486480</v>
      </c>
      <c r="H25" s="19">
        <v>4701680</v>
      </c>
      <c r="I25" s="19">
        <v>5364635</v>
      </c>
      <c r="J25" s="19">
        <v>5869130</v>
      </c>
      <c r="K25" s="19">
        <v>6594370</v>
      </c>
      <c r="L25" s="19">
        <v>7082465</v>
      </c>
      <c r="M25" s="19">
        <v>7672180</v>
      </c>
      <c r="N25" s="19">
        <v>8586440</v>
      </c>
      <c r="O25" s="19">
        <v>10989475</v>
      </c>
      <c r="P25" s="156">
        <v>11412615</v>
      </c>
      <c r="Q25" s="19">
        <v>542705</v>
      </c>
      <c r="R25" s="19">
        <v>1113115</v>
      </c>
      <c r="S25" s="19">
        <v>2027590</v>
      </c>
      <c r="T25" s="19">
        <v>3361525</v>
      </c>
      <c r="U25" s="76">
        <v>4225905</v>
      </c>
      <c r="V25" s="76">
        <v>4814815</v>
      </c>
      <c r="W25" s="76">
        <v>5716795</v>
      </c>
      <c r="X25" s="76">
        <v>7629415</v>
      </c>
      <c r="Y25" s="76">
        <v>8345135</v>
      </c>
      <c r="Z25" s="76">
        <v>8922030</v>
      </c>
      <c r="AA25" s="76">
        <v>10647080</v>
      </c>
      <c r="AB25" s="76">
        <v>13649955</v>
      </c>
      <c r="AC25" s="76">
        <v>14849285</v>
      </c>
      <c r="AD25" s="76">
        <v>1286136</v>
      </c>
      <c r="AE25" s="76">
        <v>2813798</v>
      </c>
      <c r="AF25" s="76">
        <v>5087435</v>
      </c>
      <c r="AG25" s="76">
        <v>6118396</v>
      </c>
      <c r="AH25">
        <v>6987978</v>
      </c>
      <c r="AI25">
        <v>8212437</v>
      </c>
    </row>
    <row r="26" spans="1:41" x14ac:dyDescent="0.3">
      <c r="A26" s="18" t="s">
        <v>73</v>
      </c>
      <c r="B26" s="29">
        <v>919.3528</v>
      </c>
      <c r="C26" s="170"/>
      <c r="D26" s="19">
        <v>118890</v>
      </c>
      <c r="E26" s="19">
        <v>60000</v>
      </c>
      <c r="F26" s="19">
        <v>60000</v>
      </c>
      <c r="G26" s="19">
        <v>60000</v>
      </c>
      <c r="H26" s="19">
        <v>60000</v>
      </c>
      <c r="I26" s="19">
        <v>60000</v>
      </c>
      <c r="J26" s="19">
        <v>72000</v>
      </c>
      <c r="K26" s="19">
        <v>72000</v>
      </c>
      <c r="L26" s="19">
        <v>72000</v>
      </c>
      <c r="M26" s="19">
        <v>72000</v>
      </c>
      <c r="N26" s="19">
        <v>72000</v>
      </c>
      <c r="O26" s="19">
        <v>72000</v>
      </c>
      <c r="P26" s="156">
        <v>42000</v>
      </c>
      <c r="Q26" s="19">
        <v>0</v>
      </c>
      <c r="R26" s="19">
        <v>0</v>
      </c>
      <c r="S26" s="19">
        <v>0</v>
      </c>
      <c r="T26" s="19">
        <v>0</v>
      </c>
      <c r="U26" s="76">
        <v>69000</v>
      </c>
      <c r="V26" s="76">
        <v>69000</v>
      </c>
      <c r="W26" s="76">
        <v>69000</v>
      </c>
      <c r="X26" s="76">
        <v>69000</v>
      </c>
      <c r="Y26" s="76">
        <v>70500</v>
      </c>
      <c r="Z26" s="76">
        <v>70500</v>
      </c>
      <c r="AA26" s="76">
        <v>120500</v>
      </c>
      <c r="AB26" s="76">
        <v>120500</v>
      </c>
      <c r="AC26" s="76">
        <v>120500</v>
      </c>
      <c r="AD26" s="76">
        <v>56500</v>
      </c>
      <c r="AE26" s="76">
        <v>79500</v>
      </c>
      <c r="AF26" s="76">
        <v>99500</v>
      </c>
      <c r="AG26" s="76">
        <v>99500</v>
      </c>
      <c r="AH26">
        <v>99500</v>
      </c>
      <c r="AI26">
        <v>99500</v>
      </c>
    </row>
    <row r="27" spans="1:41" x14ac:dyDescent="0.3">
      <c r="A27" s="18" t="s">
        <v>74</v>
      </c>
      <c r="B27" s="29">
        <v>1276.981</v>
      </c>
      <c r="C27" s="170">
        <v>2250348.0699999998</v>
      </c>
      <c r="D27" s="19">
        <v>815244</v>
      </c>
      <c r="E27" s="19">
        <v>427667</v>
      </c>
      <c r="F27" s="19">
        <v>427667</v>
      </c>
      <c r="G27" s="19">
        <v>874088</v>
      </c>
      <c r="H27" s="19">
        <v>1105358</v>
      </c>
      <c r="I27" s="19">
        <v>1336628</v>
      </c>
      <c r="J27" s="19">
        <v>1567898</v>
      </c>
      <c r="K27" s="19">
        <v>1799168</v>
      </c>
      <c r="L27" s="19">
        <v>2030438</v>
      </c>
      <c r="M27" s="19">
        <v>2261708</v>
      </c>
      <c r="N27" s="19">
        <v>2492978</v>
      </c>
      <c r="O27" s="19">
        <v>2662015</v>
      </c>
      <c r="P27" s="156">
        <v>2157687</v>
      </c>
      <c r="Q27" s="19">
        <v>219307</v>
      </c>
      <c r="R27" s="19">
        <v>438613</v>
      </c>
      <c r="S27" s="19">
        <v>657920</v>
      </c>
      <c r="T27" s="19">
        <v>877227</v>
      </c>
      <c r="U27" s="76">
        <v>1096535</v>
      </c>
      <c r="V27" s="76">
        <v>1315841</v>
      </c>
      <c r="W27" s="76">
        <v>1577790</v>
      </c>
      <c r="X27" s="76">
        <v>1992863</v>
      </c>
      <c r="Y27" s="76">
        <v>2460918</v>
      </c>
      <c r="Z27" s="76">
        <v>2910458</v>
      </c>
      <c r="AA27" s="76">
        <v>3359998</v>
      </c>
      <c r="AB27" s="76">
        <v>2542207</v>
      </c>
      <c r="AC27" s="76">
        <v>2539507</v>
      </c>
      <c r="AD27" s="76">
        <v>449539</v>
      </c>
      <c r="AE27" s="76">
        <v>899079.23</v>
      </c>
      <c r="AF27" s="76">
        <v>1348618</v>
      </c>
      <c r="AG27" s="76">
        <v>1798158.45</v>
      </c>
      <c r="AH27">
        <v>2247698.06</v>
      </c>
      <c r="AI27">
        <v>2697237.68</v>
      </c>
    </row>
    <row r="28" spans="1:41" x14ac:dyDescent="0.3">
      <c r="A28" s="18" t="s">
        <v>75</v>
      </c>
      <c r="B28" s="29">
        <v>4908.7290999999996</v>
      </c>
      <c r="C28" s="170">
        <v>12878822</v>
      </c>
      <c r="D28" s="19">
        <v>3665281</v>
      </c>
      <c r="E28" s="19">
        <v>2245263</v>
      </c>
      <c r="F28" s="19">
        <v>2245699</v>
      </c>
      <c r="G28" s="19">
        <v>4066730</v>
      </c>
      <c r="H28" s="19">
        <v>4594995</v>
      </c>
      <c r="I28" s="19">
        <v>5647825</v>
      </c>
      <c r="J28" s="19">
        <v>6816940</v>
      </c>
      <c r="K28" s="19">
        <v>7465449</v>
      </c>
      <c r="L28" s="19">
        <v>8221769</v>
      </c>
      <c r="M28" s="19">
        <v>8667969</v>
      </c>
      <c r="N28" s="19">
        <v>8835444</v>
      </c>
      <c r="O28" s="19">
        <v>10346099</v>
      </c>
      <c r="P28" s="167">
        <f>14020195-P26</f>
        <v>13978195</v>
      </c>
      <c r="Q28" s="19">
        <v>1076605</v>
      </c>
      <c r="R28" s="19">
        <v>1618840</v>
      </c>
      <c r="S28" s="19">
        <v>2338610</v>
      </c>
      <c r="T28" s="19">
        <v>2849765</v>
      </c>
      <c r="U28" s="76">
        <v>3411009</v>
      </c>
      <c r="V28" s="76">
        <v>4457954</v>
      </c>
      <c r="W28" s="76">
        <v>5410914</v>
      </c>
      <c r="X28" s="76">
        <v>6328354</v>
      </c>
      <c r="Y28" s="76">
        <v>6998104</v>
      </c>
      <c r="Z28" s="76">
        <v>7598689</v>
      </c>
      <c r="AA28" s="76">
        <v>9275812</v>
      </c>
      <c r="AB28" s="76">
        <v>10197862</v>
      </c>
      <c r="AC28" s="76">
        <f>13645594-AC26</f>
        <v>13525094</v>
      </c>
      <c r="AD28" s="76">
        <v>1033365</v>
      </c>
      <c r="AE28" s="76">
        <v>2116305</v>
      </c>
      <c r="AF28" s="76">
        <v>2796690</v>
      </c>
      <c r="AG28" s="76">
        <v>3677427.08</v>
      </c>
      <c r="AH28">
        <v>4480064.08</v>
      </c>
      <c r="AI28">
        <v>5599194.0800000001</v>
      </c>
    </row>
    <row r="29" spans="1:41" x14ac:dyDescent="0.3">
      <c r="A29" s="17" t="s">
        <v>76</v>
      </c>
      <c r="B29" s="71">
        <f t="shared" ref="B29:J29" si="26">B19-B20-B23</f>
        <v>3030.7829468990003</v>
      </c>
      <c r="C29" s="71">
        <f t="shared" si="26"/>
        <v>37287881.330000006</v>
      </c>
      <c r="D29" s="71">
        <f t="shared" si="26"/>
        <v>16633115</v>
      </c>
      <c r="E29" s="71">
        <f t="shared" si="26"/>
        <v>4750537</v>
      </c>
      <c r="F29" s="71">
        <f t="shared" si="26"/>
        <v>9264969</v>
      </c>
      <c r="G29" s="71">
        <f t="shared" si="26"/>
        <v>11882306.699999999</v>
      </c>
      <c r="H29" s="71">
        <f t="shared" si="26"/>
        <v>19238769</v>
      </c>
      <c r="I29" s="71">
        <f t="shared" si="26"/>
        <v>23335889.400000006</v>
      </c>
      <c r="J29" s="71">
        <f t="shared" si="26"/>
        <v>19998647</v>
      </c>
      <c r="K29" s="71">
        <f t="shared" ref="K29:AA29" si="27">K19-K20-K23</f>
        <v>20685575</v>
      </c>
      <c r="L29" s="71">
        <f t="shared" si="27"/>
        <v>23108136</v>
      </c>
      <c r="M29" s="71">
        <f t="shared" si="27"/>
        <v>26881108</v>
      </c>
      <c r="N29" s="71">
        <f t="shared" si="27"/>
        <v>31202354</v>
      </c>
      <c r="O29" s="71">
        <f t="shared" si="27"/>
        <v>14713134</v>
      </c>
      <c r="P29" s="71">
        <f t="shared" si="27"/>
        <v>21129862</v>
      </c>
      <c r="Q29" s="71">
        <f t="shared" si="27"/>
        <v>5251798</v>
      </c>
      <c r="R29" s="71">
        <f t="shared" si="27"/>
        <v>9018895</v>
      </c>
      <c r="S29" s="71">
        <f t="shared" si="27"/>
        <v>14498810</v>
      </c>
      <c r="T29" s="71">
        <f t="shared" si="27"/>
        <v>19519310</v>
      </c>
      <c r="U29" s="71">
        <f t="shared" si="27"/>
        <v>27155958</v>
      </c>
      <c r="V29" s="71">
        <f t="shared" si="27"/>
        <v>33617121</v>
      </c>
      <c r="W29" s="71">
        <f t="shared" si="27"/>
        <v>48555444</v>
      </c>
      <c r="X29" s="71">
        <f t="shared" si="27"/>
        <v>43358650</v>
      </c>
      <c r="Y29" s="71">
        <f t="shared" si="27"/>
        <v>45812973</v>
      </c>
      <c r="Z29" s="71">
        <f t="shared" si="27"/>
        <v>45955233</v>
      </c>
      <c r="AA29" s="71">
        <f t="shared" si="27"/>
        <v>38729675</v>
      </c>
      <c r="AB29" s="71">
        <f>AB19-AB20-AB23</f>
        <v>42258011</v>
      </c>
      <c r="AC29" s="71">
        <f>AC19-AC20-AC23</f>
        <v>41530779.25</v>
      </c>
      <c r="AD29" s="71">
        <f t="shared" ref="AD29:AG29" si="28">AD19-AD20-AD23</f>
        <v>11266881</v>
      </c>
      <c r="AE29" s="71">
        <f t="shared" si="28"/>
        <v>14828152.630000001</v>
      </c>
      <c r="AF29" s="71">
        <f t="shared" si="28"/>
        <v>10966809.5</v>
      </c>
      <c r="AG29" s="71">
        <f t="shared" si="28"/>
        <v>697349.01999999583</v>
      </c>
      <c r="AH29" s="71">
        <f t="shared" ref="AH29:AO29" si="29">AH19-AH20-AH23</f>
        <v>8371196.5399999917</v>
      </c>
      <c r="AI29" s="71">
        <f t="shared" si="29"/>
        <v>18581642.019999988</v>
      </c>
      <c r="AJ29" s="71">
        <f t="shared" si="29"/>
        <v>0</v>
      </c>
      <c r="AK29" s="71">
        <f t="shared" si="29"/>
        <v>0</v>
      </c>
      <c r="AL29" s="71">
        <f t="shared" si="29"/>
        <v>0</v>
      </c>
      <c r="AM29" s="71">
        <f t="shared" si="29"/>
        <v>0</v>
      </c>
      <c r="AN29" s="71">
        <f t="shared" si="29"/>
        <v>0</v>
      </c>
      <c r="AO29" s="71">
        <f t="shared" si="29"/>
        <v>0</v>
      </c>
    </row>
    <row r="30" spans="1:41" x14ac:dyDescent="0.3">
      <c r="A30" s="17" t="s">
        <v>77</v>
      </c>
      <c r="B30" s="71">
        <f t="shared" ref="B30:AB30" si="30">B31-B32</f>
        <v>0</v>
      </c>
      <c r="C30" s="71">
        <f t="shared" si="30"/>
        <v>0</v>
      </c>
      <c r="D30" s="71">
        <f t="shared" si="30"/>
        <v>185055</v>
      </c>
      <c r="E30" s="71">
        <f t="shared" si="30"/>
        <v>-48409</v>
      </c>
      <c r="F30" s="71">
        <f t="shared" si="30"/>
        <v>-48409</v>
      </c>
      <c r="G30" s="71">
        <f t="shared" si="30"/>
        <v>32130</v>
      </c>
      <c r="H30" s="71">
        <f t="shared" si="30"/>
        <v>-94865</v>
      </c>
      <c r="I30" s="71">
        <f t="shared" si="30"/>
        <v>-187845</v>
      </c>
      <c r="J30" s="71">
        <f t="shared" si="30"/>
        <v>-99506</v>
      </c>
      <c r="K30" s="71">
        <f>K31-K32</f>
        <v>-6438</v>
      </c>
      <c r="L30" s="71">
        <f>L31-L32</f>
        <v>45996</v>
      </c>
      <c r="M30" s="71">
        <f>M31-M32</f>
        <v>161790</v>
      </c>
      <c r="N30" s="71">
        <f>N31-N32</f>
        <v>857534</v>
      </c>
      <c r="O30" s="71">
        <f>O31-O32</f>
        <v>249406</v>
      </c>
      <c r="P30" s="71">
        <f t="shared" si="30"/>
        <v>0</v>
      </c>
      <c r="Q30" s="71">
        <f t="shared" si="30"/>
        <v>92405</v>
      </c>
      <c r="R30" s="71">
        <f t="shared" si="30"/>
        <v>111373</v>
      </c>
      <c r="S30" s="71">
        <f t="shared" si="30"/>
        <v>334561</v>
      </c>
      <c r="T30" s="71">
        <f t="shared" si="30"/>
        <v>591487</v>
      </c>
      <c r="U30" s="71">
        <f t="shared" si="30"/>
        <v>785436</v>
      </c>
      <c r="V30" s="71">
        <f t="shared" si="30"/>
        <v>932589</v>
      </c>
      <c r="W30" s="71">
        <f t="shared" si="30"/>
        <v>1309219</v>
      </c>
      <c r="X30" s="71">
        <f t="shared" si="30"/>
        <v>1593723</v>
      </c>
      <c r="Y30" s="71">
        <f t="shared" si="30"/>
        <v>1860137</v>
      </c>
      <c r="Z30" s="71">
        <f t="shared" si="30"/>
        <v>2129835</v>
      </c>
      <c r="AA30" s="71">
        <f t="shared" si="30"/>
        <v>2396077</v>
      </c>
      <c r="AB30" s="71">
        <f t="shared" si="30"/>
        <v>2544714</v>
      </c>
      <c r="AC30" s="71">
        <f t="shared" ref="AC30:AG30" si="31">AC31-AC32</f>
        <v>0</v>
      </c>
      <c r="AD30" s="71">
        <f t="shared" si="31"/>
        <v>365083</v>
      </c>
      <c r="AE30" s="71">
        <f t="shared" si="31"/>
        <v>555405.75</v>
      </c>
      <c r="AF30" s="71">
        <f t="shared" si="31"/>
        <v>534732</v>
      </c>
      <c r="AG30" s="71">
        <f t="shared" si="31"/>
        <v>994872.16000000015</v>
      </c>
      <c r="AH30" s="71">
        <f t="shared" ref="AH30:AO30" si="32">AH31-AH32</f>
        <v>1230337.0499999998</v>
      </c>
      <c r="AI30" s="71">
        <f t="shared" si="32"/>
        <v>1534769.0499999998</v>
      </c>
      <c r="AJ30" s="71">
        <f t="shared" si="32"/>
        <v>0</v>
      </c>
      <c r="AK30" s="71">
        <f t="shared" si="32"/>
        <v>0</v>
      </c>
      <c r="AL30" s="71">
        <f t="shared" si="32"/>
        <v>0</v>
      </c>
      <c r="AM30" s="71">
        <f t="shared" si="32"/>
        <v>0</v>
      </c>
      <c r="AN30" s="71">
        <f t="shared" si="32"/>
        <v>0</v>
      </c>
      <c r="AO30" s="71">
        <f t="shared" si="32"/>
        <v>0</v>
      </c>
    </row>
    <row r="31" spans="1:41" x14ac:dyDescent="0.3">
      <c r="A31" s="18" t="s">
        <v>78</v>
      </c>
      <c r="B31" s="29"/>
      <c r="C31" s="29"/>
      <c r="D31" s="19">
        <v>1274275</v>
      </c>
      <c r="E31" s="19">
        <v>612532</v>
      </c>
      <c r="F31" s="19">
        <v>612532</v>
      </c>
      <c r="G31" s="19">
        <v>1437847</v>
      </c>
      <c r="H31" s="19">
        <v>1749213</v>
      </c>
      <c r="I31" s="19">
        <v>2080259</v>
      </c>
      <c r="J31" s="19">
        <v>2441083</v>
      </c>
      <c r="K31" s="19">
        <v>2745634</v>
      </c>
      <c r="L31" s="19">
        <v>3029084</v>
      </c>
      <c r="M31" s="19">
        <v>3515034</v>
      </c>
      <c r="N31" s="19">
        <v>4134781</v>
      </c>
      <c r="O31" s="19">
        <v>4284853</v>
      </c>
      <c r="P31" s="175"/>
      <c r="Q31" s="19">
        <v>357829</v>
      </c>
      <c r="R31" s="19">
        <v>643535</v>
      </c>
      <c r="S31" s="19">
        <v>1024250</v>
      </c>
      <c r="T31" s="19">
        <v>1532075</v>
      </c>
      <c r="U31" s="76">
        <v>1963145</v>
      </c>
      <c r="V31" s="76">
        <v>2290316</v>
      </c>
      <c r="W31" s="76">
        <v>2910209</v>
      </c>
      <c r="X31" s="76">
        <v>3427248</v>
      </c>
      <c r="Y31" s="76">
        <v>3911957</v>
      </c>
      <c r="Z31" s="76">
        <v>4415134</v>
      </c>
      <c r="AA31" s="76">
        <v>4903370</v>
      </c>
      <c r="AB31" s="76">
        <v>5396807</v>
      </c>
      <c r="AC31" s="76"/>
      <c r="AD31" s="76">
        <v>687764</v>
      </c>
      <c r="AE31" s="76">
        <v>1193429.75</v>
      </c>
      <c r="AF31" s="76">
        <v>1716901</v>
      </c>
      <c r="AG31" s="76">
        <v>2591358.66</v>
      </c>
      <c r="AH31">
        <v>3094465.05</v>
      </c>
      <c r="AI31">
        <v>3671981.55</v>
      </c>
    </row>
    <row r="32" spans="1:41" x14ac:dyDescent="0.3">
      <c r="A32" s="18" t="s">
        <v>79</v>
      </c>
      <c r="B32" s="29"/>
      <c r="C32" s="29"/>
      <c r="D32" s="19">
        <v>1089220</v>
      </c>
      <c r="E32" s="19">
        <v>660941</v>
      </c>
      <c r="F32" s="19">
        <v>660941</v>
      </c>
      <c r="G32" s="19">
        <v>1405717</v>
      </c>
      <c r="H32" s="19">
        <v>1844078</v>
      </c>
      <c r="I32" s="19">
        <v>2268104</v>
      </c>
      <c r="J32" s="19">
        <v>2540589</v>
      </c>
      <c r="K32" s="19">
        <v>2752072</v>
      </c>
      <c r="L32" s="19">
        <v>2983088</v>
      </c>
      <c r="M32" s="19">
        <v>3353244</v>
      </c>
      <c r="N32" s="19">
        <v>3277247</v>
      </c>
      <c r="O32" s="19">
        <v>4035447</v>
      </c>
      <c r="P32" s="175"/>
      <c r="Q32" s="19">
        <v>265424</v>
      </c>
      <c r="R32" s="19">
        <v>532162</v>
      </c>
      <c r="S32" s="19">
        <v>689689</v>
      </c>
      <c r="T32" s="19">
        <v>940588</v>
      </c>
      <c r="U32" s="76">
        <v>1177709</v>
      </c>
      <c r="V32" s="76">
        <v>1357727</v>
      </c>
      <c r="W32" s="76">
        <v>1600990</v>
      </c>
      <c r="X32" s="76">
        <v>1833525</v>
      </c>
      <c r="Y32" s="76">
        <v>2051820</v>
      </c>
      <c r="Z32" s="76">
        <v>2285299</v>
      </c>
      <c r="AA32" s="76">
        <v>2507293</v>
      </c>
      <c r="AB32" s="76">
        <v>2852093</v>
      </c>
      <c r="AC32" s="76"/>
      <c r="AD32" s="76">
        <v>322681</v>
      </c>
      <c r="AE32" s="76">
        <v>638024</v>
      </c>
      <c r="AF32" s="76">
        <v>1182169</v>
      </c>
      <c r="AG32" s="76">
        <v>1596486.5</v>
      </c>
      <c r="AH32">
        <v>1864128</v>
      </c>
      <c r="AI32">
        <v>2137212.5</v>
      </c>
    </row>
    <row r="33" spans="1:41" x14ac:dyDescent="0.3">
      <c r="A33" s="20" t="s">
        <v>80</v>
      </c>
      <c r="B33" s="72">
        <f t="shared" ref="B33:AB33" si="33">B29+B30</f>
        <v>3030.7829468990003</v>
      </c>
      <c r="C33" s="72">
        <f t="shared" si="33"/>
        <v>37287881.330000006</v>
      </c>
      <c r="D33" s="72">
        <f t="shared" si="33"/>
        <v>16818170</v>
      </c>
      <c r="E33" s="72">
        <f t="shared" si="33"/>
        <v>4702128</v>
      </c>
      <c r="F33" s="72">
        <f t="shared" si="33"/>
        <v>9216560</v>
      </c>
      <c r="G33" s="72">
        <f t="shared" si="33"/>
        <v>11914436.699999999</v>
      </c>
      <c r="H33" s="72">
        <f t="shared" si="33"/>
        <v>19143904</v>
      </c>
      <c r="I33" s="72">
        <f t="shared" si="33"/>
        <v>23148044.400000006</v>
      </c>
      <c r="J33" s="72">
        <f t="shared" si="33"/>
        <v>19899141</v>
      </c>
      <c r="K33" s="72">
        <f t="shared" si="33"/>
        <v>20679137</v>
      </c>
      <c r="L33" s="72">
        <f t="shared" si="33"/>
        <v>23154132</v>
      </c>
      <c r="M33" s="72">
        <f t="shared" si="33"/>
        <v>27042898</v>
      </c>
      <c r="N33" s="72">
        <f t="shared" si="33"/>
        <v>32059888</v>
      </c>
      <c r="O33" s="72">
        <f t="shared" si="33"/>
        <v>14962540</v>
      </c>
      <c r="P33" s="72">
        <f t="shared" si="33"/>
        <v>21129862</v>
      </c>
      <c r="Q33" s="72">
        <f t="shared" si="33"/>
        <v>5344203</v>
      </c>
      <c r="R33" s="72">
        <f t="shared" si="33"/>
        <v>9130268</v>
      </c>
      <c r="S33" s="72">
        <f t="shared" si="33"/>
        <v>14833371</v>
      </c>
      <c r="T33" s="72">
        <f t="shared" si="33"/>
        <v>20110797</v>
      </c>
      <c r="U33" s="72">
        <f t="shared" si="33"/>
        <v>27941394</v>
      </c>
      <c r="V33" s="72">
        <f t="shared" si="33"/>
        <v>34549710</v>
      </c>
      <c r="W33" s="72">
        <f t="shared" si="33"/>
        <v>49864663</v>
      </c>
      <c r="X33" s="72">
        <f t="shared" si="33"/>
        <v>44952373</v>
      </c>
      <c r="Y33" s="72">
        <f t="shared" si="33"/>
        <v>47673110</v>
      </c>
      <c r="Z33" s="72">
        <f t="shared" si="33"/>
        <v>48085068</v>
      </c>
      <c r="AA33" s="72">
        <f t="shared" si="33"/>
        <v>41125752</v>
      </c>
      <c r="AB33" s="72">
        <f t="shared" si="33"/>
        <v>44802725</v>
      </c>
      <c r="AC33" s="72">
        <f t="shared" ref="AC33:AO33" si="34">AC29+AC30</f>
        <v>41530779.25</v>
      </c>
      <c r="AD33" s="72">
        <f t="shared" si="34"/>
        <v>11631964</v>
      </c>
      <c r="AE33" s="72">
        <f t="shared" si="34"/>
        <v>15383558.380000001</v>
      </c>
      <c r="AF33" s="72">
        <f t="shared" si="34"/>
        <v>11501541.5</v>
      </c>
      <c r="AG33" s="72">
        <f t="shared" si="34"/>
        <v>1692221.179999996</v>
      </c>
      <c r="AH33" s="72">
        <f t="shared" si="34"/>
        <v>9601533.5899999924</v>
      </c>
      <c r="AI33" s="72">
        <f t="shared" si="34"/>
        <v>20116411.069999989</v>
      </c>
      <c r="AJ33" s="72">
        <f t="shared" si="34"/>
        <v>0</v>
      </c>
      <c r="AK33" s="72">
        <f t="shared" si="34"/>
        <v>0</v>
      </c>
      <c r="AL33" s="72">
        <f t="shared" si="34"/>
        <v>0</v>
      </c>
      <c r="AM33" s="72">
        <f t="shared" si="34"/>
        <v>0</v>
      </c>
      <c r="AN33" s="72">
        <f t="shared" si="34"/>
        <v>0</v>
      </c>
      <c r="AO33" s="72">
        <f t="shared" si="34"/>
        <v>0</v>
      </c>
    </row>
    <row r="34" spans="1:41" x14ac:dyDescent="0.3">
      <c r="A34" s="18" t="s">
        <v>81</v>
      </c>
      <c r="B34" s="29">
        <v>20</v>
      </c>
      <c r="C34" s="172"/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58">
        <v>1574433</v>
      </c>
      <c r="Q34" s="19">
        <v>0</v>
      </c>
      <c r="R34" s="19">
        <v>0</v>
      </c>
      <c r="S34" s="19">
        <v>0</v>
      </c>
      <c r="T34" s="19">
        <v>0</v>
      </c>
      <c r="U34">
        <v>0</v>
      </c>
      <c r="V34">
        <v>0</v>
      </c>
      <c r="W34">
        <v>0</v>
      </c>
      <c r="X34">
        <v>0</v>
      </c>
      <c r="Y34">
        <v>0</v>
      </c>
      <c r="AC34">
        <v>1847529.3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41" x14ac:dyDescent="0.3">
      <c r="A35" s="17" t="s">
        <v>82</v>
      </c>
      <c r="B35" s="71">
        <f t="shared" ref="B35:AB35" si="35">B33-B34</f>
        <v>3010.7829468990003</v>
      </c>
      <c r="C35" s="71">
        <f t="shared" si="35"/>
        <v>37287881.330000006</v>
      </c>
      <c r="D35" s="71">
        <f t="shared" si="35"/>
        <v>16818170</v>
      </c>
      <c r="E35" s="71">
        <f t="shared" si="35"/>
        <v>4702128</v>
      </c>
      <c r="F35" s="71">
        <f t="shared" si="35"/>
        <v>9216560</v>
      </c>
      <c r="G35" s="71">
        <f t="shared" si="35"/>
        <v>11914436.699999999</v>
      </c>
      <c r="H35" s="71">
        <f t="shared" si="35"/>
        <v>19143904</v>
      </c>
      <c r="I35" s="71">
        <f t="shared" si="35"/>
        <v>23148044.400000006</v>
      </c>
      <c r="J35" s="71">
        <f t="shared" si="35"/>
        <v>19899141</v>
      </c>
      <c r="K35" s="71">
        <f t="shared" si="35"/>
        <v>20679137</v>
      </c>
      <c r="L35" s="71">
        <f t="shared" si="35"/>
        <v>23154132</v>
      </c>
      <c r="M35" s="71">
        <f t="shared" si="35"/>
        <v>27042898</v>
      </c>
      <c r="N35" s="71">
        <f t="shared" si="35"/>
        <v>32059888</v>
      </c>
      <c r="O35" s="71">
        <f t="shared" si="35"/>
        <v>14962540</v>
      </c>
      <c r="P35" s="71">
        <f t="shared" si="35"/>
        <v>19555429</v>
      </c>
      <c r="Q35" s="71">
        <f t="shared" si="35"/>
        <v>5344203</v>
      </c>
      <c r="R35" s="71">
        <f t="shared" si="35"/>
        <v>9130268</v>
      </c>
      <c r="S35" s="71">
        <f t="shared" si="35"/>
        <v>14833371</v>
      </c>
      <c r="T35" s="71">
        <f t="shared" si="35"/>
        <v>20110797</v>
      </c>
      <c r="U35" s="71">
        <f t="shared" si="35"/>
        <v>27941394</v>
      </c>
      <c r="V35" s="71">
        <f t="shared" si="35"/>
        <v>34549710</v>
      </c>
      <c r="W35" s="71">
        <f t="shared" si="35"/>
        <v>49864663</v>
      </c>
      <c r="X35" s="71">
        <f t="shared" si="35"/>
        <v>44952373</v>
      </c>
      <c r="Y35" s="71">
        <f t="shared" si="35"/>
        <v>47673110</v>
      </c>
      <c r="Z35" s="71">
        <f t="shared" si="35"/>
        <v>48085068</v>
      </c>
      <c r="AA35" s="71">
        <f t="shared" si="35"/>
        <v>41125752</v>
      </c>
      <c r="AB35" s="71">
        <f t="shared" si="35"/>
        <v>44802725</v>
      </c>
      <c r="AC35" s="71">
        <f t="shared" ref="AC35:AO35" si="36">AC33-AC34</f>
        <v>39683249.950000003</v>
      </c>
      <c r="AD35" s="71">
        <f t="shared" si="36"/>
        <v>11631964</v>
      </c>
      <c r="AE35" s="71">
        <f t="shared" si="36"/>
        <v>15383558.380000001</v>
      </c>
      <c r="AF35" s="71">
        <f t="shared" si="36"/>
        <v>11501541.5</v>
      </c>
      <c r="AG35" s="71">
        <f t="shared" si="36"/>
        <v>1692221.179999996</v>
      </c>
      <c r="AH35" s="71">
        <f t="shared" si="36"/>
        <v>9601533.5899999924</v>
      </c>
      <c r="AI35" s="71">
        <f t="shared" si="36"/>
        <v>20116411.069999989</v>
      </c>
      <c r="AJ35" s="71">
        <f t="shared" si="36"/>
        <v>0</v>
      </c>
      <c r="AK35" s="71">
        <f t="shared" si="36"/>
        <v>0</v>
      </c>
      <c r="AL35" s="71">
        <f t="shared" si="36"/>
        <v>0</v>
      </c>
      <c r="AM35" s="71">
        <f t="shared" si="36"/>
        <v>0</v>
      </c>
      <c r="AN35" s="71">
        <f t="shared" si="36"/>
        <v>0</v>
      </c>
      <c r="AO35" s="71">
        <f t="shared" si="36"/>
        <v>0</v>
      </c>
    </row>
    <row r="36" spans="1:41" x14ac:dyDescent="0.3">
      <c r="A36" s="18" t="s">
        <v>83</v>
      </c>
      <c r="B36" s="29"/>
      <c r="C36" s="29"/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75"/>
      <c r="Q36" s="19">
        <v>0</v>
      </c>
      <c r="R36" s="19">
        <v>0</v>
      </c>
      <c r="S36" s="19">
        <v>0</v>
      </c>
      <c r="T36" s="19">
        <v>0</v>
      </c>
      <c r="U36">
        <v>0</v>
      </c>
      <c r="V36">
        <v>0</v>
      </c>
      <c r="W36">
        <v>0</v>
      </c>
      <c r="X36">
        <v>0</v>
      </c>
      <c r="Y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41" x14ac:dyDescent="0.3">
      <c r="A37" s="17" t="s">
        <v>84</v>
      </c>
      <c r="B37" s="71">
        <f t="shared" ref="B37:AB37" si="37">B35-B36</f>
        <v>3010.7829468990003</v>
      </c>
      <c r="C37" s="71">
        <f t="shared" si="37"/>
        <v>37287881.330000006</v>
      </c>
      <c r="D37" s="71">
        <f t="shared" si="37"/>
        <v>16818170</v>
      </c>
      <c r="E37" s="71">
        <f t="shared" si="37"/>
        <v>4702128</v>
      </c>
      <c r="F37" s="71">
        <f t="shared" si="37"/>
        <v>9216560</v>
      </c>
      <c r="G37" s="71">
        <f t="shared" si="37"/>
        <v>11914436.699999999</v>
      </c>
      <c r="H37" s="71">
        <f t="shared" si="37"/>
        <v>19143904</v>
      </c>
      <c r="I37" s="71">
        <f t="shared" si="37"/>
        <v>23148044.400000006</v>
      </c>
      <c r="J37" s="71">
        <f t="shared" si="37"/>
        <v>19899141</v>
      </c>
      <c r="K37" s="71">
        <f t="shared" si="37"/>
        <v>20679137</v>
      </c>
      <c r="L37" s="71">
        <f t="shared" si="37"/>
        <v>23154132</v>
      </c>
      <c r="M37" s="71">
        <f t="shared" si="37"/>
        <v>27042898</v>
      </c>
      <c r="N37" s="71">
        <f t="shared" si="37"/>
        <v>32059888</v>
      </c>
      <c r="O37" s="71">
        <f t="shared" si="37"/>
        <v>14962540</v>
      </c>
      <c r="P37" s="71">
        <f t="shared" si="37"/>
        <v>19555429</v>
      </c>
      <c r="Q37" s="71">
        <f t="shared" si="37"/>
        <v>5344203</v>
      </c>
      <c r="R37" s="71">
        <f t="shared" si="37"/>
        <v>9130268</v>
      </c>
      <c r="S37" s="71">
        <f t="shared" si="37"/>
        <v>14833371</v>
      </c>
      <c r="T37" s="71">
        <f t="shared" si="37"/>
        <v>20110797</v>
      </c>
      <c r="U37" s="71">
        <f t="shared" si="37"/>
        <v>27941394</v>
      </c>
      <c r="V37" s="71">
        <f t="shared" si="37"/>
        <v>34549710</v>
      </c>
      <c r="W37" s="71">
        <f t="shared" si="37"/>
        <v>49864663</v>
      </c>
      <c r="X37" s="71">
        <f t="shared" si="37"/>
        <v>44952373</v>
      </c>
      <c r="Y37" s="71">
        <f t="shared" si="37"/>
        <v>47673110</v>
      </c>
      <c r="Z37" s="71">
        <f t="shared" si="37"/>
        <v>48085068</v>
      </c>
      <c r="AA37" s="71">
        <f t="shared" si="37"/>
        <v>41125752</v>
      </c>
      <c r="AB37" s="71">
        <f t="shared" si="37"/>
        <v>44802725</v>
      </c>
      <c r="AC37" s="71">
        <f t="shared" ref="AC37:AO37" si="38">AC35-AC36</f>
        <v>39683249.950000003</v>
      </c>
      <c r="AD37" s="71">
        <f t="shared" si="38"/>
        <v>11631964</v>
      </c>
      <c r="AE37" s="71">
        <f t="shared" si="38"/>
        <v>15383558.380000001</v>
      </c>
      <c r="AF37" s="71">
        <f t="shared" si="38"/>
        <v>11501541.5</v>
      </c>
      <c r="AG37" s="71">
        <f t="shared" si="38"/>
        <v>1692221.179999996</v>
      </c>
      <c r="AH37" s="71">
        <f t="shared" si="38"/>
        <v>9601533.5899999924</v>
      </c>
      <c r="AI37" s="71">
        <f t="shared" si="38"/>
        <v>20116411.069999989</v>
      </c>
      <c r="AJ37" s="71">
        <f t="shared" si="38"/>
        <v>0</v>
      </c>
      <c r="AK37" s="71">
        <f t="shared" si="38"/>
        <v>0</v>
      </c>
      <c r="AL37" s="71">
        <f t="shared" si="38"/>
        <v>0</v>
      </c>
      <c r="AM37" s="71">
        <f t="shared" si="38"/>
        <v>0</v>
      </c>
      <c r="AN37" s="71">
        <f t="shared" si="38"/>
        <v>0</v>
      </c>
      <c r="AO37" s="71">
        <f t="shared" si="38"/>
        <v>0</v>
      </c>
    </row>
    <row r="39" spans="1:41" s="33" customFormat="1" x14ac:dyDescent="0.3">
      <c r="A39" s="33" t="s">
        <v>85</v>
      </c>
      <c r="B39" s="73">
        <f>B12+B23</f>
        <v>11568.464599999999</v>
      </c>
      <c r="C39" s="73">
        <f>C12+C23</f>
        <v>45969829.07</v>
      </c>
      <c r="D39" s="73">
        <f>D12+D23</f>
        <v>12612746</v>
      </c>
      <c r="E39" s="73">
        <f>E12+E23</f>
        <v>13057529</v>
      </c>
      <c r="F39" s="73">
        <f>F12+F23</f>
        <v>8148697</v>
      </c>
      <c r="G39" s="73">
        <f t="shared" ref="G39:N39" si="39">G12+G23</f>
        <v>15450707.300000001</v>
      </c>
      <c r="H39" s="73">
        <f t="shared" si="39"/>
        <v>17597041</v>
      </c>
      <c r="I39" s="73">
        <f t="shared" si="39"/>
        <v>19752230</v>
      </c>
      <c r="J39" s="73">
        <f t="shared" si="39"/>
        <v>22130230</v>
      </c>
      <c r="K39" s="73">
        <f t="shared" si="39"/>
        <v>24545946</v>
      </c>
      <c r="L39" s="73">
        <f t="shared" si="39"/>
        <v>26453743</v>
      </c>
      <c r="M39" s="73">
        <f t="shared" si="39"/>
        <v>37349594</v>
      </c>
      <c r="N39" s="73">
        <f t="shared" si="39"/>
        <v>39792472</v>
      </c>
      <c r="O39" s="73">
        <f t="shared" ref="O39:T39" si="40">O12+O23</f>
        <v>54682161</v>
      </c>
      <c r="P39" s="73">
        <f t="shared" si="40"/>
        <v>56688214</v>
      </c>
      <c r="Q39" s="73">
        <f t="shared" si="40"/>
        <v>3697465</v>
      </c>
      <c r="R39" s="73">
        <f t="shared" si="40"/>
        <v>6877014</v>
      </c>
      <c r="S39" s="73">
        <f t="shared" si="40"/>
        <v>11889859</v>
      </c>
      <c r="T39" s="73">
        <f t="shared" si="40"/>
        <v>15801760</v>
      </c>
      <c r="U39" s="73">
        <f t="shared" ref="U39:Z39" si="41">U12+U23</f>
        <v>19445657</v>
      </c>
      <c r="V39" s="73">
        <f t="shared" si="41"/>
        <v>22649586</v>
      </c>
      <c r="W39" s="73">
        <f t="shared" si="41"/>
        <v>26721986</v>
      </c>
      <c r="X39" s="73">
        <f t="shared" si="41"/>
        <v>31632312</v>
      </c>
      <c r="Y39" s="73">
        <f t="shared" si="41"/>
        <v>34543856</v>
      </c>
      <c r="Z39" s="73">
        <f t="shared" si="41"/>
        <v>38198423</v>
      </c>
      <c r="AA39" s="73">
        <f t="shared" ref="AA39:AF39" si="42">AA12+AA23</f>
        <v>45792935</v>
      </c>
      <c r="AB39" s="73">
        <f t="shared" si="42"/>
        <v>51379574</v>
      </c>
      <c r="AC39" s="73">
        <f t="shared" si="42"/>
        <v>64036925.75</v>
      </c>
      <c r="AD39" s="73">
        <f t="shared" si="42"/>
        <v>4677656</v>
      </c>
      <c r="AE39" s="73">
        <f t="shared" si="42"/>
        <v>10046241.01</v>
      </c>
      <c r="AF39" s="73">
        <f t="shared" si="42"/>
        <v>15774892</v>
      </c>
    </row>
    <row r="41" spans="1:41" x14ac:dyDescent="0.3">
      <c r="F41" s="49"/>
      <c r="G41" s="49"/>
      <c r="H41" s="49"/>
      <c r="I41" s="49"/>
      <c r="J41" s="49">
        <f t="shared" ref="J41:R41" si="43">J39-I39</f>
        <v>2378000</v>
      </c>
      <c r="K41" s="49">
        <f t="shared" si="43"/>
        <v>2415716</v>
      </c>
      <c r="L41" s="49">
        <f t="shared" si="43"/>
        <v>1907797</v>
      </c>
      <c r="M41" s="49">
        <f t="shared" si="43"/>
        <v>10895851</v>
      </c>
      <c r="N41" s="49">
        <f t="shared" si="43"/>
        <v>2442878</v>
      </c>
      <c r="O41" s="49">
        <f t="shared" si="43"/>
        <v>14889689</v>
      </c>
      <c r="P41" s="49">
        <f t="shared" si="43"/>
        <v>2006053</v>
      </c>
      <c r="Q41" s="49">
        <f t="shared" si="43"/>
        <v>-52990749</v>
      </c>
      <c r="R41" s="49">
        <f t="shared" si="43"/>
        <v>3179549</v>
      </c>
      <c r="S41" s="49">
        <f>S39-R39</f>
        <v>5012845</v>
      </c>
      <c r="T41" s="49">
        <f>T39-S39</f>
        <v>3911901</v>
      </c>
      <c r="U41" s="49">
        <f t="shared" ref="U41:Y41" si="44">U39-T39</f>
        <v>3643897</v>
      </c>
      <c r="V41" s="49">
        <f t="shared" si="44"/>
        <v>3203929</v>
      </c>
      <c r="W41" s="49">
        <f t="shared" si="44"/>
        <v>4072400</v>
      </c>
      <c r="X41" s="49">
        <f t="shared" si="44"/>
        <v>4910326</v>
      </c>
      <c r="Y41" s="49">
        <f t="shared" si="44"/>
        <v>2911544</v>
      </c>
      <c r="Z41" s="49">
        <f>Z39-Y39</f>
        <v>3654567</v>
      </c>
      <c r="AA41" s="49">
        <f t="shared" ref="AA41:AE41" si="45">AA39-Z39</f>
        <v>7594512</v>
      </c>
      <c r="AB41" s="49">
        <f t="shared" si="45"/>
        <v>5586639</v>
      </c>
      <c r="AC41" s="49">
        <f t="shared" si="45"/>
        <v>12657351.75</v>
      </c>
      <c r="AD41" s="49">
        <f>AD39-AC39</f>
        <v>-59359269.75</v>
      </c>
      <c r="AE41" s="49">
        <f t="shared" si="45"/>
        <v>5368585.01</v>
      </c>
    </row>
    <row r="42" spans="1:41" x14ac:dyDescent="0.3">
      <c r="K42" s="49"/>
      <c r="L42" s="49"/>
      <c r="M42" s="49"/>
      <c r="N42" s="49"/>
    </row>
    <row r="43" spans="1:41" x14ac:dyDescent="0.3">
      <c r="J43" s="76"/>
      <c r="K43" s="76"/>
      <c r="L43" s="76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7"/>
  <sheetViews>
    <sheetView workbookViewId="0">
      <selection activeCell="G47" sqref="G47"/>
    </sheetView>
  </sheetViews>
  <sheetFormatPr defaultRowHeight="14.4" x14ac:dyDescent="0.3"/>
  <cols>
    <col min="2" max="2" width="19.44140625" customWidth="1"/>
    <col min="3" max="3" width="10.33203125" bestFit="1" customWidth="1"/>
    <col min="4" max="4" width="19.5546875" customWidth="1"/>
    <col min="5" max="5" width="12" customWidth="1"/>
    <col min="6" max="6" width="16.6640625" customWidth="1"/>
    <col min="8" max="9" width="14.33203125" bestFit="1" customWidth="1"/>
  </cols>
  <sheetData>
    <row r="1" spans="2:9" x14ac:dyDescent="0.3">
      <c r="D1" s="5">
        <v>44256</v>
      </c>
    </row>
    <row r="2" spans="2:9" ht="41.4" x14ac:dyDescent="0.3"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</row>
    <row r="3" spans="2:9" x14ac:dyDescent="0.3">
      <c r="B3" s="6" t="s">
        <v>154</v>
      </c>
      <c r="C3" s="13">
        <v>4163</v>
      </c>
      <c r="D3" s="13">
        <v>270403286.64999998</v>
      </c>
      <c r="E3" s="9">
        <v>0.01</v>
      </c>
      <c r="F3" s="8">
        <f>D3*E3</f>
        <v>2704032.8665</v>
      </c>
    </row>
    <row r="4" spans="2:9" x14ac:dyDescent="0.3">
      <c r="B4" s="6" t="s">
        <v>155</v>
      </c>
      <c r="C4" s="13">
        <v>924</v>
      </c>
      <c r="D4" s="13">
        <v>93093914</v>
      </c>
      <c r="E4" s="9">
        <v>0.05</v>
      </c>
      <c r="F4" s="8">
        <f>D4*E4</f>
        <v>4654695.7</v>
      </c>
      <c r="H4" t="s">
        <v>156</v>
      </c>
      <c r="I4" s="76">
        <f>D5+D6+D7</f>
        <v>188657523.25</v>
      </c>
    </row>
    <row r="5" spans="2:9" x14ac:dyDescent="0.3">
      <c r="B5" s="6" t="s">
        <v>157</v>
      </c>
      <c r="C5" s="13">
        <v>856</v>
      </c>
      <c r="D5" s="13">
        <v>85502588</v>
      </c>
      <c r="E5" s="9">
        <v>0.25</v>
      </c>
      <c r="F5" s="8">
        <f>D5*E5</f>
        <v>21375647</v>
      </c>
      <c r="H5" t="s">
        <v>158</v>
      </c>
      <c r="I5" s="115">
        <f>I4/D8</f>
        <v>0.34167510497323483</v>
      </c>
    </row>
    <row r="6" spans="2:9" x14ac:dyDescent="0.3">
      <c r="B6" s="6" t="s">
        <v>159</v>
      </c>
      <c r="C6" s="13">
        <v>647</v>
      </c>
      <c r="D6" s="13">
        <v>67308390</v>
      </c>
      <c r="E6" s="9">
        <v>0.5</v>
      </c>
      <c r="F6" s="8">
        <f>D6*E6</f>
        <v>33654195</v>
      </c>
    </row>
    <row r="7" spans="2:9" x14ac:dyDescent="0.3">
      <c r="B7" s="6" t="s">
        <v>160</v>
      </c>
      <c r="C7" s="13">
        <v>757</v>
      </c>
      <c r="D7" s="13">
        <v>35846545.25</v>
      </c>
      <c r="E7" s="9">
        <v>1</v>
      </c>
      <c r="F7" s="8">
        <f>D7*E7</f>
        <v>35846545.25</v>
      </c>
    </row>
    <row r="8" spans="2:9" x14ac:dyDescent="0.3">
      <c r="B8" s="7" t="s">
        <v>161</v>
      </c>
      <c r="C8" s="8">
        <f>SUM(C3:C7)</f>
        <v>7347</v>
      </c>
      <c r="D8" s="8">
        <f>SUM(D3:D7)</f>
        <v>552154723.89999998</v>
      </c>
      <c r="E8" s="8">
        <f>SUM(E3:E7)</f>
        <v>1.81</v>
      </c>
      <c r="F8" s="8">
        <f>SUM(F3:F7)</f>
        <v>98235115.816500008</v>
      </c>
    </row>
    <row r="10" spans="2:9" x14ac:dyDescent="0.3">
      <c r="D10" s="5">
        <v>44348</v>
      </c>
    </row>
    <row r="11" spans="2:9" ht="41.4" x14ac:dyDescent="0.3"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</row>
    <row r="12" spans="2:9" x14ac:dyDescent="0.3">
      <c r="B12" s="6" t="s">
        <v>154</v>
      </c>
      <c r="C12" s="13">
        <v>5926</v>
      </c>
      <c r="D12" s="13">
        <v>479841003</v>
      </c>
      <c r="E12" s="9">
        <v>0.01</v>
      </c>
      <c r="F12" s="8">
        <f>D12*E12</f>
        <v>4798410.03</v>
      </c>
    </row>
    <row r="13" spans="2:9" x14ac:dyDescent="0.3">
      <c r="B13" s="6" t="s">
        <v>155</v>
      </c>
      <c r="C13" s="13">
        <v>473</v>
      </c>
      <c r="D13" s="13">
        <v>40683976</v>
      </c>
      <c r="E13" s="9">
        <v>0.05</v>
      </c>
      <c r="F13" s="8">
        <f>D13*E13</f>
        <v>2034198.8</v>
      </c>
      <c r="H13" t="s">
        <v>156</v>
      </c>
      <c r="I13" s="174">
        <f>D14+D15+D16</f>
        <v>202810833</v>
      </c>
    </row>
    <row r="14" spans="2:9" x14ac:dyDescent="0.3">
      <c r="B14" s="6" t="s">
        <v>157</v>
      </c>
      <c r="C14" s="13">
        <v>481</v>
      </c>
      <c r="D14" s="13">
        <v>76036591</v>
      </c>
      <c r="E14" s="9">
        <v>0.25</v>
      </c>
      <c r="F14" s="8">
        <f>D14*E14</f>
        <v>19009147.75</v>
      </c>
      <c r="H14" t="s">
        <v>158</v>
      </c>
      <c r="I14" s="115">
        <f>I13/D17</f>
        <v>0.28038267929695704</v>
      </c>
    </row>
    <row r="15" spans="2:9" x14ac:dyDescent="0.3">
      <c r="B15" s="6" t="s">
        <v>159</v>
      </c>
      <c r="C15" s="13">
        <v>313</v>
      </c>
      <c r="D15" s="13">
        <v>70199414</v>
      </c>
      <c r="E15" s="9">
        <v>0.5</v>
      </c>
      <c r="F15" s="8">
        <f>D15*E15</f>
        <v>35099707</v>
      </c>
    </row>
    <row r="16" spans="2:9" x14ac:dyDescent="0.3">
      <c r="B16" s="6" t="s">
        <v>160</v>
      </c>
      <c r="C16" s="13">
        <v>2445</v>
      </c>
      <c r="D16" s="13">
        <v>56574828</v>
      </c>
      <c r="E16" s="9">
        <v>1</v>
      </c>
      <c r="F16" s="8">
        <f>D16*E16</f>
        <v>56574828</v>
      </c>
    </row>
    <row r="17" spans="2:9" x14ac:dyDescent="0.3">
      <c r="B17" s="7" t="s">
        <v>161</v>
      </c>
      <c r="C17" s="8">
        <f>SUM(C12:C16)</f>
        <v>9638</v>
      </c>
      <c r="D17" s="8">
        <f>SUM(D12:D16)</f>
        <v>723335812</v>
      </c>
      <c r="E17" s="8">
        <v>1.81</v>
      </c>
      <c r="F17" s="8">
        <f>SUM(F12:F16)</f>
        <v>117516291.58</v>
      </c>
    </row>
    <row r="19" spans="2:9" x14ac:dyDescent="0.3">
      <c r="D19" s="5">
        <v>44440</v>
      </c>
    </row>
    <row r="20" spans="2:9" ht="41.4" x14ac:dyDescent="0.3">
      <c r="B20" s="1" t="s">
        <v>149</v>
      </c>
      <c r="C20" s="1" t="s">
        <v>150</v>
      </c>
      <c r="D20" s="1" t="s">
        <v>151</v>
      </c>
      <c r="E20" s="1" t="s">
        <v>152</v>
      </c>
      <c r="F20" s="1" t="s">
        <v>153</v>
      </c>
    </row>
    <row r="21" spans="2:9" x14ac:dyDescent="0.3">
      <c r="B21" s="6" t="s">
        <v>154</v>
      </c>
      <c r="C21" s="13">
        <v>15854</v>
      </c>
      <c r="D21" s="13">
        <v>415920910</v>
      </c>
      <c r="E21" s="9">
        <v>0.01</v>
      </c>
      <c r="F21" s="8">
        <f>D21*E21</f>
        <v>4159209.1</v>
      </c>
    </row>
    <row r="22" spans="2:9" x14ac:dyDescent="0.3">
      <c r="B22" s="6" t="s">
        <v>155</v>
      </c>
      <c r="C22" s="13">
        <v>7037</v>
      </c>
      <c r="D22" s="13">
        <v>165142422</v>
      </c>
      <c r="E22" s="9">
        <v>0.05</v>
      </c>
      <c r="F22" s="8">
        <f>D22*E22</f>
        <v>8257121.1000000006</v>
      </c>
      <c r="H22" t="s">
        <v>156</v>
      </c>
      <c r="I22" s="174">
        <f>D23+D24+D25</f>
        <v>229737313</v>
      </c>
    </row>
    <row r="23" spans="2:9" x14ac:dyDescent="0.3">
      <c r="B23" s="6" t="s">
        <v>157</v>
      </c>
      <c r="C23" s="13">
        <v>4575</v>
      </c>
      <c r="D23" s="13">
        <v>90431503</v>
      </c>
      <c r="E23" s="9">
        <v>0.25</v>
      </c>
      <c r="F23" s="8">
        <f>D23*E23</f>
        <v>22607875.75</v>
      </c>
      <c r="H23" t="s">
        <v>158</v>
      </c>
      <c r="I23" s="115">
        <f>I22/D26</f>
        <v>0.2833462385812483</v>
      </c>
    </row>
    <row r="24" spans="2:9" x14ac:dyDescent="0.3">
      <c r="B24" s="6" t="s">
        <v>159</v>
      </c>
      <c r="C24" s="13">
        <v>2972</v>
      </c>
      <c r="D24" s="13">
        <v>71744152</v>
      </c>
      <c r="E24" s="9">
        <v>0.5</v>
      </c>
      <c r="F24" s="8">
        <f>D24*E24</f>
        <v>35872076</v>
      </c>
    </row>
    <row r="25" spans="2:9" x14ac:dyDescent="0.3">
      <c r="B25" s="6" t="s">
        <v>160</v>
      </c>
      <c r="C25" s="13">
        <v>3724</v>
      </c>
      <c r="D25" s="13">
        <v>67561658</v>
      </c>
      <c r="E25" s="9">
        <v>1</v>
      </c>
      <c r="F25" s="8">
        <f>D25*E25</f>
        <v>67561658</v>
      </c>
    </row>
    <row r="26" spans="2:9" x14ac:dyDescent="0.3">
      <c r="B26" s="7" t="s">
        <v>161</v>
      </c>
      <c r="C26" s="8">
        <f>SUM(C21:C25)</f>
        <v>34162</v>
      </c>
      <c r="D26" s="8">
        <f>SUM(D21:D25)</f>
        <v>810800645</v>
      </c>
      <c r="E26" s="8">
        <v>1.81</v>
      </c>
      <c r="F26" s="8">
        <f>SUM(F21:F25)</f>
        <v>138457939.94999999</v>
      </c>
    </row>
    <row r="28" spans="2:9" x14ac:dyDescent="0.3">
      <c r="D28" s="5">
        <v>44531</v>
      </c>
    </row>
    <row r="29" spans="2:9" ht="41.4" x14ac:dyDescent="0.3"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</row>
    <row r="30" spans="2:9" x14ac:dyDescent="0.3">
      <c r="B30" s="6" t="s">
        <v>154</v>
      </c>
      <c r="C30" s="13">
        <v>12109</v>
      </c>
      <c r="D30" s="13">
        <v>485769781</v>
      </c>
      <c r="E30" s="9">
        <v>0.01</v>
      </c>
      <c r="F30" s="8">
        <f>D30*E30</f>
        <v>4857697.8100000005</v>
      </c>
    </row>
    <row r="31" spans="2:9" x14ac:dyDescent="0.3">
      <c r="B31" s="6" t="s">
        <v>155</v>
      </c>
      <c r="C31" s="13">
        <v>1718</v>
      </c>
      <c r="D31" s="13">
        <v>62577728</v>
      </c>
      <c r="E31" s="9">
        <v>0.05</v>
      </c>
      <c r="F31" s="8">
        <f>D31*E31</f>
        <v>3128886.4000000004</v>
      </c>
      <c r="H31" t="s">
        <v>156</v>
      </c>
      <c r="I31" s="174">
        <f>D32+D33+D34</f>
        <v>244239681</v>
      </c>
    </row>
    <row r="32" spans="2:9" x14ac:dyDescent="0.3">
      <c r="B32" s="6" t="s">
        <v>157</v>
      </c>
      <c r="C32" s="13">
        <v>2596</v>
      </c>
      <c r="D32" s="13">
        <v>89577728</v>
      </c>
      <c r="E32" s="9">
        <v>0.25</v>
      </c>
      <c r="F32" s="8">
        <f>D32*E32</f>
        <v>22394432</v>
      </c>
      <c r="H32" t="s">
        <v>158</v>
      </c>
      <c r="I32" s="115">
        <f>I31/D35</f>
        <v>0.30815496904510908</v>
      </c>
    </row>
    <row r="33" spans="2:9" x14ac:dyDescent="0.3">
      <c r="B33" s="6" t="s">
        <v>159</v>
      </c>
      <c r="C33" s="13">
        <v>1269</v>
      </c>
      <c r="D33" s="13">
        <v>62950035</v>
      </c>
      <c r="E33" s="9">
        <v>0.5</v>
      </c>
      <c r="F33" s="8">
        <f>D33*E33</f>
        <v>31475017.5</v>
      </c>
    </row>
    <row r="34" spans="2:9" x14ac:dyDescent="0.3">
      <c r="B34" s="6" t="s">
        <v>160</v>
      </c>
      <c r="C34" s="13">
        <v>3601</v>
      </c>
      <c r="D34" s="13">
        <v>91711918</v>
      </c>
      <c r="E34" s="9">
        <v>1</v>
      </c>
      <c r="F34" s="8">
        <f>D34*E34</f>
        <v>91711918</v>
      </c>
    </row>
    <row r="35" spans="2:9" x14ac:dyDescent="0.3">
      <c r="B35" s="7" t="s">
        <v>161</v>
      </c>
      <c r="C35" s="8">
        <f>SUM(C30:C34)</f>
        <v>21293</v>
      </c>
      <c r="D35" s="8">
        <f>SUM(D30:D34)</f>
        <v>792587190</v>
      </c>
      <c r="E35" s="8">
        <v>1.81</v>
      </c>
      <c r="F35" s="8">
        <f>SUM(F30:F34)</f>
        <v>153567951.71000001</v>
      </c>
    </row>
    <row r="38" spans="2:9" x14ac:dyDescent="0.3">
      <c r="D38" s="5" t="s">
        <v>2</v>
      </c>
    </row>
    <row r="39" spans="2:9" ht="49.5" customHeight="1" x14ac:dyDescent="0.3">
      <c r="B39" s="1" t="s">
        <v>149</v>
      </c>
      <c r="C39" s="1" t="s">
        <v>150</v>
      </c>
      <c r="D39" s="1" t="s">
        <v>151</v>
      </c>
      <c r="E39" s="1" t="s">
        <v>152</v>
      </c>
      <c r="F39" s="1" t="s">
        <v>153</v>
      </c>
    </row>
    <row r="40" spans="2:9" x14ac:dyDescent="0.3">
      <c r="B40" s="6" t="s">
        <v>154</v>
      </c>
      <c r="C40" s="25">
        <v>12109</v>
      </c>
      <c r="D40" s="34">
        <v>485771802</v>
      </c>
      <c r="E40" s="9">
        <v>0.01</v>
      </c>
      <c r="F40" s="8">
        <f>D40*E40</f>
        <v>4857718.0200000005</v>
      </c>
    </row>
    <row r="41" spans="2:9" x14ac:dyDescent="0.3">
      <c r="B41" s="6" t="s">
        <v>155</v>
      </c>
      <c r="C41" s="25">
        <v>1718</v>
      </c>
      <c r="D41" s="34">
        <v>62577728</v>
      </c>
      <c r="E41" s="9">
        <v>0.05</v>
      </c>
      <c r="F41" s="8">
        <f>D41*E41</f>
        <v>3128886.4000000004</v>
      </c>
      <c r="H41" s="115"/>
    </row>
    <row r="42" spans="2:9" x14ac:dyDescent="0.3">
      <c r="B42" s="6" t="s">
        <v>157</v>
      </c>
      <c r="C42" s="25">
        <v>2596</v>
      </c>
      <c r="D42" s="34">
        <v>89577728</v>
      </c>
      <c r="E42" s="9">
        <v>0.25</v>
      </c>
      <c r="F42" s="8">
        <f>D42*E42</f>
        <v>22394432</v>
      </c>
      <c r="H42" t="s">
        <v>162</v>
      </c>
      <c r="I42" s="183">
        <f>(D42+D43+D44)/D45</f>
        <v>0.30815418328978489</v>
      </c>
    </row>
    <row r="43" spans="2:9" x14ac:dyDescent="0.3">
      <c r="B43" s="6" t="s">
        <v>159</v>
      </c>
      <c r="C43" s="25">
        <v>1269</v>
      </c>
      <c r="D43" s="34">
        <v>62950035</v>
      </c>
      <c r="E43" s="9">
        <v>0.5</v>
      </c>
      <c r="F43" s="8">
        <f>D43*E43</f>
        <v>31475017.5</v>
      </c>
    </row>
    <row r="44" spans="2:9" x14ac:dyDescent="0.3">
      <c r="B44" s="6" t="s">
        <v>160</v>
      </c>
      <c r="C44" s="25">
        <v>3601</v>
      </c>
      <c r="D44" s="34">
        <v>91711918</v>
      </c>
      <c r="E44" s="9">
        <v>1</v>
      </c>
      <c r="F44" s="8">
        <f>D44*E44</f>
        <v>91711918</v>
      </c>
    </row>
    <row r="45" spans="2:9" x14ac:dyDescent="0.3">
      <c r="B45" s="7" t="s">
        <v>161</v>
      </c>
      <c r="C45" s="8">
        <f>SUM(C40:C44)</f>
        <v>21293</v>
      </c>
      <c r="D45" s="8">
        <f>SUM(D40:D44)</f>
        <v>792589211</v>
      </c>
      <c r="E45" s="8">
        <v>1.81</v>
      </c>
      <c r="F45" s="8">
        <f>SUM(F40:F44)</f>
        <v>153567971.92000002</v>
      </c>
    </row>
    <row r="47" spans="2:9" x14ac:dyDescent="0.3">
      <c r="D47" s="49"/>
    </row>
  </sheetData>
  <dataValidations count="2">
    <dataValidation type="decimal" showErrorMessage="1" errorTitle="Error Msg" error="Enter a NO" sqref="C3:C7" xr:uid="{00000000-0002-0000-0300-000000000000}">
      <formula1>0</formula1>
      <formula2>999999999999</formula2>
    </dataValidation>
    <dataValidation type="decimal" showErrorMessage="1" errorTitle="Error Msg" error="Enter a number" sqref="D3:D7" xr:uid="{00000000-0002-0000-0300-000001000000}">
      <formula1>0</formula1>
      <formula2>999999999999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89AC8-8B5D-4C9A-959C-DC4EC837E852}">
  <dimension ref="B1:I47"/>
  <sheetViews>
    <sheetView workbookViewId="0">
      <selection activeCell="I4" sqref="I4"/>
    </sheetView>
  </sheetViews>
  <sheetFormatPr defaultRowHeight="14.4" x14ac:dyDescent="0.3"/>
  <cols>
    <col min="2" max="2" width="17.33203125" customWidth="1"/>
    <col min="3" max="3" width="10.33203125" bestFit="1" customWidth="1"/>
    <col min="4" max="4" width="15.88671875" bestFit="1" customWidth="1"/>
    <col min="6" max="6" width="15" bestFit="1" customWidth="1"/>
    <col min="9" max="9" width="15.33203125" bestFit="1" customWidth="1"/>
  </cols>
  <sheetData>
    <row r="1" spans="2:9" x14ac:dyDescent="0.3">
      <c r="D1" s="5">
        <v>44621</v>
      </c>
    </row>
    <row r="2" spans="2:9" ht="55.2" x14ac:dyDescent="0.3">
      <c r="B2" s="1" t="s">
        <v>149</v>
      </c>
      <c r="C2" s="1" t="s">
        <v>150</v>
      </c>
      <c r="D2" s="1" t="s">
        <v>151</v>
      </c>
      <c r="E2" s="1" t="s">
        <v>152</v>
      </c>
      <c r="F2" s="1" t="s">
        <v>153</v>
      </c>
    </row>
    <row r="3" spans="2:9" x14ac:dyDescent="0.3">
      <c r="B3" s="6" t="s">
        <v>154</v>
      </c>
      <c r="C3" s="13">
        <v>12109</v>
      </c>
      <c r="D3" s="13">
        <v>514493872</v>
      </c>
      <c r="E3" s="9">
        <v>0.01</v>
      </c>
      <c r="F3" s="8">
        <f>D3*E3</f>
        <v>5144938.72</v>
      </c>
    </row>
    <row r="4" spans="2:9" x14ac:dyDescent="0.3">
      <c r="B4" s="6" t="s">
        <v>155</v>
      </c>
      <c r="C4" s="13">
        <v>1718</v>
      </c>
      <c r="D4" s="13">
        <v>69304416</v>
      </c>
      <c r="E4" s="9">
        <v>0.05</v>
      </c>
      <c r="F4" s="8">
        <f>D4*E4</f>
        <v>3465220.8000000003</v>
      </c>
      <c r="H4" t="s">
        <v>156</v>
      </c>
      <c r="I4" s="76">
        <f>D5+D6+D7</f>
        <v>255404414</v>
      </c>
    </row>
    <row r="5" spans="2:9" x14ac:dyDescent="0.3">
      <c r="B5" s="6" t="s">
        <v>157</v>
      </c>
      <c r="C5" s="13">
        <v>2596</v>
      </c>
      <c r="D5" s="13">
        <v>94846185</v>
      </c>
      <c r="E5" s="9">
        <v>0.25</v>
      </c>
      <c r="F5" s="8">
        <f>D5*E5</f>
        <v>23711546.25</v>
      </c>
      <c r="H5" t="s">
        <v>158</v>
      </c>
      <c r="I5" s="115">
        <f>I4/D8</f>
        <v>0.30434174412369802</v>
      </c>
    </row>
    <row r="6" spans="2:9" x14ac:dyDescent="0.3">
      <c r="B6" s="6" t="s">
        <v>159</v>
      </c>
      <c r="C6" s="13">
        <v>1269</v>
      </c>
      <c r="D6" s="13">
        <v>66652402</v>
      </c>
      <c r="E6" s="9">
        <v>0.5</v>
      </c>
      <c r="F6" s="8">
        <f>D6*E6</f>
        <v>33326201</v>
      </c>
    </row>
    <row r="7" spans="2:9" x14ac:dyDescent="0.3">
      <c r="B7" s="6" t="s">
        <v>160</v>
      </c>
      <c r="C7" s="13">
        <v>3601</v>
      </c>
      <c r="D7" s="13">
        <v>93905827</v>
      </c>
      <c r="E7" s="9">
        <v>1</v>
      </c>
      <c r="F7" s="8">
        <f>D7*E7</f>
        <v>93905827</v>
      </c>
    </row>
    <row r="8" spans="2:9" x14ac:dyDescent="0.3">
      <c r="B8" s="7" t="s">
        <v>161</v>
      </c>
      <c r="C8" s="8">
        <f>SUM(C3:C7)</f>
        <v>21293</v>
      </c>
      <c r="D8" s="8">
        <f>SUM(D3:D7)</f>
        <v>839202702</v>
      </c>
      <c r="E8" s="8">
        <f>SUM(E3:E7)</f>
        <v>1.81</v>
      </c>
      <c r="F8" s="8">
        <f>SUM(F3:F7)</f>
        <v>159553733.76999998</v>
      </c>
    </row>
    <row r="10" spans="2:9" x14ac:dyDescent="0.3">
      <c r="D10" s="5">
        <v>44713</v>
      </c>
    </row>
    <row r="11" spans="2:9" ht="55.2" x14ac:dyDescent="0.3">
      <c r="B11" s="1" t="s">
        <v>149</v>
      </c>
      <c r="C11" s="1" t="s">
        <v>150</v>
      </c>
      <c r="D11" s="1" t="s">
        <v>151</v>
      </c>
      <c r="E11" s="1" t="s">
        <v>152</v>
      </c>
      <c r="F11" s="1" t="s">
        <v>153</v>
      </c>
    </row>
    <row r="12" spans="2:9" x14ac:dyDescent="0.3">
      <c r="B12" s="6" t="s">
        <v>154</v>
      </c>
      <c r="C12" s="13">
        <v>4166</v>
      </c>
      <c r="D12" s="13">
        <v>337244315</v>
      </c>
      <c r="E12" s="9">
        <v>0.01</v>
      </c>
      <c r="F12" s="8">
        <f>D12*E12</f>
        <v>3372443.15</v>
      </c>
    </row>
    <row r="13" spans="2:9" x14ac:dyDescent="0.3">
      <c r="B13" s="6" t="s">
        <v>155</v>
      </c>
      <c r="C13" s="13">
        <v>2646</v>
      </c>
      <c r="D13" s="13">
        <v>277722659</v>
      </c>
      <c r="E13" s="9">
        <v>0.05</v>
      </c>
      <c r="F13" s="8">
        <f>D13*E13</f>
        <v>13886132.950000001</v>
      </c>
      <c r="H13" t="s">
        <v>156</v>
      </c>
      <c r="I13" s="174">
        <f>D14+D15+D16</f>
        <v>281620808</v>
      </c>
    </row>
    <row r="14" spans="2:9" x14ac:dyDescent="0.3">
      <c r="B14" s="6" t="s">
        <v>157</v>
      </c>
      <c r="C14" s="13">
        <v>1931</v>
      </c>
      <c r="D14" s="13">
        <v>134456314</v>
      </c>
      <c r="E14" s="9">
        <v>0.25</v>
      </c>
      <c r="F14" s="8">
        <f>D14*E14</f>
        <v>33614078.5</v>
      </c>
      <c r="H14" t="s">
        <v>158</v>
      </c>
      <c r="I14" s="115">
        <f>I13/D17</f>
        <v>0.31410288390479091</v>
      </c>
    </row>
    <row r="15" spans="2:9" x14ac:dyDescent="0.3">
      <c r="B15" s="6" t="s">
        <v>159</v>
      </c>
      <c r="C15" s="13">
        <v>1003</v>
      </c>
      <c r="D15" s="13">
        <v>62341693</v>
      </c>
      <c r="E15" s="9">
        <v>0.5</v>
      </c>
      <c r="F15" s="8">
        <f>D15*E15</f>
        <v>31170846.5</v>
      </c>
    </row>
    <row r="16" spans="2:9" x14ac:dyDescent="0.3">
      <c r="B16" s="6" t="s">
        <v>160</v>
      </c>
      <c r="C16" s="13">
        <v>1420</v>
      </c>
      <c r="D16" s="13">
        <v>84822801</v>
      </c>
      <c r="E16" s="9">
        <v>1</v>
      </c>
      <c r="F16" s="8">
        <f>D16*E16</f>
        <v>84822801</v>
      </c>
    </row>
    <row r="17" spans="2:9" x14ac:dyDescent="0.3">
      <c r="B17" s="7" t="s">
        <v>161</v>
      </c>
      <c r="C17" s="8">
        <f>SUM(C12:C16)</f>
        <v>11166</v>
      </c>
      <c r="D17" s="8">
        <f>SUM(D12:D16)</f>
        <v>896587782</v>
      </c>
      <c r="E17" s="8">
        <v>1.81</v>
      </c>
      <c r="F17" s="8">
        <f>SUM(F12:F16)</f>
        <v>166866302.09999999</v>
      </c>
    </row>
    <row r="19" spans="2:9" x14ac:dyDescent="0.3">
      <c r="D19" s="5">
        <v>44805</v>
      </c>
    </row>
    <row r="20" spans="2:9" ht="55.2" x14ac:dyDescent="0.3">
      <c r="B20" s="1" t="s">
        <v>149</v>
      </c>
      <c r="C20" s="1" t="s">
        <v>150</v>
      </c>
      <c r="D20" s="1" t="s">
        <v>151</v>
      </c>
      <c r="E20" s="1" t="s">
        <v>152</v>
      </c>
      <c r="F20" s="1" t="s">
        <v>153</v>
      </c>
    </row>
    <row r="21" spans="2:9" x14ac:dyDescent="0.3">
      <c r="B21" s="6" t="s">
        <v>154</v>
      </c>
      <c r="C21" s="13">
        <v>10973</v>
      </c>
      <c r="D21" s="13">
        <v>353678866</v>
      </c>
      <c r="E21" s="9">
        <v>0.01</v>
      </c>
      <c r="F21" s="8">
        <f>D21*E21</f>
        <v>3536788.66</v>
      </c>
    </row>
    <row r="22" spans="2:9" x14ac:dyDescent="0.3">
      <c r="B22" s="6" t="s">
        <v>155</v>
      </c>
      <c r="C22" s="13">
        <v>4578</v>
      </c>
      <c r="D22" s="13">
        <v>158818427</v>
      </c>
      <c r="E22" s="9">
        <v>0.05</v>
      </c>
      <c r="F22" s="8">
        <f>D22*E22</f>
        <v>7940921.3500000006</v>
      </c>
      <c r="H22" t="s">
        <v>156</v>
      </c>
      <c r="I22" s="174">
        <f>D23+D24+D25</f>
        <v>318353618</v>
      </c>
    </row>
    <row r="23" spans="2:9" x14ac:dyDescent="0.3">
      <c r="B23" s="6" t="s">
        <v>157</v>
      </c>
      <c r="C23" s="13">
        <v>3452</v>
      </c>
      <c r="D23" s="13">
        <v>122412276</v>
      </c>
      <c r="E23" s="9">
        <v>0.25</v>
      </c>
      <c r="F23" s="8">
        <f>D23*E23</f>
        <v>30603069</v>
      </c>
      <c r="H23" t="s">
        <v>158</v>
      </c>
      <c r="I23" s="115">
        <f>I22/D26</f>
        <v>0.38316575667809555</v>
      </c>
    </row>
    <row r="24" spans="2:9" x14ac:dyDescent="0.3">
      <c r="B24" s="6" t="s">
        <v>159</v>
      </c>
      <c r="C24" s="13">
        <v>3020</v>
      </c>
      <c r="D24" s="13">
        <v>110665547</v>
      </c>
      <c r="E24" s="9">
        <v>0.5</v>
      </c>
      <c r="F24" s="8">
        <f>D24*E24</f>
        <v>55332773.5</v>
      </c>
    </row>
    <row r="25" spans="2:9" x14ac:dyDescent="0.3">
      <c r="B25" s="6" t="s">
        <v>160</v>
      </c>
      <c r="C25" s="13">
        <v>1404</v>
      </c>
      <c r="D25" s="13">
        <v>85275795</v>
      </c>
      <c r="E25" s="9">
        <v>1</v>
      </c>
      <c r="F25" s="8">
        <f>D25*E25</f>
        <v>85275795</v>
      </c>
    </row>
    <row r="26" spans="2:9" x14ac:dyDescent="0.3">
      <c r="B26" s="7" t="s">
        <v>161</v>
      </c>
      <c r="C26" s="8">
        <f>SUM(C21:C25)</f>
        <v>23427</v>
      </c>
      <c r="D26" s="8">
        <f>SUM(D21:D25)</f>
        <v>830850911</v>
      </c>
      <c r="E26" s="8">
        <v>1.81</v>
      </c>
      <c r="F26" s="8">
        <f>SUM(F21:F25)</f>
        <v>182689347.50999999</v>
      </c>
    </row>
    <row r="28" spans="2:9" x14ac:dyDescent="0.3">
      <c r="D28" s="5">
        <v>44896</v>
      </c>
    </row>
    <row r="29" spans="2:9" ht="55.2" x14ac:dyDescent="0.3">
      <c r="B29" s="1" t="s">
        <v>149</v>
      </c>
      <c r="C29" s="1" t="s">
        <v>150</v>
      </c>
      <c r="D29" s="1" t="s">
        <v>151</v>
      </c>
      <c r="E29" s="1" t="s">
        <v>152</v>
      </c>
      <c r="F29" s="1" t="s">
        <v>153</v>
      </c>
    </row>
    <row r="30" spans="2:9" x14ac:dyDescent="0.3">
      <c r="B30" s="6" t="s">
        <v>154</v>
      </c>
      <c r="C30" s="13">
        <v>15019</v>
      </c>
      <c r="D30" s="13">
        <v>363059866</v>
      </c>
      <c r="E30" s="9">
        <v>0.01</v>
      </c>
      <c r="F30" s="8">
        <f>D30*E30</f>
        <v>3630598.66</v>
      </c>
    </row>
    <row r="31" spans="2:9" x14ac:dyDescent="0.3">
      <c r="B31" s="6" t="s">
        <v>155</v>
      </c>
      <c r="C31" s="13">
        <v>3039</v>
      </c>
      <c r="D31" s="13">
        <v>156328657</v>
      </c>
      <c r="E31" s="9">
        <v>0.05</v>
      </c>
      <c r="F31" s="8">
        <f>D31*E31</f>
        <v>7816432.8500000006</v>
      </c>
      <c r="H31" t="s">
        <v>156</v>
      </c>
      <c r="I31" s="174">
        <f>D32+D33+D34</f>
        <v>391413462</v>
      </c>
    </row>
    <row r="32" spans="2:9" x14ac:dyDescent="0.3">
      <c r="B32" s="6" t="s">
        <v>157</v>
      </c>
      <c r="C32" s="13">
        <v>2830</v>
      </c>
      <c r="D32" s="13">
        <v>139254109</v>
      </c>
      <c r="E32" s="9">
        <v>0.25</v>
      </c>
      <c r="F32" s="8">
        <f>D32*E32</f>
        <v>34813527.25</v>
      </c>
      <c r="H32" t="s">
        <v>158</v>
      </c>
      <c r="I32" s="115">
        <f>I31/D35</f>
        <v>0.42974594746848294</v>
      </c>
    </row>
    <row r="33" spans="2:9" x14ac:dyDescent="0.3">
      <c r="B33" s="6" t="s">
        <v>159</v>
      </c>
      <c r="C33" s="13">
        <v>3214</v>
      </c>
      <c r="D33" s="13">
        <v>174244887</v>
      </c>
      <c r="E33" s="9">
        <v>0.5</v>
      </c>
      <c r="F33" s="8">
        <f>D33*E33</f>
        <v>87122443.5</v>
      </c>
    </row>
    <row r="34" spans="2:9" x14ac:dyDescent="0.3">
      <c r="B34" s="6" t="s">
        <v>160</v>
      </c>
      <c r="C34" s="13">
        <v>1572</v>
      </c>
      <c r="D34" s="13">
        <v>77914466</v>
      </c>
      <c r="E34" s="9">
        <v>1</v>
      </c>
      <c r="F34" s="8">
        <f>D34*E34</f>
        <v>77914466</v>
      </c>
    </row>
    <row r="35" spans="2:9" x14ac:dyDescent="0.3">
      <c r="B35" s="7" t="s">
        <v>161</v>
      </c>
      <c r="C35" s="8">
        <f>SUM(C30:C34)</f>
        <v>25674</v>
      </c>
      <c r="D35" s="8">
        <f>SUM(D30:D34)</f>
        <v>910801985</v>
      </c>
      <c r="E35" s="8">
        <v>1.81</v>
      </c>
      <c r="F35" s="8">
        <f>SUM(F30:F34)</f>
        <v>211297468.25999999</v>
      </c>
    </row>
    <row r="38" spans="2:9" x14ac:dyDescent="0.3">
      <c r="D38" s="5" t="s">
        <v>3</v>
      </c>
    </row>
    <row r="39" spans="2:9" ht="55.2" x14ac:dyDescent="0.3">
      <c r="B39" s="1" t="s">
        <v>149</v>
      </c>
      <c r="C39" s="1" t="s">
        <v>150</v>
      </c>
      <c r="D39" s="1" t="s">
        <v>151</v>
      </c>
      <c r="E39" s="1" t="s">
        <v>152</v>
      </c>
      <c r="F39" s="1" t="s">
        <v>153</v>
      </c>
    </row>
    <row r="40" spans="2:9" x14ac:dyDescent="0.3">
      <c r="B40" s="6" t="s">
        <v>154</v>
      </c>
      <c r="C40" s="25">
        <v>15019</v>
      </c>
      <c r="D40" s="34">
        <v>363059866</v>
      </c>
      <c r="E40" s="9">
        <v>0.01</v>
      </c>
      <c r="F40" s="8">
        <f>D40*E40</f>
        <v>3630598.66</v>
      </c>
    </row>
    <row r="41" spans="2:9" x14ac:dyDescent="0.3">
      <c r="B41" s="6" t="s">
        <v>155</v>
      </c>
      <c r="C41" s="25">
        <v>3039</v>
      </c>
      <c r="D41" s="34">
        <v>156328657</v>
      </c>
      <c r="E41" s="9">
        <v>0.05</v>
      </c>
      <c r="F41" s="8">
        <f>D41*E41</f>
        <v>7816432.8500000006</v>
      </c>
      <c r="H41" s="115" t="s">
        <v>156</v>
      </c>
      <c r="I41" s="222">
        <f>D42+D43+D44</f>
        <v>391413462</v>
      </c>
    </row>
    <row r="42" spans="2:9" x14ac:dyDescent="0.3">
      <c r="B42" s="6" t="s">
        <v>157</v>
      </c>
      <c r="C42" s="25">
        <v>2830</v>
      </c>
      <c r="D42" s="34">
        <v>139254109</v>
      </c>
      <c r="E42" s="9">
        <v>0.25</v>
      </c>
      <c r="F42" s="8">
        <f>D42*E42</f>
        <v>34813527.25</v>
      </c>
      <c r="H42" t="s">
        <v>158</v>
      </c>
      <c r="I42" s="183">
        <f>I41/D45</f>
        <v>0.42974594746848294</v>
      </c>
    </row>
    <row r="43" spans="2:9" x14ac:dyDescent="0.3">
      <c r="B43" s="6" t="s">
        <v>159</v>
      </c>
      <c r="C43" s="25">
        <v>3214</v>
      </c>
      <c r="D43" s="34">
        <v>174244887</v>
      </c>
      <c r="E43" s="9">
        <v>0.5</v>
      </c>
      <c r="F43" s="8">
        <f>D43*E43</f>
        <v>87122443.5</v>
      </c>
    </row>
    <row r="44" spans="2:9" x14ac:dyDescent="0.3">
      <c r="B44" s="6" t="s">
        <v>160</v>
      </c>
      <c r="C44" s="25">
        <v>1572</v>
      </c>
      <c r="D44" s="34">
        <v>77914466</v>
      </c>
      <c r="E44" s="9">
        <v>1</v>
      </c>
      <c r="F44" s="8">
        <f>D44*E44</f>
        <v>77914466</v>
      </c>
    </row>
    <row r="45" spans="2:9" x14ac:dyDescent="0.3">
      <c r="B45" s="7" t="s">
        <v>161</v>
      </c>
      <c r="C45" s="8">
        <f>SUM(C40:C44)</f>
        <v>25674</v>
      </c>
      <c r="D45" s="8">
        <f>SUM(D40:D44)</f>
        <v>910801985</v>
      </c>
      <c r="E45" s="8">
        <v>1.81</v>
      </c>
      <c r="F45" s="8">
        <f>SUM(F40:F44)</f>
        <v>211297468.25999999</v>
      </c>
    </row>
    <row r="47" spans="2:9" x14ac:dyDescent="0.3">
      <c r="D47" s="49"/>
    </row>
  </sheetData>
  <dataValidations count="2">
    <dataValidation type="decimal" showErrorMessage="1" errorTitle="Error Msg" error="Enter a number" sqref="D3:D7" xr:uid="{18054CA6-BA1A-4462-A9F3-AA6B84FFBED1}">
      <formula1>0</formula1>
      <formula2>999999999999</formula2>
    </dataValidation>
    <dataValidation type="decimal" showErrorMessage="1" errorTitle="Error Msg" error="Enter a NO" sqref="C3:C7" xr:uid="{6EEA05D7-251D-43B6-A5DB-E7849A46C05F}">
      <formula1>0</formula1>
      <formula2>999999999999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X41"/>
  <sheetViews>
    <sheetView zoomScale="80" zoomScaleNormal="80" workbookViewId="0">
      <pane xSplit="3" topLeftCell="AB1" activePane="topRight" state="frozen"/>
      <selection pane="topRight" activeCell="AI14" sqref="AI14"/>
    </sheetView>
  </sheetViews>
  <sheetFormatPr defaultRowHeight="14.4" x14ac:dyDescent="0.3"/>
  <cols>
    <col min="1" max="1" width="20.44140625" customWidth="1"/>
    <col min="2" max="2" width="25.33203125" customWidth="1"/>
    <col min="3" max="3" width="10.5546875" bestFit="1" customWidth="1"/>
    <col min="4" max="7" width="12.5546875" hidden="1" customWidth="1"/>
    <col min="8" max="8" width="17.6640625" hidden="1" customWidth="1"/>
    <col min="9" max="10" width="12.5546875" hidden="1" customWidth="1"/>
    <col min="11" max="12" width="8" hidden="1" customWidth="1"/>
    <col min="13" max="13" width="11.6640625" hidden="1" customWidth="1"/>
    <col min="14" max="14" width="12.5546875" hidden="1" customWidth="1"/>
    <col min="15" max="15" width="8" hidden="1" customWidth="1"/>
    <col min="16" max="16" width="10.88671875" hidden="1" customWidth="1"/>
    <col min="17" max="17" width="9.6640625" hidden="1" customWidth="1"/>
    <col min="18" max="32" width="12.44140625" customWidth="1"/>
  </cols>
  <sheetData>
    <row r="1" spans="1:50" ht="18.600000000000001" thickBot="1" x14ac:dyDescent="0.4">
      <c r="A1" s="240" t="s">
        <v>163</v>
      </c>
      <c r="B1" s="240"/>
    </row>
    <row r="2" spans="1:50" x14ac:dyDescent="0.3">
      <c r="A2" s="56"/>
      <c r="B2" s="57"/>
      <c r="C2" s="57"/>
      <c r="D2" s="58" t="s">
        <v>0</v>
      </c>
      <c r="E2" s="58" t="s">
        <v>164</v>
      </c>
      <c r="F2" s="161">
        <v>44198</v>
      </c>
      <c r="G2" s="161">
        <v>44230</v>
      </c>
      <c r="H2" s="161">
        <v>44259</v>
      </c>
      <c r="I2" s="161">
        <v>44291</v>
      </c>
      <c r="J2" s="161">
        <v>44322</v>
      </c>
      <c r="K2" s="161">
        <v>44354</v>
      </c>
      <c r="L2" s="161">
        <v>44385</v>
      </c>
      <c r="M2" s="161">
        <v>44417</v>
      </c>
      <c r="N2" s="161">
        <v>44449</v>
      </c>
      <c r="O2" s="161">
        <v>44480</v>
      </c>
      <c r="P2" s="161">
        <v>44512</v>
      </c>
      <c r="Q2" s="161">
        <v>44543</v>
      </c>
      <c r="R2" s="161" t="s">
        <v>2</v>
      </c>
      <c r="S2" s="161">
        <v>44562</v>
      </c>
      <c r="T2" s="161">
        <v>44593</v>
      </c>
      <c r="U2" s="161">
        <v>44621</v>
      </c>
      <c r="V2" s="161">
        <v>44652</v>
      </c>
      <c r="W2" s="161">
        <v>44682</v>
      </c>
      <c r="X2" s="161">
        <v>44713</v>
      </c>
      <c r="Y2" s="161">
        <v>44743</v>
      </c>
      <c r="Z2" s="161">
        <v>44774</v>
      </c>
      <c r="AA2" s="161">
        <v>44805</v>
      </c>
      <c r="AB2" s="161">
        <v>44835</v>
      </c>
      <c r="AC2" s="161">
        <v>44866</v>
      </c>
      <c r="AD2" s="161">
        <v>44896</v>
      </c>
      <c r="AE2" s="161" t="s">
        <v>165</v>
      </c>
      <c r="AF2" s="161">
        <v>44927</v>
      </c>
      <c r="AG2" s="161">
        <v>44958</v>
      </c>
      <c r="AH2" s="161">
        <v>44986</v>
      </c>
      <c r="AI2" s="161">
        <v>45017</v>
      </c>
      <c r="AJ2" s="161">
        <v>45047</v>
      </c>
      <c r="AK2" s="161">
        <v>45078</v>
      </c>
      <c r="AL2" s="161">
        <v>45108</v>
      </c>
      <c r="AM2" s="161">
        <v>45139</v>
      </c>
      <c r="AN2" s="161">
        <v>45170</v>
      </c>
      <c r="AO2" s="161">
        <v>45200</v>
      </c>
      <c r="AP2" s="161">
        <v>45231</v>
      </c>
      <c r="AQ2" s="161">
        <v>45261</v>
      </c>
      <c r="AR2" s="161">
        <v>45292</v>
      </c>
      <c r="AS2" s="161">
        <v>45323</v>
      </c>
      <c r="AT2" s="161">
        <v>45352</v>
      </c>
      <c r="AU2" s="161">
        <v>45383</v>
      </c>
      <c r="AV2" s="161">
        <v>45413</v>
      </c>
      <c r="AW2" s="161">
        <v>45444</v>
      </c>
      <c r="AX2" s="161">
        <v>45474</v>
      </c>
    </row>
    <row r="3" spans="1:50" ht="15" x14ac:dyDescent="0.3">
      <c r="A3" s="241" t="s">
        <v>166</v>
      </c>
      <c r="B3" s="3" t="s">
        <v>133</v>
      </c>
      <c r="C3" s="22" t="s">
        <v>167</v>
      </c>
      <c r="D3" s="74">
        <f>(('Evolutive SFP'!B39+'Evolutive SFP'!B40+'Evolutive SFP'!B41+'Evolutive SFP'!B42+'Evolutive SFP'!B43+'Evolutive SFP'!B44)-'Evolutive SFP'!B10)/1000000</f>
        <v>15.259572</v>
      </c>
      <c r="E3" s="74">
        <f>(('Evolutive SFP'!C39+'Evolutive SFP'!C40+'Evolutive SFP'!C41+'Evolutive SFP'!C42+'Evolutive SFP'!C43+'Evolutive SFP'!C44)-'Evolutive SFP'!C10)/1000000</f>
        <v>322.38480600000003</v>
      </c>
      <c r="F3" s="74">
        <f>(('Evolutive SFP'!D39+'Evolutive SFP'!D40+'Evolutive SFP'!D41+'Evolutive SFP'!D42+'Evolutive SFP'!D43+'Evolutive SFP'!D44)-'Evolutive SFP'!D10)/1000000</f>
        <v>320.185901</v>
      </c>
      <c r="G3" s="74">
        <f>(('Evolutive SFP'!E39+'Evolutive SFP'!E40+'Evolutive SFP'!E41+'Evolutive SFP'!E42+'Evolutive SFP'!E43+'Evolutive SFP'!E44)-'Evolutive SFP'!E10)/1000000</f>
        <v>319.66611399999999</v>
      </c>
      <c r="H3" s="74">
        <f>(('Evolutive SFP'!F39+'Evolutive SFP'!F40+'Evolutive SFP'!F41+'Evolutive SFP'!F42+'Evolutive SFP'!F43+'Evolutive SFP'!F44)-'Evolutive SFP'!F10)/1000000</f>
        <v>323.80035900000001</v>
      </c>
      <c r="I3" s="74">
        <f>(('Evolutive SFP'!G39+'Evolutive SFP'!G40+'Evolutive SFP'!G41+'Evolutive SFP'!G42+'Evolutive SFP'!G43+'Evolutive SFP'!G44)-'Evolutive SFP'!G10)/1000000</f>
        <v>335.73912100000001</v>
      </c>
      <c r="J3" s="74">
        <f>(('Evolutive SFP'!H39+'Evolutive SFP'!H40+'Evolutive SFP'!H41+'Evolutive SFP'!H42+'Evolutive SFP'!H43+'Evolutive SFP'!H44)-'Evolutive SFP'!H10)/1000000</f>
        <v>279.32012800000001</v>
      </c>
      <c r="K3" s="74">
        <f>(('Evolutive SFP'!I39+'Evolutive SFP'!I40+'Evolutive SFP'!I41+'Evolutive SFP'!I42+'Evolutive SFP'!I43+'Evolutive SFP'!I44)-'Evolutive SFP'!I10)/1000000</f>
        <v>347.77530010999999</v>
      </c>
      <c r="L3" s="74">
        <f>(('Evolutive SFP'!J39+'Evolutive SFP'!J40+'Evolutive SFP'!J41+'Evolutive SFP'!J42+'Evolutive SFP'!J43+'Evolutive SFP'!J44)-'Evolutive SFP'!J10)/1000000</f>
        <v>345.64540899999997</v>
      </c>
      <c r="M3" s="74">
        <f>(('Evolutive SFP'!K39+'Evolutive SFP'!K40+'Evolutive SFP'!K41+'Evolutive SFP'!K42+'Evolutive SFP'!K43+'Evolutive SFP'!K44)-'Evolutive SFP'!K10)/1000000</f>
        <v>346.42540600000001</v>
      </c>
      <c r="N3" s="74">
        <f>(('Evolutive SFP'!L39+'Evolutive SFP'!L40+'Evolutive SFP'!L41+'Evolutive SFP'!L42+'Evolutive SFP'!L43+'Evolutive SFP'!L44)-'Evolutive SFP'!L10)/1000000</f>
        <v>357.46726999999998</v>
      </c>
      <c r="O3" s="74">
        <f>(('Evolutive SFP'!M39+'Evolutive SFP'!M40+'Evolutive SFP'!M41+'Evolutive SFP'!M42+'Evolutive SFP'!M43+'Evolutive SFP'!M44)-'Evolutive SFP'!M10)/1000000</f>
        <v>362.25199099999998</v>
      </c>
      <c r="P3" s="74">
        <f>(('Evolutive SFP'!N39+'Evolutive SFP'!N40+'Evolutive SFP'!N41+'Evolutive SFP'!N42+'Evolutive SFP'!N43+'Evolutive SFP'!N44)-'Evolutive SFP'!N10)/1000000</f>
        <v>368.25012299999997</v>
      </c>
      <c r="Q3" s="74">
        <f>(('Evolutive SFP'!O39+'Evolutive SFP'!O40+'Evolutive SFP'!O41+'Evolutive SFP'!O42+'Evolutive SFP'!O43+'Evolutive SFP'!O44)-'Evolutive SFP'!O10)/1000000</f>
        <v>353.55952000000002</v>
      </c>
      <c r="R3" s="74">
        <f>(('Evolutive SFP'!P39+'Evolutive SFP'!P40+'Evolutive SFP'!P41+'Evolutive SFP'!P42+'Evolutive SFP'!P43+'Evolutive SFP'!P44)-'Evolutive SFP'!P10)/1000000</f>
        <v>353.09153300000003</v>
      </c>
      <c r="S3" s="74">
        <f>(('Evolutive SFP'!Q39+'Evolutive SFP'!Q40+'Evolutive SFP'!Q41+'Evolutive SFP'!Q42+'Evolutive SFP'!Q43+'Evolutive SFP'!Q44)-'Evolutive SFP'!Q10)/1000000</f>
        <v>361.18563399999999</v>
      </c>
      <c r="T3" s="74">
        <f>(('Evolutive SFP'!R39+'Evolutive SFP'!R40+'Evolutive SFP'!R41+'Evolutive SFP'!R42+'Evolutive SFP'!R43+'Evolutive SFP'!R44)-'Evolutive SFP'!R10)/1000000</f>
        <v>364.97876300000001</v>
      </c>
      <c r="U3" s="74">
        <f>(('Evolutive SFP'!S39+'Evolutive SFP'!S40+'Evolutive SFP'!S41+'Evolutive SFP'!S42+'Evolutive SFP'!S43+'Evolutive SFP'!S44)-'Evolutive SFP'!S10)/1000000</f>
        <v>370.81710800000002</v>
      </c>
      <c r="V3" s="74">
        <f>(('Evolutive SFP'!T39+'Evolutive SFP'!T40+'Evolutive SFP'!T41+'Evolutive SFP'!T42+'Evolutive SFP'!T43+'Evolutive SFP'!T44)-'Evolutive SFP'!T10)/1000000</f>
        <v>379.28085900000002</v>
      </c>
      <c r="W3" s="74">
        <f>(('Evolutive SFP'!U39+'Evolutive SFP'!U40+'Evolutive SFP'!U41+'Evolutive SFP'!U42+'Evolutive SFP'!U43+'Evolutive SFP'!U44)-'Evolutive SFP'!U10)/1000000</f>
        <v>388.88531799999998</v>
      </c>
      <c r="X3" s="74">
        <f>(('Evolutive SFP'!V39+'Evolutive SFP'!V40+'Evolutive SFP'!V41+'Evolutive SFP'!V42+'Evolutive SFP'!V43+'Evolutive SFP'!V44)-'Evolutive SFP'!V10)/1000000</f>
        <v>397.20121</v>
      </c>
      <c r="Y3" s="74">
        <f>(('Evolutive SFP'!W39+'Evolutive SFP'!W40+'Evolutive SFP'!W41+'Evolutive SFP'!W42+'Evolutive SFP'!W43+'Evolutive SFP'!W44)-'Evolutive SFP'!W10)/1000000</f>
        <v>416.67062199999998</v>
      </c>
      <c r="Z3" s="74">
        <f>(('Evolutive SFP'!X39+'Evolutive SFP'!X40+'Evolutive SFP'!X41+'Evolutive SFP'!X42+'Evolutive SFP'!X43+'Evolutive SFP'!X44)-'Evolutive SFP'!X10)/1000000</f>
        <v>412.990005</v>
      </c>
      <c r="AA3" s="74">
        <f>(('Evolutive SFP'!Y39+'Evolutive SFP'!Y40+'Evolutive SFP'!Y41+'Evolutive SFP'!Y42+'Evolutive SFP'!Y43+'Evolutive SFP'!Y44)-'Evolutive SFP'!Y10)/1000000</f>
        <v>417.07438000000002</v>
      </c>
      <c r="AB3" s="74">
        <f>(('Evolutive SFP'!Z39+'Evolutive SFP'!Z40+'Evolutive SFP'!Z41+'Evolutive SFP'!Z42+'Evolutive SFP'!Z43+'Evolutive SFP'!Z44)-'Evolutive SFP'!Z10)/1000000</f>
        <v>418.89503999999999</v>
      </c>
      <c r="AC3" s="74">
        <f>(('Evolutive SFP'!AA39+'Evolutive SFP'!AA40+'Evolutive SFP'!AA41+'Evolutive SFP'!AA42+'Evolutive SFP'!AA43+'Evolutive SFP'!AA44)-'Evolutive SFP'!AA10)/1000000</f>
        <v>413.398777</v>
      </c>
      <c r="AD3" s="74">
        <f>(('Evolutive SFP'!AB39+'Evolutive SFP'!AB40+'Evolutive SFP'!AB41+'Evolutive SFP'!AB42+'Evolutive SFP'!AB43+'Evolutive SFP'!AB44)-'Evolutive SFP'!AB10)/1000000</f>
        <v>418.71830699999998</v>
      </c>
      <c r="AE3" s="74">
        <f>(('Evolutive SFP'!AC39+'Evolutive SFP'!AC40+'Evolutive SFP'!AC41+'Evolutive SFP'!AC42+'Evolutive SFP'!AC43+'Evolutive SFP'!AC44)-'Evolutive SFP'!AC10)/1000000</f>
        <v>405.97090400000002</v>
      </c>
      <c r="AF3" s="74">
        <f>(('Evolutive SFP'!AD39+'Evolutive SFP'!AD40+'Evolutive SFP'!AD41+'Evolutive SFP'!AD42+'Evolutive SFP'!AD43+'Evolutive SFP'!AD44)-'Evolutive SFP'!AD10)/1000000</f>
        <v>417.90115204</v>
      </c>
      <c r="AG3" s="74">
        <f>(('Evolutive SFP'!AE39+'Evolutive SFP'!AE40+'Evolutive SFP'!AE41+'Evolutive SFP'!AE42+'Evolutive SFP'!AE43+'Evolutive SFP'!AE44)-'Evolutive SFP'!AE10)/1000000</f>
        <v>424.66248999999999</v>
      </c>
      <c r="AH3" s="74">
        <f>(('Evolutive SFP'!AF39+'Evolutive SFP'!AF40+'Evolutive SFP'!AF41+'Evolutive SFP'!AF42+'Evolutive SFP'!AF43+'Evolutive SFP'!AF44)-'Evolutive SFP'!AF10)/1000000</f>
        <v>424.41291799999999</v>
      </c>
      <c r="AI3" s="74">
        <f>(('Evolutive SFP'!AG39+'Evolutive SFP'!AG40+'Evolutive SFP'!AG41+'Evolutive SFP'!AG42+'Evolutive SFP'!AG43+'Evolutive SFP'!AG44)-'Evolutive SFP'!AG10)/1000000</f>
        <v>414.95442800000001</v>
      </c>
      <c r="AJ3" s="74">
        <f>(('Evolutive SFP'!AH39+'Evolutive SFP'!AH40+'Evolutive SFP'!AH41+'Evolutive SFP'!AH42+'Evolutive SFP'!AH43+'Evolutive SFP'!AH44)-'Evolutive SFP'!AH10)/1000000</f>
        <v>424.43073900000002</v>
      </c>
      <c r="AK3" s="74">
        <f>(('Evolutive SFP'!AI39+'Evolutive SFP'!AI40+'Evolutive SFP'!AI41+'Evolutive SFP'!AI42+'Evolutive SFP'!AI43+'Evolutive SFP'!AI44)-'Evolutive SFP'!AI10)/1000000</f>
        <v>438.05936600000001</v>
      </c>
      <c r="AL3" s="74">
        <f>(('Evolutive SFP'!AJ39+'Evolutive SFP'!AJ40+'Evolutive SFP'!AJ41+'Evolutive SFP'!AJ42+'Evolutive SFP'!AJ43+'Evolutive SFP'!AJ44)-'Evolutive SFP'!AJ10)/1000000</f>
        <v>0</v>
      </c>
      <c r="AM3" s="74">
        <f>(('Evolutive SFP'!AK39+'Evolutive SFP'!AK40+'Evolutive SFP'!AK41+'Evolutive SFP'!AK42+'Evolutive SFP'!AK43+'Evolutive SFP'!AK44)-'Evolutive SFP'!AK10)/1000000</f>
        <v>0</v>
      </c>
      <c r="AN3" s="74">
        <f>(('Evolutive SFP'!AL39+'Evolutive SFP'!AL40+'Evolutive SFP'!AL41+'Evolutive SFP'!AL42+'Evolutive SFP'!AL43+'Evolutive SFP'!AL44)-'Evolutive SFP'!AL10)/1000000</f>
        <v>0</v>
      </c>
      <c r="AO3" s="74">
        <f>(('Evolutive SFP'!AM39+'Evolutive SFP'!AM40+'Evolutive SFP'!AM41+'Evolutive SFP'!AM42+'Evolutive SFP'!AM43+'Evolutive SFP'!AM44)-'Evolutive SFP'!AM10)/1000000</f>
        <v>0</v>
      </c>
      <c r="AP3" s="74">
        <f>(('Evolutive SFP'!AN39+'Evolutive SFP'!AN40+'Evolutive SFP'!AN41+'Evolutive SFP'!AN42+'Evolutive SFP'!AN43+'Evolutive SFP'!AN44)-'Evolutive SFP'!AN10)/1000000</f>
        <v>0</v>
      </c>
      <c r="AQ3" s="74">
        <f>(('Evolutive SFP'!AO39+'Evolutive SFP'!AO40+'Evolutive SFP'!AO41+'Evolutive SFP'!AO42+'Evolutive SFP'!AO43+'Evolutive SFP'!AO44)-'Evolutive SFP'!AO10)/1000000</f>
        <v>0</v>
      </c>
      <c r="AR3" s="74">
        <f>(('Evolutive SFP'!AP39+'Evolutive SFP'!AP40+'Evolutive SFP'!AP41+'Evolutive SFP'!AP42+'Evolutive SFP'!AP43+'Evolutive SFP'!AP44)-'Evolutive SFP'!AP10)/1000000</f>
        <v>0</v>
      </c>
      <c r="AS3" s="74">
        <f>(('Evolutive SFP'!AQ39+'Evolutive SFP'!AQ40+'Evolutive SFP'!AQ41+'Evolutive SFP'!AQ42+'Evolutive SFP'!AQ43+'Evolutive SFP'!AQ44)-'Evolutive SFP'!AQ10)/1000000</f>
        <v>0</v>
      </c>
      <c r="AT3" s="74">
        <f>(('Evolutive SFP'!AR39+'Evolutive SFP'!AR40+'Evolutive SFP'!AR41+'Evolutive SFP'!AR42+'Evolutive SFP'!AR43+'Evolutive SFP'!AR44)-'Evolutive SFP'!AR10)/1000000</f>
        <v>0</v>
      </c>
    </row>
    <row r="4" spans="1:50" ht="15" x14ac:dyDescent="0.3">
      <c r="A4" s="241"/>
      <c r="B4" s="3" t="s">
        <v>168</v>
      </c>
      <c r="C4" s="22" t="s">
        <v>169</v>
      </c>
      <c r="D4" s="51">
        <f>D3/(('Evolutive SFP'!B27)/1000000)</f>
        <v>0.10104624267317215</v>
      </c>
      <c r="E4" s="51">
        <f>E3/(('Evolutive SFP'!C27)/1000000)</f>
        <v>0.41702489745884747</v>
      </c>
      <c r="F4" s="51">
        <f>F3/(('Evolutive SFP'!D27)/1000000)</f>
        <v>0.41072775599351047</v>
      </c>
      <c r="G4" s="51">
        <f>G3/(('Evolutive SFP'!E27)/1000000)</f>
        <v>0.40144617420755702</v>
      </c>
      <c r="H4" s="51">
        <f>H3/(('Evolutive SFP'!F27)/1000000)</f>
        <v>0.42440068758497329</v>
      </c>
      <c r="I4" s="51">
        <f>I3/(('Evolutive SFP'!G27)/1000000)</f>
        <v>0.45456070585439168</v>
      </c>
      <c r="J4" s="51">
        <f>J3/(('Evolutive SFP'!H27)/1000000)</f>
        <v>0.40013825478043913</v>
      </c>
      <c r="K4" s="51">
        <f>K3/(('Evolutive SFP'!I27)/1000000)</f>
        <v>0.49888162162282657</v>
      </c>
      <c r="L4" s="51">
        <f>L3/(('Evolutive SFP'!J27)/1000000)</f>
        <v>0.49940118957599688</v>
      </c>
      <c r="M4" s="51">
        <f>M3/(('Evolutive SFP'!K27)/1000000)</f>
        <v>0.4999972606085345</v>
      </c>
      <c r="N4" s="51">
        <f>N3/(('Evolutive SFP'!L27)/1000000)</f>
        <v>0.50999355751392939</v>
      </c>
      <c r="O4" s="51">
        <f>O3/(('Evolutive SFP'!M27)/1000000)</f>
        <v>0.43877590289464558</v>
      </c>
      <c r="P4" s="51">
        <f>P3/(('Evolutive SFP'!N27)/1000000)</f>
        <v>0.46889108173509497</v>
      </c>
      <c r="Q4" s="51">
        <f>Q3/(('Evolutive SFP'!O27)/1000000)</f>
        <v>0.45950549556764136</v>
      </c>
      <c r="R4" s="51">
        <f>R3/(('Evolutive SFP'!P27)/1000000)</f>
        <v>0.45924691415839186</v>
      </c>
      <c r="S4" s="51">
        <f>S3/(('Evolutive SFP'!Q27)/1000000)</f>
        <v>0.46339820631254569</v>
      </c>
      <c r="T4" s="51">
        <f>T3/(('Evolutive SFP'!R27)/1000000)</f>
        <v>0.46650156134823534</v>
      </c>
      <c r="U4" s="51">
        <f>U3/(('Evolutive SFP'!S27)/1000000)</f>
        <v>0.47683515478894906</v>
      </c>
      <c r="V4" s="51">
        <f>V3/(('Evolutive SFP'!T27)/1000000)</f>
        <v>0.46701375013521673</v>
      </c>
      <c r="W4" s="51">
        <f>W3/(('Evolutive SFP'!U27)/1000000)</f>
        <v>0.47576844131736806</v>
      </c>
      <c r="X4" s="51">
        <f>X3/(('Evolutive SFP'!V27)/1000000)</f>
        <v>0.48854995465939366</v>
      </c>
      <c r="Y4" s="51">
        <f>Y3/(('Evolutive SFP'!W27)/1000000)</f>
        <v>0.42198964192437199</v>
      </c>
      <c r="Z4" s="51">
        <f>Z3/(('Evolutive SFP'!X27)/1000000)</f>
        <v>0.43260857684020021</v>
      </c>
      <c r="AA4" s="51">
        <f>AA3/(('Evolutive SFP'!Y27)/1000000)</f>
        <v>0.45196207809350442</v>
      </c>
      <c r="AB4" s="51">
        <f>AB3/(('Evolutive SFP'!Z27)/1000000)</f>
        <v>0.461065410801339</v>
      </c>
      <c r="AC4" s="51">
        <f>AC3/(('Evolutive SFP'!AA27)/1000000)</f>
        <v>0.45832353027326783</v>
      </c>
      <c r="AD4" s="51">
        <f>AD3/(('Evolutive SFP'!AB27)/1000000)</f>
        <v>0.46755267877882228</v>
      </c>
      <c r="AE4" s="51">
        <f>AE3/(('Evolutive SFP'!AC27)/1000000)</f>
        <v>0.44963305507816892</v>
      </c>
      <c r="AF4" s="51">
        <f>AF3/(('Evolutive SFP'!AD27)/1000000)</f>
        <v>0.46215465196518024</v>
      </c>
      <c r="AG4" s="51">
        <f>AG3/(('Evolutive SFP'!AE27)/1000000)</f>
        <v>0.46682191366837028</v>
      </c>
      <c r="AH4" s="51">
        <f>AH3/(('Evolutive SFP'!AF27)/1000000)</f>
        <v>0.4615574854400582</v>
      </c>
      <c r="AI4" s="51">
        <f>AI3/(('Evolutive SFP'!AG27)/1000000)</f>
        <v>0.45984289077594537</v>
      </c>
      <c r="AJ4" s="51">
        <f>AJ3/(('Evolutive SFP'!AH27)/1000000)</f>
        <v>0.46520352624864592</v>
      </c>
      <c r="AK4" s="51">
        <f>AK3/(('Evolutive SFP'!AI27)/1000000)</f>
        <v>0.46570407792878754</v>
      </c>
      <c r="AL4" s="51" t="e">
        <f>AL3/(('Evolutive SFP'!AJ27)/1000000)</f>
        <v>#DIV/0!</v>
      </c>
      <c r="AM4" s="51" t="e">
        <f>AM3/(('Evolutive SFP'!AK27)/1000000)</f>
        <v>#DIV/0!</v>
      </c>
      <c r="AN4" s="51" t="e">
        <f>AN3/(('Evolutive SFP'!AL27)/1000000)</f>
        <v>#DIV/0!</v>
      </c>
      <c r="AO4" s="51" t="e">
        <f>AO3/(('Evolutive SFP'!AM27)/1000000)</f>
        <v>#DIV/0!</v>
      </c>
      <c r="AP4" s="51" t="e">
        <f>AP3/(('Evolutive SFP'!AN27)/1000000)</f>
        <v>#DIV/0!</v>
      </c>
      <c r="AQ4" s="51" t="e">
        <f>AQ3/(('Evolutive SFP'!AO27)/1000000)</f>
        <v>#DIV/0!</v>
      </c>
      <c r="AR4" s="51" t="e">
        <f>AR3/(('Evolutive SFP'!AP27)/1000000)</f>
        <v>#DIV/0!</v>
      </c>
      <c r="AS4" s="51" t="e">
        <f>AS3/(('Evolutive SFP'!AQ27)/1000000)</f>
        <v>#DIV/0!</v>
      </c>
      <c r="AT4" s="51" t="e">
        <f>AT3/(('Evolutive SFP'!AR27)/1000000)</f>
        <v>#DIV/0!</v>
      </c>
    </row>
    <row r="5" spans="1:50" ht="15" x14ac:dyDescent="0.3">
      <c r="A5" s="241"/>
      <c r="B5" s="3" t="s">
        <v>170</v>
      </c>
      <c r="C5" s="22" t="s">
        <v>171</v>
      </c>
      <c r="D5" s="51">
        <f>D3/('Evolutive SFP'!B31/1000000)</f>
        <v>0.11865530316137229</v>
      </c>
      <c r="E5" s="51">
        <f>E3/('Evolutive SFP'!C31/1000000)</f>
        <v>0.77280328828146871</v>
      </c>
      <c r="F5" s="51">
        <f>F3/('Evolutive SFP'!D31/1000000)</f>
        <v>0.7249380512365623</v>
      </c>
      <c r="G5" s="51">
        <f>G3/('Evolutive SFP'!E31/1000000)</f>
        <v>0.71185476413217241</v>
      </c>
      <c r="H5" s="51">
        <f>H3/('Evolutive SFP'!F31/1000000)</f>
        <v>0.81404513964794389</v>
      </c>
      <c r="I5" s="51">
        <f>I3/('Evolutive SFP'!G31/1000000)</f>
        <v>0.97505999456115255</v>
      </c>
      <c r="J5" s="51">
        <f>J3/('Evolutive SFP'!H31/1000000)</f>
        <v>0.88538241435755649</v>
      </c>
      <c r="K5" s="51">
        <f>K3/('Evolutive SFP'!I31/1000000)</f>
        <v>1.1112531682630471</v>
      </c>
      <c r="L5" s="51">
        <f>L3/('Evolutive SFP'!J31/1000000)</f>
        <v>1.129233782045256</v>
      </c>
      <c r="M5" s="51">
        <f>M3/('Evolutive SFP'!K31/1000000)</f>
        <v>1.1137528558801668</v>
      </c>
      <c r="N5" s="51">
        <f>N3/('Evolutive SFP'!L31/1000000)</f>
        <v>1.1609942837865199</v>
      </c>
      <c r="O5" s="51">
        <f>O3/('Evolutive SFP'!M31/1000000)</f>
        <v>0.88432070918610894</v>
      </c>
      <c r="P5" s="51">
        <f>P3/('Evolutive SFP'!N31/1000000)</f>
        <v>0.98854382115850448</v>
      </c>
      <c r="Q5" s="51">
        <f>Q3/('Evolutive SFP'!O31/1000000)</f>
        <v>0.9793989348332367</v>
      </c>
      <c r="R5" s="51">
        <f>R3/('Evolutive SFP'!P31/1000000)</f>
        <v>0.98841315462492019</v>
      </c>
      <c r="S5" s="51">
        <f>S3/('Evolutive SFP'!Q31/1000000)</f>
        <v>1.0057706072577668</v>
      </c>
      <c r="T5" s="51">
        <f>T3/('Evolutive SFP'!R31/1000000)</f>
        <v>1.0168939455648902</v>
      </c>
      <c r="U5" s="51">
        <f>U3/('Evolutive SFP'!S31/1000000)</f>
        <v>1.0516088184901848</v>
      </c>
      <c r="V5" s="51">
        <f>V3/('Evolutive SFP'!T31/1000000)</f>
        <v>1.0176946725787452</v>
      </c>
      <c r="W5" s="51">
        <f>W3/('Evolutive SFP'!U31/1000000)</f>
        <v>1.0671063574269417</v>
      </c>
      <c r="X5" s="51">
        <f>X3/('Evolutive SFP'!V31/1000000)</f>
        <v>1.1026083144547165</v>
      </c>
      <c r="Y5" s="51">
        <f>Y3/('Evolutive SFP'!W31/1000000)</f>
        <v>0.81806754980631347</v>
      </c>
      <c r="Z5" s="51">
        <f>Z3/('Evolutive SFP'!X31/1000000)</f>
        <v>0.88493494031208286</v>
      </c>
      <c r="AA5" s="51">
        <f>AA3/('Evolutive SFP'!Y31/1000000)</f>
        <v>0.9439418945826803</v>
      </c>
      <c r="AB5" s="51">
        <f>AB3/('Evolutive SFP'!Z31/1000000)</f>
        <v>0.98607655424530316</v>
      </c>
      <c r="AC5" s="51">
        <f>AC3/('Evolutive SFP'!AA31/1000000)</f>
        <v>0.97522800539644749</v>
      </c>
      <c r="AD5" s="51">
        <f>AD3/('Evolutive SFP'!AB31/1000000)</f>
        <v>1.020815156623097</v>
      </c>
      <c r="AE5" s="51">
        <f>AE3/('Evolutive SFP'!AC31/1000000)</f>
        <v>0.98971123388083071</v>
      </c>
      <c r="AF5" s="51">
        <f>AF3/('Evolutive SFP'!AD31/1000000)</f>
        <v>0.98967745352122549</v>
      </c>
      <c r="AG5" s="51">
        <f>AG3/('Evolutive SFP'!AE31/1000000)</f>
        <v>1.0058874198574508</v>
      </c>
      <c r="AH5" s="51">
        <f>AH3/('Evolutive SFP'!AF31/1000000)</f>
        <v>0.98285751362412332</v>
      </c>
      <c r="AI5" s="51">
        <f>AI3/('Evolutive SFP'!AG31/1000000)</f>
        <v>0.97545412887813487</v>
      </c>
      <c r="AJ5" s="51">
        <f>AJ3/('Evolutive SFP'!AH31/1000000)</f>
        <v>1.0200526946436828</v>
      </c>
      <c r="AK5" s="51">
        <f>AK3/('Evolutive SFP'!AI31/1000000)</f>
        <v>1.0337827236240096</v>
      </c>
      <c r="AL5" s="51" t="e">
        <f>AL3/('Evolutive SFP'!AJ31/1000000)</f>
        <v>#DIV/0!</v>
      </c>
      <c r="AM5" s="51" t="e">
        <f>AM3/('Evolutive SFP'!AK31/1000000)</f>
        <v>#DIV/0!</v>
      </c>
      <c r="AN5" s="51" t="e">
        <f>AN3/('Evolutive SFP'!AL31/1000000)</f>
        <v>#DIV/0!</v>
      </c>
      <c r="AO5" s="51" t="e">
        <f>AO3/('Evolutive SFP'!AM31/1000000)</f>
        <v>#DIV/0!</v>
      </c>
      <c r="AP5" s="51" t="e">
        <f>AP3/('Evolutive SFP'!AN31/1000000)</f>
        <v>#DIV/0!</v>
      </c>
      <c r="AQ5" s="51" t="e">
        <f>AQ3/('Evolutive SFP'!AO31/1000000)</f>
        <v>#DIV/0!</v>
      </c>
      <c r="AR5" s="51" t="e">
        <f>AR3/('Evolutive SFP'!AP31/1000000)</f>
        <v>#DIV/0!</v>
      </c>
      <c r="AS5" s="51" t="e">
        <f>AS3/('Evolutive SFP'!AQ31/1000000)</f>
        <v>#DIV/0!</v>
      </c>
      <c r="AT5" s="51" t="e">
        <f>AT3/('Evolutive SFP'!AR31/1000000)</f>
        <v>#DIV/0!</v>
      </c>
    </row>
    <row r="6" spans="1:50" ht="15" x14ac:dyDescent="0.3">
      <c r="A6" s="241"/>
      <c r="B6" s="3" t="s">
        <v>172</v>
      </c>
      <c r="C6" s="22" t="s">
        <v>171</v>
      </c>
      <c r="D6" s="51">
        <f>((D3*1000000)-'Evolutive SFP'!B39)/'Evolutive SFP'!B27</f>
        <v>3.1552176925888298E-2</v>
      </c>
      <c r="E6" s="51">
        <f>((E3*1000000)-'Evolutive SFP'!C39)/'Evolutive SFP'!C27</f>
        <v>0.30462585687553062</v>
      </c>
      <c r="F6" s="51">
        <f>((F3*1000000)-'Evolutive SFP'!D39)/'Evolutive SFP'!D27</f>
        <v>0.29911277512749362</v>
      </c>
      <c r="G6" s="51">
        <f>((G3*1000000)-'Evolutive SFP'!E39)/'Evolutive SFP'!E27</f>
        <v>0.29136784802630106</v>
      </c>
      <c r="H6" s="51">
        <f>((H3*1000000)-'Evolutive SFP'!F39)/'Evolutive SFP'!F27</f>
        <v>0.30907896709459448</v>
      </c>
      <c r="I6" s="51">
        <f>((I3*1000000)-'Evolutive SFP'!G39)/'Evolutive SFP'!G27</f>
        <v>0.33496850108373222</v>
      </c>
      <c r="J6" s="51">
        <f>((J3*1000000)-'Evolutive SFP'!H39)/'Evolutive SFP'!H27</f>
        <v>0.31372143885049153</v>
      </c>
      <c r="K6" s="51">
        <f>((K3*1000000)-'Evolutive SFP'!I39)/'Evolutive SFP'!I27</f>
        <v>0.37102010063244706</v>
      </c>
      <c r="L6" s="51">
        <f>((L3*1000000)-'Evolutive SFP'!J39)/'Evolutive SFP'!J27</f>
        <v>0.36900100151026616</v>
      </c>
      <c r="M6" s="51">
        <f>((M3*1000000)-'Evolutive SFP'!K39)/'Evolutive SFP'!K27</f>
        <v>0.36973538465663203</v>
      </c>
      <c r="N6" s="51">
        <f>((N3*1000000)-'Evolutive SFP'!L39)/'Evolutive SFP'!L27</f>
        <v>0.36900928654185533</v>
      </c>
      <c r="O6" s="51">
        <f>((O3*1000000)-'Evolutive SFP'!M39)/'Evolutive SFP'!M27</f>
        <v>0.31799616835249883</v>
      </c>
      <c r="P6" s="51">
        <f>((P3*1000000)-'Evolutive SFP'!N39)/'Evolutive SFP'!N27</f>
        <v>0.34067471154212275</v>
      </c>
      <c r="Q6" s="51">
        <f>((Q3*1000000)-'Evolutive SFP'!O39)/'Evolutive SFP'!O27</f>
        <v>0.3255068101273641</v>
      </c>
      <c r="R6" s="51">
        <f>((R3*1000000)-'Evolutive SFP'!P39)/'Evolutive SFP'!P27</f>
        <v>0.3251461332124635</v>
      </c>
      <c r="S6" s="51">
        <f>((S3*1000000)-'Evolutive SFP'!Q39)/'Evolutive SFP'!Q27</f>
        <v>0.32758041863480974</v>
      </c>
      <c r="T6" s="51">
        <f>((T3*1000000)-'Evolutive SFP'!R39)/'Evolutive SFP'!R27</f>
        <v>0.33119518157495975</v>
      </c>
      <c r="U6" s="51">
        <f>((U3*1000000)-'Evolutive SFP'!S39)/'Evolutive SFP'!S27</f>
        <v>0.34053518627314799</v>
      </c>
      <c r="V6" s="51">
        <f>((V3*1000000)-'Evolutive SFP'!T39)/'Evolutive SFP'!T27</f>
        <v>0.33257671810125383</v>
      </c>
      <c r="W6" s="51">
        <f>((W3*1000000)-'Evolutive SFP'!U39)/'Evolutive SFP'!U27</f>
        <v>0.34002355488924035</v>
      </c>
      <c r="X6" s="51">
        <f>((X3*1000000)-'Evolutive SFP'!V39)/'Evolutive SFP'!V27</f>
        <v>0.34997633092148689</v>
      </c>
      <c r="Y6" s="51">
        <f>((Y3*1000000)-'Evolutive SFP'!W39)/'Evolutive SFP'!W27</f>
        <v>0.30368072474408525</v>
      </c>
      <c r="Z6" s="51">
        <f>((Z3*1000000)-'Evolutive SFP'!X39)/'Evolutive SFP'!X27</f>
        <v>0.30895143958570598</v>
      </c>
      <c r="AA6" s="51">
        <f>((AA3*1000000)-'Evolutive SFP'!Y39)/'Evolutive SFP'!Y27</f>
        <v>0.32256035576340381</v>
      </c>
      <c r="AB6" s="51">
        <f>((AB3*1000000)-'Evolutive SFP'!Z39)/'Evolutive SFP'!Z27</f>
        <v>0.32808054042753976</v>
      </c>
      <c r="AC6" s="51">
        <f>((AC3*1000000)-'Evolutive SFP'!AA39)/'Evolutive SFP'!AA27</f>
        <v>0.32274989366175266</v>
      </c>
      <c r="AD6" s="51">
        <f>((AD3*1000000)-'Evolutive SFP'!AB39)/'Evolutive SFP'!AB27</f>
        <v>0.32917195697202672</v>
      </c>
      <c r="AE6" s="51">
        <f>((AE3*1000000)-'Evolutive SFP'!AC39)/'Evolutive SFP'!AC27</f>
        <v>0.31168570283282504</v>
      </c>
      <c r="AF6" s="51">
        <f>((AF3*1000000)-'Evolutive SFP'!AD39)/'Evolutive SFP'!AD27</f>
        <v>0.32292277651393864</v>
      </c>
      <c r="AG6" s="51">
        <f>((AG3*1000000)-'Evolutive SFP'!AE39)/'Evolutive SFP'!AE27</f>
        <v>0.32511459511573293</v>
      </c>
      <c r="AH6" s="51">
        <f>((AH3*1000000)-'Evolutive SFP'!AF39)/'Evolutive SFP'!AF27</f>
        <v>0.31855701258967717</v>
      </c>
      <c r="AI6" s="51">
        <f>((AI3*1000000)-'Evolutive SFP'!AG39)/'Evolutive SFP'!AG27</f>
        <v>0.31257418627585143</v>
      </c>
      <c r="AJ6" s="51">
        <f>((AJ3*1000000)-'Evolutive SFP'!AH39)/'Evolutive SFP'!AH27</f>
        <v>0.31782691444339051</v>
      </c>
      <c r="AK6" s="51">
        <f>((AK3*1000000)-'Evolutive SFP'!AI39)/'Evolutive SFP'!AI27</f>
        <v>0.32056457355396939</v>
      </c>
      <c r="AL6" s="51" t="e">
        <f>((AL3*1000000)-'Evolutive SFP'!AJ39)/'Evolutive SFP'!AJ27</f>
        <v>#DIV/0!</v>
      </c>
      <c r="AM6" s="51" t="e">
        <f>((AM3*1000000)-'Evolutive SFP'!AK39)/'Evolutive SFP'!AK27</f>
        <v>#DIV/0!</v>
      </c>
      <c r="AN6" s="51" t="e">
        <f>((AN3*1000000)-'Evolutive SFP'!AL39)/'Evolutive SFP'!AL27</f>
        <v>#DIV/0!</v>
      </c>
      <c r="AO6" s="51" t="e">
        <f>((AO3*1000000)-'Evolutive SFP'!AM39)/'Evolutive SFP'!AM27</f>
        <v>#DIV/0!</v>
      </c>
      <c r="AP6" s="51" t="e">
        <f>((AP3*1000000)-'Evolutive SFP'!AN39)/'Evolutive SFP'!AN27</f>
        <v>#DIV/0!</v>
      </c>
      <c r="AQ6" s="51" t="e">
        <f>((AQ3*1000000)-'Evolutive SFP'!AO39)/'Evolutive SFP'!AO27</f>
        <v>#DIV/0!</v>
      </c>
      <c r="AR6" s="51" t="e">
        <f>((AR3*1000000)-'Evolutive SFP'!AP39)/'Evolutive SFP'!AP27</f>
        <v>#DIV/0!</v>
      </c>
      <c r="AS6" s="51" t="e">
        <f>((AS3*1000000)-'Evolutive SFP'!AQ39)/'Evolutive SFP'!AQ27</f>
        <v>#DIV/0!</v>
      </c>
      <c r="AT6" s="51" t="e">
        <f>((AT3*1000000)-'Evolutive SFP'!AR39)/'Evolutive SFP'!AR27</f>
        <v>#DIV/0!</v>
      </c>
    </row>
    <row r="7" spans="1:50" ht="15" x14ac:dyDescent="0.3">
      <c r="A7" s="241" t="s">
        <v>173</v>
      </c>
      <c r="B7" s="3" t="s">
        <v>174</v>
      </c>
      <c r="C7" s="22"/>
      <c r="D7" s="22"/>
      <c r="E7" s="22"/>
      <c r="F7" s="22"/>
      <c r="G7" s="22"/>
      <c r="H7" s="22">
        <f>'Evolutive SFP'!P312</f>
        <v>0</v>
      </c>
      <c r="I7" s="116"/>
      <c r="J7" s="117"/>
      <c r="K7" s="2"/>
      <c r="L7" s="2"/>
      <c r="M7" s="24"/>
      <c r="N7" s="24">
        <f>'Evolutive SFP'!G16/('FORM 4 2021'!E5+'FORM 4 2021'!E6+'FORM 4 2021'!E7)</f>
        <v>65828648.571428575</v>
      </c>
      <c r="O7" s="2"/>
      <c r="P7" s="24">
        <f>'Evolutive SFP'!N16/('FORM 4 2021'!D14+'FORM 4 2021'!D15+'FORM 4 2021'!D16)</f>
        <v>0.69735097927436651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50" ht="15" x14ac:dyDescent="0.3">
      <c r="A8" s="241"/>
      <c r="B8" s="3" t="s">
        <v>175</v>
      </c>
      <c r="C8" s="22"/>
      <c r="D8" s="22"/>
      <c r="E8" s="22"/>
      <c r="F8" s="22"/>
      <c r="G8" s="22"/>
      <c r="H8" s="117">
        <f>('FORM 4 2021'!D5+'FORM 4 2021'!D6+'FORM 4 2021'!D7)</f>
        <v>188657523.25</v>
      </c>
      <c r="I8" s="117"/>
      <c r="J8" s="125"/>
      <c r="K8" s="24">
        <f>('FORM 4 2021'!D14+'FORM 4 2021'!D15+'FORM 4 2021'!D16)/'Evolutive SFP'!I15</f>
        <v>0.28038267929695704</v>
      </c>
      <c r="L8" s="2"/>
      <c r="M8" s="24">
        <f>('FORM 4 2021'!D5+'FORM 4 2021'!D6+'FORM 4 2021'!D7)/'Evolutive SFP'!K15</f>
        <v>0.24727890930874513</v>
      </c>
      <c r="N8" s="24">
        <f>('FORM 4 2021'!D23+'FORM 4 2021'!D24+'FORM 4 2021'!D25)/'Evolutive SFP'!L15</f>
        <v>0.2833462385812483</v>
      </c>
      <c r="O8" s="24">
        <f>('FORM 4 2021'!F5+'FORM 4 2021'!F6+'FORM 4 2021'!F7)/'Evolutive SFP'!M15</f>
        <v>0.12852819792212669</v>
      </c>
      <c r="P8" s="24">
        <f>('FORM 4 2021'!G5+'FORM 4 2021'!G6+'FORM 4 2021'!G7)/'Evolutive SFP'!N15</f>
        <v>0</v>
      </c>
      <c r="Q8" s="24">
        <f>('FORM 4 2021'!D32+'FORM 4 2021'!D33+'FORM 4 2021'!D34)/'Evolutive SFP'!O15</f>
        <v>0.30815496904510908</v>
      </c>
      <c r="R8" s="223">
        <f>('FORM 4 2021'!D42+'FORM 4 2021'!D43+'FORM 4 2021'!D44)/'Evolutive SFP'!P15</f>
        <v>0.30815418328978489</v>
      </c>
      <c r="S8" s="24"/>
      <c r="T8" s="24"/>
      <c r="U8" s="223">
        <f>('FORM 4 2022'!D5+'FORM 4 2022'!D6+'FORM 4 2022'!D7)/'Evolutive SFP'!S15</f>
        <v>0.30434174412369802</v>
      </c>
      <c r="V8" s="24"/>
      <c r="W8" s="24"/>
      <c r="X8" s="223">
        <f>('FORM 4 2022'!D14+'FORM 4 2022'!D15+'FORM 4 2022'!D16)/'Evolutive SFP'!V15</f>
        <v>0.31410288390479091</v>
      </c>
      <c r="Y8" s="24"/>
      <c r="Z8" s="24"/>
      <c r="AA8" s="223">
        <f>('FORM 4 2022'!D23+'FORM 4 2022'!D24+'FORM 4 2022'!D25)/'Evolutive SFP'!Y15</f>
        <v>0.38316575667809555</v>
      </c>
      <c r="AB8" s="24"/>
      <c r="AC8" s="24"/>
      <c r="AD8" s="223">
        <f>('FORM 4 2022'!D32+'FORM 4 2022'!D33+'FORM 4 2022'!D34)/'Evolutive SFP'!AB15</f>
        <v>0.42974594699665047</v>
      </c>
      <c r="AE8" s="223">
        <f>('FORM 4 2022'!D42+'FORM 4 2022'!D43+'FORM 4 2022'!D44)/'Evolutive SFP'!AC15</f>
        <v>0.42974594699665047</v>
      </c>
      <c r="AF8" s="223">
        <f>('FORM 4 2022'!E42+'FORM 4 2022'!E43+'FORM 4 2022'!E44)/'Evolutive SFP'!AD15</f>
        <v>1.9287248674516624E-9</v>
      </c>
      <c r="AG8" s="223">
        <f>('FORM 4 2022'!F42+'FORM 4 2022'!F43+'FORM 4 2022'!F44)/'Evolutive SFP'!AE15</f>
        <v>0.20613306778528834</v>
      </c>
      <c r="AH8" s="223">
        <f>('FORM 4 2022'!G42+'FORM 4 2022'!G43+'FORM 4 2022'!G44)/'Evolutive SFP'!AF15</f>
        <v>0</v>
      </c>
      <c r="AI8" s="223" t="e">
        <f>('FORM 4 2022'!H42+'FORM 4 2022'!H43+'FORM 4 2022'!H44)/'Evolutive SFP'!AG15</f>
        <v>#VALUE!</v>
      </c>
      <c r="AJ8" s="223">
        <f>('FORM 4 2022'!I42+'FORM 4 2022'!I43+'FORM 4 2022'!I44)/'Evolutive SFP'!AH15</f>
        <v>4.0752691227465929E-10</v>
      </c>
      <c r="AK8" s="223">
        <f>('FORM 4 2022'!J42+'FORM 4 2022'!J43+'FORM 4 2022'!J44)/'Evolutive SFP'!AI15</f>
        <v>0</v>
      </c>
      <c r="AL8" s="223" t="e">
        <f>('FORM 4 2022'!K42+'FORM 4 2022'!K43+'FORM 4 2022'!K44)/'Evolutive SFP'!AJ15</f>
        <v>#DIV/0!</v>
      </c>
      <c r="AM8" s="223" t="e">
        <f>('FORM 4 2022'!L42+'FORM 4 2022'!L43+'FORM 4 2022'!L44)/'Evolutive SFP'!AK15</f>
        <v>#DIV/0!</v>
      </c>
      <c r="AN8" s="223" t="e">
        <f>('FORM 4 2022'!M42+'FORM 4 2022'!M43+'FORM 4 2022'!M44)/'Evolutive SFP'!AL15</f>
        <v>#DIV/0!</v>
      </c>
      <c r="AO8" s="223" t="e">
        <f>('FORM 4 2022'!N42+'FORM 4 2022'!N43+'FORM 4 2022'!N44)/'Evolutive SFP'!AM15</f>
        <v>#DIV/0!</v>
      </c>
      <c r="AP8" s="223" t="e">
        <f>('FORM 4 2022'!O42+'FORM 4 2022'!O43+'FORM 4 2022'!O44)/'Evolutive SFP'!AN15</f>
        <v>#DIV/0!</v>
      </c>
      <c r="AQ8" s="223" t="e">
        <f>('FORM 4 2022'!P42+'FORM 4 2022'!P43+'FORM 4 2022'!P44)/'Evolutive SFP'!AO15</f>
        <v>#DIV/0!</v>
      </c>
      <c r="AR8" s="223" t="e">
        <f>('FORM 4 2022'!Q42+'FORM 4 2022'!Q43+'FORM 4 2022'!Q44)/'Evolutive SFP'!AP15</f>
        <v>#DIV/0!</v>
      </c>
      <c r="AS8" s="223" t="e">
        <f>('FORM 4 2022'!R42+'FORM 4 2022'!R43+'FORM 4 2022'!R44)/'Evolutive SFP'!AQ15</f>
        <v>#DIV/0!</v>
      </c>
      <c r="AT8" s="223" t="e">
        <f>('FORM 4 2022'!S42+'FORM 4 2022'!S43+'FORM 4 2022'!S44)/'Evolutive SFP'!AR15</f>
        <v>#DIV/0!</v>
      </c>
    </row>
    <row r="9" spans="1:50" ht="15" x14ac:dyDescent="0.3">
      <c r="A9" s="239" t="s">
        <v>176</v>
      </c>
      <c r="B9" s="3" t="s">
        <v>177</v>
      </c>
      <c r="C9" s="22"/>
      <c r="D9" s="22"/>
      <c r="E9" s="59">
        <f>'Evolutitve SCI'!C33/(('Evolutive SFP'!B27+'Evolutive SFP'!C27)/2)</f>
        <v>8.0703182193111705E-2</v>
      </c>
      <c r="F9" s="59">
        <f>'Evolutitve SCI'!D33/(('Evolutive SFP'!C27+'Evolutive SFP'!D27)/2)</f>
        <v>2.1664295325389424E-2</v>
      </c>
      <c r="G9" s="59">
        <f>'Evolutitve SCI'!E33/(('Evolutive SFP'!D27+'Evolutive SFP'!E27)/2)</f>
        <v>5.967758763845905E-3</v>
      </c>
      <c r="H9" s="59">
        <f>'Evolutitve SCI'!F33/(('Evolutive SFP'!E27+'Evolutive SFP'!F27)/2)</f>
        <v>1.18218206499234E-2</v>
      </c>
      <c r="I9" s="59">
        <f>'Evolutitve SCI'!G33/(('Evolutive SFP'!F27+'Evolutive SFP'!G27)/2)</f>
        <v>1.586940754401878E-2</v>
      </c>
      <c r="J9" s="59">
        <f>'Evolutitve SCI'!H33/(('Evolutive SFP'!G27+'Evolutive SFP'!H27)/2)</f>
        <v>2.6650563969181612E-2</v>
      </c>
      <c r="K9" s="59">
        <f>'Evolutitve SCI'!I33/(('Evolutive SFP'!H27+'Evolutive SFP'!I27)/2)</f>
        <v>3.3183142524343588E-2</v>
      </c>
      <c r="L9" s="59">
        <f>'Evolutitve SCI'!J33/(('Evolutive SFP'!I27+'Evolutive SFP'!J27)/2)</f>
        <v>2.8647735810497173E-2</v>
      </c>
      <c r="M9" s="59">
        <f>'Evolutitve SCI'!K33/(('Evolutive SFP'!J27+'Evolutive SFP'!K27)/2)</f>
        <v>2.9862123299451235E-2</v>
      </c>
      <c r="N9" s="59">
        <f>'Evolutitve SCI'!L33/(('Evolutive SFP'!K27+'Evolutive SFP'!L27)/2)</f>
        <v>3.3224952789130853E-2</v>
      </c>
      <c r="O9" s="59">
        <f>'Evolutitve SCI'!M33/(('Evolutive SFP'!L27+'Evolutive SFP'!M27)/2)</f>
        <v>3.5430737209499512E-2</v>
      </c>
      <c r="P9" s="59">
        <f>'Evolutitve SCI'!N33/(('Evolutive SFP'!M27+'Evolutive SFP'!N27)/2)</f>
        <v>3.9802197286363368E-2</v>
      </c>
      <c r="Q9" s="59">
        <f>'Evolutitve SCI'!O33/(('Evolutive SFP'!N27+'Evolutive SFP'!O27)/2)</f>
        <v>1.9246916139349205E-2</v>
      </c>
      <c r="R9" s="59">
        <f>'Evolutitve SCI'!P33/(('Evolutive SFP'!O27+'Evolutive SFP'!P27)/2)</f>
        <v>2.7471994314505581E-2</v>
      </c>
      <c r="S9" s="59">
        <f>'Evolutitve SCI'!Q33/(('Evolutive SFP'!P27+'Evolutive SFP'!Q27)/2)</f>
        <v>6.9034187827296924E-3</v>
      </c>
      <c r="T9" s="59">
        <f>'Evolutitve SCI'!R33/(('Evolutive SFP'!Q27+'Evolutive SFP'!R27)/2)</f>
        <v>1.1691963380052774E-2</v>
      </c>
      <c r="U9" s="59">
        <f>'Evolutitve SCI'!S33/(('Evolutive SFP'!R27+'Evolutive SFP'!S27)/2)</f>
        <v>1.9016688125790902E-2</v>
      </c>
      <c r="V9" s="59">
        <f>'Evolutitve SCI'!T33/(('Evolutive SFP'!S27+'Evolutive SFP'!T27)/2)</f>
        <v>2.529972228805407E-2</v>
      </c>
      <c r="W9" s="59">
        <f>'Evolutitve SCI'!U33/(('Evolutive SFP'!T27+'Evolutive SFP'!U27)/2)</f>
        <v>3.4293928195770505E-2</v>
      </c>
      <c r="X9" s="59">
        <f>'Evolutitve SCI'!V33/(('Evolutive SFP'!U27+'Evolutive SFP'!V27)/2)</f>
        <v>4.238177100935691E-2</v>
      </c>
      <c r="Y9" s="59">
        <f>'Evolutitve SCI'!W33/(('Evolutive SFP'!V27+'Evolutive SFP'!W27)/2)</f>
        <v>5.5392377932290647E-2</v>
      </c>
      <c r="Z9" s="59">
        <f>'Evolutitve SCI'!X33/(('Evolutive SFP'!W27+'Evolutive SFP'!X27)/2)</f>
        <v>4.6293831603629196E-2</v>
      </c>
      <c r="AA9" s="59">
        <f>'Evolutitve SCI'!Y33/(('Evolutive SFP'!X27+'Evolutive SFP'!Y27)/2)</f>
        <v>5.0784718226765571E-2</v>
      </c>
      <c r="AB9" s="59">
        <f>'Evolutitve SCI'!Z33/(('Evolutive SFP'!Y27+'Evolutive SFP'!Z27)/2)</f>
        <v>5.2513377500532435E-2</v>
      </c>
      <c r="AC9" s="59">
        <f>'Evolutitve SCI'!AA33/(('Evolutive SFP'!Z27+'Evolutive SFP'!AA27)/2)</f>
        <v>4.5429834009894914E-2</v>
      </c>
      <c r="AD9" s="59">
        <f>'Evolutitve SCI'!AB33/(('Evolutive SFP'!AA27+'Evolutive SFP'!AB27)/2)</f>
        <v>4.9849113241551418E-2</v>
      </c>
      <c r="AE9" s="59">
        <f>'Evolutitve SCI'!AC33/(('Evolutive SFP'!AB27+'Evolutive SFP'!AC27)/2)</f>
        <v>4.6185156932455985E-2</v>
      </c>
      <c r="AF9" s="59">
        <f>'Evolutitve SCI'!AD33/(('Evolutive SFP'!AC27+'Evolutive SFP'!AD27)/2)</f>
        <v>1.2873346812830876E-2</v>
      </c>
      <c r="AG9" s="59">
        <f>'Evolutitve SCI'!AE33/(('Evolutive SFP'!AD27+'Evolutive SFP'!AE27)/2)</f>
        <v>1.6961544468903376E-2</v>
      </c>
      <c r="AH9" s="59">
        <f>'Evolutitve SCI'!AF33/(('Evolutive SFP'!AE27+'Evolutive SFP'!AF27)/2)</f>
        <v>1.2575406773156345E-2</v>
      </c>
      <c r="AI9" s="59">
        <f>'Evolutitve SCI'!AG33/(('Evolutive SFP'!AF27+'Evolutive SFP'!AG27)/2)</f>
        <v>1.857637822335931E-3</v>
      </c>
      <c r="AJ9" s="59">
        <f>'Evolutitve SCI'!AH33/(('Evolutive SFP'!AG27+'Evolutive SFP'!AH27)/2)</f>
        <v>1.0581729844237622E-2</v>
      </c>
      <c r="AK9" s="59">
        <f>'Evolutitve SCI'!AI33/(('Evolutive SFP'!AH27+'Evolutive SFP'!AI27)/2)</f>
        <v>2.1712334578969414E-2</v>
      </c>
      <c r="AL9" s="59">
        <f>'Evolutitve SCI'!AJ33/(('Evolutive SFP'!AI27+'Evolutive SFP'!AJ27)/2)</f>
        <v>0</v>
      </c>
      <c r="AM9" s="59" t="e">
        <f>'Evolutitve SCI'!AK33/(('Evolutive SFP'!AJ27+'Evolutive SFP'!AK27)/2)</f>
        <v>#DIV/0!</v>
      </c>
      <c r="AN9" s="59" t="e">
        <f>'Evolutitve SCI'!AL33/(('Evolutive SFP'!AK27+'Evolutive SFP'!AL27)/2)</f>
        <v>#DIV/0!</v>
      </c>
      <c r="AO9" s="59" t="e">
        <f>'Evolutitve SCI'!AM33/(('Evolutive SFP'!AL27+'Evolutive SFP'!AM27)/2)</f>
        <v>#DIV/0!</v>
      </c>
      <c r="AP9" s="59" t="e">
        <f>'Evolutitve SCI'!AN33/(('Evolutive SFP'!AM27+'Evolutive SFP'!AN27)/2)</f>
        <v>#DIV/0!</v>
      </c>
      <c r="AQ9" s="59" t="e">
        <f>'Evolutitve SCI'!AO33/(('Evolutive SFP'!AN27+'Evolutive SFP'!AO27)/2)</f>
        <v>#DIV/0!</v>
      </c>
      <c r="AR9" s="59" t="e">
        <f>'Evolutitve SCI'!AP33/(('Evolutive SFP'!AO27+'Evolutive SFP'!AP27)/2)</f>
        <v>#DIV/0!</v>
      </c>
      <c r="AS9" s="59" t="e">
        <f>'Evolutitve SCI'!AQ33/(('Evolutive SFP'!AP27+'Evolutive SFP'!AQ27)/2)</f>
        <v>#DIV/0!</v>
      </c>
      <c r="AT9" s="59" t="e">
        <f>'Evolutitve SCI'!AR33/(('Evolutive SFP'!AQ27+'Evolutive SFP'!AR27)/2)</f>
        <v>#DIV/0!</v>
      </c>
    </row>
    <row r="10" spans="1:50" ht="15" x14ac:dyDescent="0.3">
      <c r="A10" s="239"/>
      <c r="B10" s="3" t="s">
        <v>178</v>
      </c>
      <c r="C10" s="22"/>
      <c r="D10" s="24">
        <f>'Evolutitve SCI'!B23/'Evolutitve SCI'!B19</f>
        <v>0.78428841146364925</v>
      </c>
      <c r="E10" s="24">
        <f>'Evolutitve SCI'!C23/'Evolutitve SCI'!C19</f>
        <v>0.48799299033082261</v>
      </c>
      <c r="F10" s="24">
        <f>'Evolutitve SCI'!D23/'Evolutitve SCI'!D19</f>
        <v>0.38535035277827318</v>
      </c>
      <c r="G10" s="24">
        <f>'Evolutitve SCI'!E23/'Evolutitve SCI'!E19</f>
        <v>0.68734287406301542</v>
      </c>
      <c r="H10" s="24">
        <f>'Evolutitve SCI'!F23/'Evolutitve SCI'!F19</f>
        <v>0.40215436849495673</v>
      </c>
      <c r="I10" s="24">
        <f>'Evolutitve SCI'!G23/'Evolutitve SCI'!G19</f>
        <v>0.38771822876890194</v>
      </c>
      <c r="J10" s="24">
        <f>'Evolutitve SCI'!H23/'Evolutitve SCI'!H19</f>
        <v>0.3426077761241611</v>
      </c>
      <c r="K10" s="24">
        <f>'Evolutitve SCI'!I23/'Evolutitve SCI'!I19</f>
        <v>0.33684638571329023</v>
      </c>
      <c r="L10" s="24">
        <f>'Evolutitve SCI'!J23/'Evolutitve SCI'!J19</f>
        <v>0.32115989698011704</v>
      </c>
      <c r="M10" s="24">
        <f>'Evolutitve SCI'!K23/'Evolutitve SCI'!K19</f>
        <v>0.30804757746358097</v>
      </c>
      <c r="N10" s="24">
        <f>'Evolutitve SCI'!L23/'Evolutitve SCI'!L19</f>
        <v>0.2966625161169934</v>
      </c>
      <c r="O10" s="24">
        <f>'Evolutitve SCI'!M23/'Evolutitve SCI'!M19</f>
        <v>0.36706649113440193</v>
      </c>
      <c r="P10" s="24">
        <f>'Evolutitve SCI'!N23/'Evolutitve SCI'!N19</f>
        <v>0.3490727319571641</v>
      </c>
      <c r="Q10" s="24">
        <f>'Evolutitve SCI'!O23/'Evolutitve SCI'!O19</f>
        <v>0.40036323865828488</v>
      </c>
      <c r="R10" s="24">
        <f>'Evolutitve SCI'!P23/'Evolutitve SCI'!P19</f>
        <v>0.40047277664169417</v>
      </c>
      <c r="S10" s="24">
        <f>'Evolutitve SCI'!Q23/'Evolutitve SCI'!Q19</f>
        <v>0.33159857872791437</v>
      </c>
      <c r="T10" s="24">
        <f>'Evolutitve SCI'!R23/'Evolutitve SCI'!R19</f>
        <v>0.31190386007699561</v>
      </c>
      <c r="U10" s="24">
        <f>'Evolutitve SCI'!S23/'Evolutitve SCI'!S19</f>
        <v>0.32189334582252843</v>
      </c>
      <c r="V10" s="24">
        <f>'Evolutitve SCI'!T23/'Evolutitve SCI'!T19</f>
        <v>0.3008606772730929</v>
      </c>
      <c r="W10" s="24">
        <f>'Evolutitve SCI'!U23/'Evolutitve SCI'!U19</f>
        <v>0.28623945259171879</v>
      </c>
      <c r="X10" s="24">
        <f>'Evolutitve SCI'!V23/'Evolutitve SCI'!V19</f>
        <v>0.30039262319572008</v>
      </c>
      <c r="Y10" s="24">
        <f>'Evolutitve SCI'!W23/'Evolutitve SCI'!W19</f>
        <v>0.26179956911047186</v>
      </c>
      <c r="Z10" s="24">
        <f>'Evolutitve SCI'!X23/'Evolutitve SCI'!X19</f>
        <v>0.29782397953129891</v>
      </c>
      <c r="AA10" s="24">
        <f>'Evolutitve SCI'!Y23/'Evolutitve SCI'!Y19</f>
        <v>0.29900857828567479</v>
      </c>
      <c r="AB10" s="24">
        <f>'Evolutitve SCI'!Z23/'Evolutitve SCI'!Z19</f>
        <v>0.30039246290586674</v>
      </c>
      <c r="AC10" s="24">
        <f>'Evolutitve SCI'!AA23/'Evolutitve SCI'!AA19</f>
        <v>0.32212303311914176</v>
      </c>
      <c r="AD10" s="24">
        <f>'Evolutitve SCI'!AB23/'Evolutitve SCI'!AB19</f>
        <v>0.31567996305743928</v>
      </c>
      <c r="AE10" s="24">
        <f>'Evolutitve SCI'!AC23/'Evolutitve SCI'!AC19</f>
        <v>0.33785531961444382</v>
      </c>
      <c r="AF10" s="24">
        <f>'Evolutitve SCI'!AD23/'Evolutitve SCI'!AD19</f>
        <v>0.26833273098957189</v>
      </c>
      <c r="AG10" s="24">
        <f>'Evolutitve SCI'!AE23/'Evolutitve SCI'!AE19</f>
        <v>0.33374656501525896</v>
      </c>
      <c r="AH10" s="24">
        <f>'Evolutitve SCI'!AF23/'Evolutitve SCI'!AF19</f>
        <v>0.32207415780297549</v>
      </c>
      <c r="AI10" s="24">
        <f>'Evolutitve SCI'!AG23/'Evolutitve SCI'!AG19</f>
        <v>0.32290023494120423</v>
      </c>
      <c r="AJ10" s="24">
        <f>'Evolutitve SCI'!AH23/'Evolutitve SCI'!AH19</f>
        <v>0.33870261713352562</v>
      </c>
      <c r="AK10" s="24">
        <f>'Evolutitve SCI'!AI23/'Evolutitve SCI'!AI19</f>
        <v>0.33290523615274725</v>
      </c>
      <c r="AL10" s="24" t="e">
        <f>'Evolutitve SCI'!AJ23/'Evolutitve SCI'!AJ19</f>
        <v>#DIV/0!</v>
      </c>
      <c r="AM10" s="24" t="e">
        <f>'Evolutitve SCI'!AK23/'Evolutitve SCI'!AK19</f>
        <v>#DIV/0!</v>
      </c>
      <c r="AN10" s="24" t="e">
        <f>'Evolutitve SCI'!AL23/'Evolutitve SCI'!AL19</f>
        <v>#DIV/0!</v>
      </c>
      <c r="AO10" s="24" t="e">
        <f>'Evolutitve SCI'!AM23/'Evolutitve SCI'!AM19</f>
        <v>#DIV/0!</v>
      </c>
      <c r="AP10" s="24" t="e">
        <f>'Evolutitve SCI'!AN23/'Evolutitve SCI'!AN19</f>
        <v>#DIV/0!</v>
      </c>
      <c r="AQ10" s="24" t="e">
        <f>'Evolutitve SCI'!AO23/'Evolutitve SCI'!AO19</f>
        <v>#DIV/0!</v>
      </c>
      <c r="AR10" s="24" t="e">
        <f>'Evolutitve SCI'!AP23/'Evolutitve SCI'!AP19</f>
        <v>#DIV/0!</v>
      </c>
      <c r="AS10" s="24" t="e">
        <f>'Evolutitve SCI'!AQ23/'Evolutitve SCI'!AQ19</f>
        <v>#DIV/0!</v>
      </c>
      <c r="AT10" s="24" t="e">
        <f>'Evolutitve SCI'!AR23/'Evolutitve SCI'!AR19</f>
        <v>#DIV/0!</v>
      </c>
    </row>
    <row r="11" spans="1:50" ht="18.75" customHeight="1" x14ac:dyDescent="0.3">
      <c r="A11" s="239"/>
      <c r="B11" s="3" t="s">
        <v>179</v>
      </c>
      <c r="C11" s="22"/>
      <c r="D11" s="24">
        <f>('Evolutitve SCI'!B23+'Evolutitve SCI'!B12)/(('Evolutive SFP'!B27+'Evolutive SFP'!C27)/2)</f>
        <v>2.5037944581668269E-5</v>
      </c>
      <c r="E11" s="24">
        <f>('Evolutitve SCI'!C23+'Evolutitve SCI'!C12)/(('Evolutive SFP'!C27+'Evolutive SFP'!D27)/2)</f>
        <v>5.9215952331921472E-2</v>
      </c>
      <c r="F11" s="24">
        <f>('Evolutitve SCI'!D23+'Evolutitve SCI'!D12)/(('Evolutive SFP'!D27+'Evolutive SFP'!E27)/2)</f>
        <v>1.6007608784291364E-2</v>
      </c>
      <c r="G11" s="24">
        <f>('Evolutitve SCI'!E23+'Evolutitve SCI'!E12)/(('Evolutive SFP'!E27+'Evolutive SFP'!F27)/2)</f>
        <v>1.6748522872869449E-2</v>
      </c>
      <c r="H11" s="24">
        <f>('Evolutitve SCI'!F23+'Evolutitve SCI'!F12)/(('Evolutive SFP'!F27+'Evolutive SFP'!G27)/2)</f>
        <v>1.085363890058883E-2</v>
      </c>
      <c r="I11" s="24">
        <f>('Evolutitve SCI'!G23+'Evolutitve SCI'!G12)/(('Evolutive SFP'!G27+'Evolutive SFP'!H27)/2)</f>
        <v>2.1509200175040124E-2</v>
      </c>
      <c r="J11" s="24">
        <f>('Evolutitve SCI'!H23+'Evolutitve SCI'!H12)/(('Evolutive SFP'!H27+'Evolutive SFP'!I27)/2)</f>
        <v>2.522567822229153E-2</v>
      </c>
      <c r="K11" s="24">
        <f>('Evolutitve SCI'!I23+'Evolutitve SCI'!I12)/(('Evolutive SFP'!I27+'Evolutive SFP'!J27)/2)</f>
        <v>2.8436235850993599E-2</v>
      </c>
      <c r="L11" s="24">
        <f>('Evolutitve SCI'!J23+'Evolutitve SCI'!J12)/(('Evolutive SFP'!J27+'Evolutive SFP'!K27)/2)</f>
        <v>3.1957603303523485E-2</v>
      </c>
      <c r="M11" s="24">
        <f>('Evolutitve SCI'!K23+'Evolutitve SCI'!K12)/(('Evolutive SFP'!K27+'Evolutive SFP'!L27)/2)</f>
        <v>3.5222132145336101E-2</v>
      </c>
      <c r="N11" s="24">
        <f>('Evolutitve SCI'!L23+'Evolutitve SCI'!L12)/(('Evolutive SFP'!L27+'Evolutive SFP'!M27)/2)</f>
        <v>3.465884523325264E-2</v>
      </c>
      <c r="O11" s="24">
        <f>('Evolutitve SCI'!M23+'Evolutitve SCI'!M12)/(('Evolutive SFP'!M27+'Evolutive SFP'!N27)/2)</f>
        <v>4.6369341931374604E-2</v>
      </c>
      <c r="P11" s="24">
        <f>('Evolutitve SCI'!N23+'Evolutitve SCI'!N12)/(('Evolutive SFP'!N27+'Evolutive SFP'!O27)/2)</f>
        <v>5.1186654910289384E-2</v>
      </c>
      <c r="Q11" s="24">
        <f>('Evolutitve SCI'!O23+'Evolutitve SCI'!O12)/(('Evolutive SFP'!O27+'Evolutive SFP'!P27)/2)</f>
        <v>7.1095022584476836E-2</v>
      </c>
      <c r="R11" s="24">
        <f>('Evolutitve SCI'!P23+'Evolutitve SCI'!P12)/(('Evolutive SFP'!P27+'Evolutive SFP'!Q27)/2)</f>
        <v>7.3227473074469723E-2</v>
      </c>
      <c r="S11" s="24">
        <f>('Evolutitve SCI'!Q23+'Evolutitve SCI'!Q12)/(('Evolutive SFP'!Q27+'Evolutive SFP'!R27)/2)</f>
        <v>4.7348692698863642E-3</v>
      </c>
      <c r="T11" s="24">
        <f>('Evolutitve SCI'!R23+'Evolutitve SCI'!R12)/(('Evolutive SFP'!R27+'Evolutive SFP'!S27)/2)</f>
        <v>8.8164740485960885E-3</v>
      </c>
      <c r="U11" s="24">
        <f>('Evolutitve SCI'!S23+'Evolutitve SCI'!S12)/(('Evolutive SFP'!S27+'Evolutive SFP'!T27)/2)</f>
        <v>1.4957643436215895E-2</v>
      </c>
      <c r="V11" s="24">
        <f>('Evolutitve SCI'!T23+'Evolutitve SCI'!T12)/(('Evolutive SFP'!T27+'Evolutive SFP'!U27)/2)</f>
        <v>1.9394323089492193E-2</v>
      </c>
      <c r="W11" s="24">
        <f>('Evolutitve SCI'!U23+'Evolutitve SCI'!U12)/(('Evolutive SFP'!U27+'Evolutive SFP'!V27)/2)</f>
        <v>2.3853785808925696E-2</v>
      </c>
      <c r="X11" s="24">
        <f>('Evolutitve SCI'!V23+'Evolutitve SCI'!V12)/(('Evolutive SFP'!V27+'Evolutive SFP'!W27)/2)</f>
        <v>2.5160391191692586E-2</v>
      </c>
      <c r="Y11" s="24">
        <f>('Evolutitve SCI'!W23+'Evolutitve SCI'!W12)/(('Evolutive SFP'!W27+'Evolutive SFP'!X27)/2)</f>
        <v>2.7519417495457624E-2</v>
      </c>
      <c r="Z11" s="24">
        <f>('Evolutitve SCI'!X23+'Evolutitve SCI'!X12)/(('Evolutive SFP'!X27+'Evolutive SFP'!Y27)/2)</f>
        <v>3.369694261148759E-2</v>
      </c>
      <c r="AA11" s="24">
        <f>('Evolutitve SCI'!Y23+'Evolutitve SCI'!Y12)/(('Evolutive SFP'!Y27+'Evolutive SFP'!Z27)/2)</f>
        <v>3.7725111472277265E-2</v>
      </c>
      <c r="AB11" s="24">
        <f>('Evolutitve SCI'!Z23+'Evolutitve SCI'!Z12)/(('Evolutive SFP'!Z27+'Evolutive SFP'!AA27)/2)</f>
        <v>4.219614066460723E-2</v>
      </c>
      <c r="AC11" s="24">
        <f>('Evolutitve SCI'!AA23+'Evolutitve SCI'!AA12)/(('Evolutive SFP'!AA27+'Evolutive SFP'!AB27)/2)</f>
        <v>5.0950856281130295E-2</v>
      </c>
      <c r="AD11" s="24">
        <f>('Evolutitve SCI'!AB23+'Evolutitve SCI'!AB12)/(('Evolutive SFP'!AB27+'Evolutive SFP'!AC27)/2)</f>
        <v>5.7137711624150059E-2</v>
      </c>
      <c r="AE11" s="24">
        <f>('Evolutitve SCI'!AC23+'Evolutitve SCI'!AC12)/(('Evolutive SFP'!AC27+'Evolutive SFP'!AD27)/2)</f>
        <v>7.0871054450241583E-2</v>
      </c>
      <c r="AF11" s="24">
        <f>('Evolutitve SCI'!AD23+'Evolutitve SCI'!AD12)/(('Evolutive SFP'!AD27+'Evolutive SFP'!AE27)/2)</f>
        <v>5.1574719121800922E-3</v>
      </c>
      <c r="AG11" s="24">
        <f>('Evolutitve SCI'!AE23+'Evolutitve SCI'!AE12)/(('Evolutive SFP'!AE27+'Evolutive SFP'!AF27)/2)</f>
        <v>1.0984229135017688E-2</v>
      </c>
      <c r="AH11" s="24">
        <f>('Evolutitve SCI'!AF23+'Evolutitve SCI'!AF12)/(('Evolutive SFP'!AF27+'Evolutive SFP'!AG27)/2)</f>
        <v>1.7316906542006859E-2</v>
      </c>
      <c r="AI11" s="24">
        <f>('Evolutitve SCI'!AG23+'Evolutitve SCI'!AG12)/(('Evolutive SFP'!AG27+'Evolutive SFP'!AH27)/2)</f>
        <v>2.1717141279909268E-2</v>
      </c>
      <c r="AJ11" s="24">
        <f>('Evolutitve SCI'!AH23+'Evolutitve SCI'!AH12)/(('Evolutive SFP'!AH27+'Evolutive SFP'!AI27)/2)</f>
        <v>2.728460189006263E-2</v>
      </c>
      <c r="AK11" s="24">
        <f>('Evolutitve SCI'!AI23+'Evolutitve SCI'!AI12)/(('Evolutive SFP'!AI27+'Evolutive SFP'!AJ27)/2)</f>
        <v>6.4500510231935038E-2</v>
      </c>
      <c r="AL11" s="24" t="e">
        <f>('Evolutitve SCI'!AJ23+'Evolutitve SCI'!AJ12)/(('Evolutive SFP'!AJ27+'Evolutive SFP'!AK27)/2)</f>
        <v>#DIV/0!</v>
      </c>
      <c r="AM11" s="24" t="e">
        <f>('Evolutitve SCI'!AK23+'Evolutitve SCI'!AK12)/(('Evolutive SFP'!AK27+'Evolutive SFP'!AL27)/2)</f>
        <v>#DIV/0!</v>
      </c>
      <c r="AN11" s="24" t="e">
        <f>('Evolutitve SCI'!AL23+'Evolutitve SCI'!AL12)/(('Evolutive SFP'!AL27+'Evolutive SFP'!AM27)/2)</f>
        <v>#DIV/0!</v>
      </c>
      <c r="AO11" s="24" t="e">
        <f>('Evolutitve SCI'!AM23+'Evolutitve SCI'!AM12)/(('Evolutive SFP'!AM27+'Evolutive SFP'!AN27)/2)</f>
        <v>#DIV/0!</v>
      </c>
      <c r="AP11" s="24" t="e">
        <f>('Evolutitve SCI'!AN23+'Evolutitve SCI'!AN12)/(('Evolutive SFP'!AN27+'Evolutive SFP'!AO27)/2)</f>
        <v>#DIV/0!</v>
      </c>
      <c r="AQ11" s="24" t="e">
        <f>('Evolutitve SCI'!AO23+'Evolutitve SCI'!AO12)/(('Evolutive SFP'!AO27+'Evolutive SFP'!AP27)/2)</f>
        <v>#DIV/0!</v>
      </c>
      <c r="AR11" s="24" t="e">
        <f>('Evolutitve SCI'!AP23+'Evolutitve SCI'!AP12)/(('Evolutive SFP'!AP27+'Evolutive SFP'!AQ27)/2)</f>
        <v>#DIV/0!</v>
      </c>
      <c r="AS11" s="24" t="e">
        <f>('Evolutitve SCI'!AQ23+'Evolutitve SCI'!AQ12)/(('Evolutive SFP'!AQ27+'Evolutive SFP'!AR27)/2)</f>
        <v>#DIV/0!</v>
      </c>
      <c r="AT11" s="24" t="e">
        <f>('Evolutitve SCI'!AR23+'Evolutitve SCI'!AR12)/(('Evolutive SFP'!AR27+'Evolutive SFP'!AS27)/2)</f>
        <v>#DIV/0!</v>
      </c>
    </row>
    <row r="12" spans="1:50" ht="15" x14ac:dyDescent="0.3">
      <c r="A12" s="239" t="s">
        <v>180</v>
      </c>
      <c r="B12" s="3" t="s">
        <v>181</v>
      </c>
      <c r="C12" s="22" t="s">
        <v>182</v>
      </c>
      <c r="D12" s="24">
        <f>('Evolutive SFP'!B4)/('Evolutive SFP'!B28+'Evolutive SFP'!B29+'Evolutive SFP'!B32+'Evolutive SFP'!B33+'Evolutive SFP'!B34+'Evolutive SFP'!B35+'Evolutive SFP'!B36)</f>
        <v>0.9080663241381759</v>
      </c>
      <c r="E12" s="24">
        <f>('Evolutive SFP'!C4)/('Evolutive SFP'!C28+'Evolutive SFP'!C29+'Evolutive SFP'!C32+'Evolutive SFP'!C33+'Evolutive SFP'!C34+'Evolutive SFP'!C35+'Evolutive SFP'!C36)</f>
        <v>0.42952316131385837</v>
      </c>
      <c r="F12" s="24">
        <f>('Evolutive SFP'!D4)/('Evolutive SFP'!D28+'Evolutive SFP'!D29+'Evolutive SFP'!D32+'Evolutive SFP'!D33+'Evolutive SFP'!D34+'Evolutive SFP'!D35+'Evolutive SFP'!D36)</f>
        <v>0.56088248991143852</v>
      </c>
      <c r="G12" s="24">
        <f>('Evolutive SFP'!E4)/('Evolutive SFP'!E28+'Evolutive SFP'!E29+'Evolutive SFP'!E32+'Evolutive SFP'!E33+'Evolutive SFP'!E34+'Evolutive SFP'!E35+'Evolutive SFP'!E36)</f>
        <v>0.62681237805811563</v>
      </c>
      <c r="H12" s="24">
        <f>('Evolutive SFP'!F4)/('Evolutive SFP'!F28+'Evolutive SFP'!F29+'Evolutive SFP'!F32+'Evolutive SFP'!F33+'Evolutive SFP'!F34+'Evolutive SFP'!F35+'Evolutive SFP'!F36)</f>
        <v>0.65790353283914338</v>
      </c>
      <c r="I12" s="24">
        <f>('Evolutive SFP'!G4)/('Evolutive SFP'!G28+'Evolutive SFP'!G29+'Evolutive SFP'!G32+'Evolutive SFP'!G33+'Evolutive SFP'!G34+'Evolutive SFP'!G35+'Evolutive SFP'!G36)</f>
        <v>0.65969758606874573</v>
      </c>
      <c r="J12" s="24">
        <f>('Evolutive SFP'!H4)/('Evolutive SFP'!H28+'Evolutive SFP'!H29+'Evolutive SFP'!H32+'Evolutive SFP'!H33+'Evolutive SFP'!H34+'Evolutive SFP'!H35+'Evolutive SFP'!H36)</f>
        <v>0.78477335135101434</v>
      </c>
      <c r="K12" s="24">
        <f>('Evolutive SFP'!I4)/('Evolutive SFP'!I28+'Evolutive SFP'!I29+'Evolutive SFP'!I32+'Evolutive SFP'!I33+'Evolutive SFP'!I34+'Evolutive SFP'!I35+'Evolutive SFP'!I36)</f>
        <v>0.43499605619935322</v>
      </c>
      <c r="L12" s="24">
        <f>('Evolutive SFP'!J4)/('Evolutive SFP'!J28+'Evolutive SFP'!J29+'Evolutive SFP'!J32+'Evolutive SFP'!J33+'Evolutive SFP'!J34+'Evolutive SFP'!J35+'Evolutive SFP'!J36)</f>
        <v>0.31610681421816073</v>
      </c>
      <c r="M12" s="24">
        <f>('Evolutive SFP'!K4)/('Evolutive SFP'!K28+'Evolutive SFP'!K29+'Evolutive SFP'!K32+'Evolutive SFP'!K33+'Evolutive SFP'!K34+'Evolutive SFP'!K35+'Evolutive SFP'!K36)</f>
        <v>0.1939247670512719</v>
      </c>
      <c r="N12" s="24">
        <f>('Evolutive SFP'!L4)/('Evolutive SFP'!L28+'Evolutive SFP'!L29+'Evolutive SFP'!L32+'Evolutive SFP'!L33+'Evolutive SFP'!L34+'Evolutive SFP'!L35+'Evolutive SFP'!L36)</f>
        <v>-7.8055284389066698E-2</v>
      </c>
      <c r="O12" s="24">
        <f>('Evolutive SFP'!M4)/('Evolutive SFP'!M28+'Evolutive SFP'!M29+'Evolutive SFP'!M32+'Evolutive SFP'!M33+'Evolutive SFP'!M34+'Evolutive SFP'!M35+'Evolutive SFP'!M36)</f>
        <v>0.90313825316132523</v>
      </c>
      <c r="P12" s="24">
        <f>('Evolutive SFP'!N4)/('Evolutive SFP'!N28+'Evolutive SFP'!N29+'Evolutive SFP'!N32+'Evolutive SFP'!N33+'Evolutive SFP'!N34+'Evolutive SFP'!N35+'Evolutive SFP'!N36)</f>
        <v>0.60091785795850028</v>
      </c>
      <c r="Q12" s="24">
        <f>('Evolutive SFP'!O4)/('Evolutive SFP'!O28+'Evolutive SFP'!O29+'Evolutive SFP'!O32+'Evolutive SFP'!O33+'Evolutive SFP'!O34+'Evolutive SFP'!O35+'Evolutive SFP'!O36)</f>
        <v>0.54029202044907976</v>
      </c>
      <c r="R12" s="24">
        <f>('Evolutive SFP'!P4)/('Evolutive SFP'!P28+'Evolutive SFP'!P29+'Evolutive SFP'!P32+'Evolutive SFP'!P33+'Evolutive SFP'!P34+'Evolutive SFP'!P35+'Evolutive SFP'!P36)</f>
        <v>0.6220977138008208</v>
      </c>
      <c r="S12" s="24">
        <f>('Evolutive SFP'!Q4)/('Evolutive SFP'!Q28+'Evolutive SFP'!Q29+'Evolutive SFP'!Q32+'Evolutive SFP'!Q33+'Evolutive SFP'!Q34+'Evolutive SFP'!Q35+'Evolutive SFP'!Q36)</f>
        <v>0.47514479374577279</v>
      </c>
      <c r="T12" s="24">
        <f>('Evolutive SFP'!R4)/('Evolutive SFP'!R28+'Evolutive SFP'!R29+'Evolutive SFP'!R32+'Evolutive SFP'!R33+'Evolutive SFP'!R34+'Evolutive SFP'!R35+'Evolutive SFP'!R36)</f>
        <v>0.45611749368217758</v>
      </c>
      <c r="U12" s="24">
        <f>('Evolutive SFP'!S4)/('Evolutive SFP'!S28+'Evolutive SFP'!S29+'Evolutive SFP'!S32+'Evolutive SFP'!S33+'Evolutive SFP'!S34+'Evolutive SFP'!S35+'Evolutive SFP'!S36)</f>
        <v>0.30546536830865467</v>
      </c>
      <c r="V12" s="24">
        <f>('Evolutive SFP'!T4)/('Evolutive SFP'!T28+'Evolutive SFP'!T29+'Evolutive SFP'!T32+'Evolutive SFP'!T33+'Evolutive SFP'!T34+'Evolutive SFP'!T35+'Evolutive SFP'!T36)</f>
        <v>0.42463889264549826</v>
      </c>
      <c r="W12" s="24">
        <f>('Evolutive SFP'!U4)/('Evolutive SFP'!U28+'Evolutive SFP'!U29+'Evolutive SFP'!U32+'Evolutive SFP'!U33+'Evolutive SFP'!U34+'Evolutive SFP'!U35+'Evolutive SFP'!U36)</f>
        <v>0.30890136795596729</v>
      </c>
      <c r="X12" s="24">
        <f>('Evolutive SFP'!V4)/('Evolutive SFP'!V28+'Evolutive SFP'!V29+'Evolutive SFP'!V32+'Evolutive SFP'!V33+'Evolutive SFP'!V34+'Evolutive SFP'!V35+'Evolutive SFP'!V36)</f>
        <v>0.25895629827907657</v>
      </c>
      <c r="Y12" s="24">
        <f>('Evolutive SFP'!W4)/('Evolutive SFP'!W28+'Evolutive SFP'!W29+'Evolutive SFP'!W32+'Evolutive SFP'!W33+'Evolutive SFP'!W34+'Evolutive SFP'!W35+'Evolutive SFP'!W36)</f>
        <v>1.1153669150705798</v>
      </c>
      <c r="Z12" s="24">
        <f>('Evolutive SFP'!X4)/('Evolutive SFP'!X28+'Evolutive SFP'!X29+'Evolutive SFP'!X32+'Evolutive SFP'!X33+'Evolutive SFP'!X34+'Evolutive SFP'!X35+'Evolutive SFP'!X36)</f>
        <v>1.0163824535509851</v>
      </c>
      <c r="AA12" s="24">
        <f>('Evolutive SFP'!Y4)/('Evolutive SFP'!Y28+'Evolutive SFP'!Y29+'Evolutive SFP'!Y32+'Evolutive SFP'!Y33+'Evolutive SFP'!Y34+'Evolutive SFP'!Y35+'Evolutive SFP'!Y36)</f>
        <v>0.97144332447814641</v>
      </c>
      <c r="AB12" s="24">
        <f>('Evolutive SFP'!Z4)/('Evolutive SFP'!Z28+'Evolutive SFP'!Z29+'Evolutive SFP'!Z32+'Evolutive SFP'!Z33+'Evolutive SFP'!Z34+'Evolutive SFP'!Z35+'Evolutive SFP'!Z36)</f>
        <v>0.87537844694857259</v>
      </c>
      <c r="AC12" s="24">
        <f>('Evolutive SFP'!AA4)/('Evolutive SFP'!AA28+'Evolutive SFP'!AA29+'Evolutive SFP'!AA32+'Evolutive SFP'!AA33+'Evolutive SFP'!AA34+'Evolutive SFP'!AA35+'Evolutive SFP'!AA36)</f>
        <v>0.7915136309524855</v>
      </c>
      <c r="AD12" s="24">
        <f>('Evolutive SFP'!AB4)/('Evolutive SFP'!AB28+'Evolutive SFP'!AB29+'Evolutive SFP'!AB32+'Evolutive SFP'!AB33+'Evolutive SFP'!AB34+'Evolutive SFP'!AB35+'Evolutive SFP'!AB36)</f>
        <v>0.7682054167193777</v>
      </c>
      <c r="AE12" s="24">
        <f>('Evolutive SFP'!AC4)/('Evolutive SFP'!AC28+'Evolutive SFP'!AC29+'Evolutive SFP'!AC32+'Evolutive SFP'!AC33+'Evolutive SFP'!AC34+'Evolutive SFP'!AC35+'Evolutive SFP'!AC36)</f>
        <v>0.78729284533491706</v>
      </c>
      <c r="AF12" s="24">
        <f>('Evolutive SFP'!AD4)/('Evolutive SFP'!AD28+'Evolutive SFP'!AD29+'Evolutive SFP'!AD32+'Evolutive SFP'!AD33+'Evolutive SFP'!AD34+'Evolutive SFP'!AD35+'Evolutive SFP'!AD36)</f>
        <v>0.68514750740840269</v>
      </c>
      <c r="AG12" s="24">
        <f>('Evolutive SFP'!AE4)/('Evolutive SFP'!AE28+'Evolutive SFP'!AE29+'Evolutive SFP'!AE32+'Evolutive SFP'!AE33+'Evolutive SFP'!AE34+'Evolutive SFP'!AE35+'Evolutive SFP'!AE36)</f>
        <v>0.4398619783743784</v>
      </c>
      <c r="AH12" s="24">
        <f>('Evolutive SFP'!AF4)/('Evolutive SFP'!AF28+'Evolutive SFP'!AF29+'Evolutive SFP'!AF32+'Evolutive SFP'!AF33+'Evolutive SFP'!AF34+'Evolutive SFP'!AF35+'Evolutive SFP'!AF36)</f>
        <v>0.43500041618709695</v>
      </c>
      <c r="AI12" s="24">
        <f>('Evolutive SFP'!AG4)/('Evolutive SFP'!AG28+'Evolutive SFP'!AG29+'Evolutive SFP'!AG32+'Evolutive SFP'!AG33+'Evolutive SFP'!AG34+'Evolutive SFP'!AG35+'Evolutive SFP'!AG36)</f>
        <v>0.29749950386439372</v>
      </c>
      <c r="AJ12" s="24">
        <f>('Evolutive SFP'!AH4)/('Evolutive SFP'!AH28+'Evolutive SFP'!AH29+'Evolutive SFP'!AH32+'Evolutive SFP'!AH33+'Evolutive SFP'!AH34+'Evolutive SFP'!AH35+'Evolutive SFP'!AH36)</f>
        <v>0.20057512961458124</v>
      </c>
      <c r="AK12" s="24">
        <f>('Evolutive SFP'!AI4)/('Evolutive SFP'!AI28+'Evolutive SFP'!AI29+'Evolutive SFP'!AI32+'Evolutive SFP'!AI33+'Evolutive SFP'!AI34+'Evolutive SFP'!AI35+'Evolutive SFP'!AI36)</f>
        <v>0.41706091607222345</v>
      </c>
      <c r="AL12" s="24" t="e">
        <f>('Evolutive SFP'!AJ4)/('Evolutive SFP'!AJ28+'Evolutive SFP'!AJ29+'Evolutive SFP'!AJ32+'Evolutive SFP'!AJ33+'Evolutive SFP'!AJ34+'Evolutive SFP'!AJ35+'Evolutive SFP'!AJ36)</f>
        <v>#DIV/0!</v>
      </c>
      <c r="AM12" s="24" t="e">
        <f>('Evolutive SFP'!AK4)/('Evolutive SFP'!AK28+'Evolutive SFP'!AK29+'Evolutive SFP'!AK32+'Evolutive SFP'!AK33+'Evolutive SFP'!AK34+'Evolutive SFP'!AK35+'Evolutive SFP'!AK36)</f>
        <v>#DIV/0!</v>
      </c>
      <c r="AN12" s="24" t="e">
        <f>('Evolutive SFP'!AL4)/('Evolutive SFP'!AL28+'Evolutive SFP'!AL29+'Evolutive SFP'!AL32+'Evolutive SFP'!AL33+'Evolutive SFP'!AL34+'Evolutive SFP'!AL35+'Evolutive SFP'!AL36)</f>
        <v>#DIV/0!</v>
      </c>
      <c r="AO12" s="24" t="e">
        <f>('Evolutive SFP'!AM4)/('Evolutive SFP'!AM28+'Evolutive SFP'!AM29+'Evolutive SFP'!AM32+'Evolutive SFP'!AM33+'Evolutive SFP'!AM34+'Evolutive SFP'!AM35+'Evolutive SFP'!AM36)</f>
        <v>#DIV/0!</v>
      </c>
      <c r="AP12" s="24" t="e">
        <f>('Evolutive SFP'!AN4)/('Evolutive SFP'!AN28+'Evolutive SFP'!AN29+'Evolutive SFP'!AN32+'Evolutive SFP'!AN33+'Evolutive SFP'!AN34+'Evolutive SFP'!AN35+'Evolutive SFP'!AN36)</f>
        <v>#DIV/0!</v>
      </c>
      <c r="AQ12" s="24" t="e">
        <f>('Evolutive SFP'!AO4)/('Evolutive SFP'!AO28+'Evolutive SFP'!AO29+'Evolutive SFP'!AO32+'Evolutive SFP'!AO33+'Evolutive SFP'!AO34+'Evolutive SFP'!AO35+'Evolutive SFP'!AO36)</f>
        <v>#DIV/0!</v>
      </c>
      <c r="AR12" s="24" t="e">
        <f>('Evolutive SFP'!AP4)/('Evolutive SFP'!AP28+'Evolutive SFP'!AP29+'Evolutive SFP'!AP32+'Evolutive SFP'!AP33+'Evolutive SFP'!AP34+'Evolutive SFP'!AP35+'Evolutive SFP'!AP36)</f>
        <v>#DIV/0!</v>
      </c>
      <c r="AS12" s="24" t="e">
        <f>('Evolutive SFP'!AQ4)/('Evolutive SFP'!AQ28+'Evolutive SFP'!AQ29+'Evolutive SFP'!AQ32+'Evolutive SFP'!AQ33+'Evolutive SFP'!AQ34+'Evolutive SFP'!AQ35+'Evolutive SFP'!AQ36)</f>
        <v>#DIV/0!</v>
      </c>
      <c r="AT12" s="24" t="e">
        <f>('Evolutive SFP'!AR4)/('Evolutive SFP'!AR28+'Evolutive SFP'!AR29+'Evolutive SFP'!AR32+'Evolutive SFP'!AR33+'Evolutive SFP'!AR34+'Evolutive SFP'!AR35+'Evolutive SFP'!AR36)</f>
        <v>#DIV/0!</v>
      </c>
    </row>
    <row r="13" spans="1:50" ht="15" x14ac:dyDescent="0.3">
      <c r="A13" s="239"/>
      <c r="B13" s="3" t="s">
        <v>183</v>
      </c>
      <c r="C13" s="52"/>
      <c r="D13" s="24">
        <f>'Evolutive SFP'!B4/('Evolutive SFP'!B31+'Evolutive SFP'!B36)</f>
        <v>0.14915539337983874</v>
      </c>
      <c r="E13" s="24">
        <f>'Evolutive SFP'!C4/('Evolutive SFP'!C31+'Evolutive SFP'!C36)</f>
        <v>0.4324015264426026</v>
      </c>
      <c r="F13" s="24">
        <f>'Evolutive SFP'!D4/('Evolutive SFP'!D31+'Evolutive SFP'!D36)</f>
        <v>0.31403087366346821</v>
      </c>
      <c r="G13" s="24">
        <f>'Evolutive SFP'!E4/('Evolutive SFP'!E31+'Evolutive SFP'!E36)</f>
        <v>0.34683383751914409</v>
      </c>
      <c r="H13" s="24">
        <f>'Evolutive SFP'!F4/('Evolutive SFP'!F31+'Evolutive SFP'!F36)</f>
        <v>0.34264456289825107</v>
      </c>
      <c r="I13" s="24">
        <f>'Evolutive SFP'!G4/('Evolutive SFP'!G31+'Evolutive SFP'!G36)</f>
        <v>0.30844532739325758</v>
      </c>
      <c r="J13" s="24">
        <f>'Evolutive SFP'!H4/('Evolutive SFP'!H31+'Evolutive SFP'!H36)</f>
        <v>0.29667963319225743</v>
      </c>
      <c r="K13" s="24">
        <f>'Evolutive SFP'!I4/('Evolutive SFP'!I31+'Evolutive SFP'!I36)</f>
        <v>0.15740473190526963</v>
      </c>
      <c r="L13" s="24">
        <f>'Evolutive SFP'!J4/('Evolutive SFP'!J31+'Evolutive SFP'!J36)</f>
        <v>0.10976427455397532</v>
      </c>
      <c r="M13" s="24">
        <f>'Evolutive SFP'!K4/('Evolutive SFP'!K31+'Evolutive SFP'!K36)</f>
        <v>6.7260410261188161E-2</v>
      </c>
      <c r="N13" s="24">
        <f>'Evolutive SFP'!L4/('Evolutive SFP'!L31+'Evolutive SFP'!L36)</f>
        <v>-2.7811811981033153E-2</v>
      </c>
      <c r="O13" s="24">
        <f>'Evolutive SFP'!M4/('Evolutive SFP'!M31+'Evolutive SFP'!M36)</f>
        <v>0.46672468356764762</v>
      </c>
      <c r="P13" s="24">
        <f>'Evolutive SFP'!N4/('Evolutive SFP'!N31+'Evolutive SFP'!N36)</f>
        <v>0.26811890740159472</v>
      </c>
      <c r="Q13" s="24">
        <f>'Evolutive SFP'!O4/('Evolutive SFP'!O31+'Evolutive SFP'!O36)</f>
        <v>0.23281611625092929</v>
      </c>
      <c r="R13" s="24">
        <f>'Evolutive SFP'!P4/('Evolutive SFP'!P31+'Evolutive SFP'!P36)</f>
        <v>0.26991415014266329</v>
      </c>
      <c r="S13" s="24">
        <f>'Evolutive SFP'!Q4/('Evolutive SFP'!Q31+'Evolutive SFP'!Q36)</f>
        <v>0.20202260616343731</v>
      </c>
      <c r="T13" s="24">
        <f>'Evolutive SFP'!R4/('Evolutive SFP'!R31+'Evolutive SFP'!R36)</f>
        <v>0.19121786497464946</v>
      </c>
      <c r="U13" s="24">
        <f>'Evolutive SFP'!S4/('Evolutive SFP'!S31+'Evolutive SFP'!S36)</f>
        <v>0.12146938534457118</v>
      </c>
      <c r="V13" s="24">
        <f>'Evolutive SFP'!T4/('Evolutive SFP'!T31+'Evolutive SFP'!T36)</f>
        <v>0.17987754639836806</v>
      </c>
      <c r="W13" s="24">
        <f>'Evolutive SFP'!U4/('Evolutive SFP'!U31+'Evolutive SFP'!U36)</f>
        <v>0.12616640500202914</v>
      </c>
      <c r="X13" s="24">
        <f>'Evolutive SFP'!V4/('Evolutive SFP'!V31+'Evolutive SFP'!V36)</f>
        <v>9.9447458593059299E-2</v>
      </c>
      <c r="Y13" s="24">
        <f>'Evolutive SFP'!W4/('Evolutive SFP'!W31+'Evolutive SFP'!W36)</f>
        <v>0.60668672947789948</v>
      </c>
      <c r="Z13" s="24">
        <f>'Evolutive SFP'!X4/('Evolutive SFP'!X31+'Evolutive SFP'!X36)</f>
        <v>0.52306577213127381</v>
      </c>
      <c r="AA13" s="24">
        <f>'Evolutive SFP'!Y4/('Evolutive SFP'!Y31+'Evolutive SFP'!Y36)</f>
        <v>0.4596094558291946</v>
      </c>
      <c r="AB13" s="24">
        <f>'Evolutive SFP'!Z4/('Evolutive SFP'!Z31+'Evolutive SFP'!Z36)</f>
        <v>0.39571910968929647</v>
      </c>
      <c r="AC13" s="24">
        <f>'Evolutive SFP'!AA4/('Evolutive SFP'!AA31+'Evolutive SFP'!AA36)</f>
        <v>0.35254806734561212</v>
      </c>
      <c r="AD13" s="24">
        <f>'Evolutive SFP'!AB4/('Evolutive SFP'!AB31+'Evolutive SFP'!AB36)</f>
        <v>0.32649825076881483</v>
      </c>
      <c r="AE13" s="24">
        <f>'Evolutive SFP'!AC4/('Evolutive SFP'!AC31+'Evolutive SFP'!AC36)</f>
        <v>0.35735901756883837</v>
      </c>
      <c r="AF13" s="24">
        <f>'Evolutive SFP'!AD4/('Evolutive SFP'!AD31+'Evolutive SFP'!AD36)</f>
        <v>0.29178346390551124</v>
      </c>
      <c r="AG13" s="24">
        <f>'Evolutive SFP'!AE4/('Evolutive SFP'!AE31+'Evolutive SFP'!AE36)</f>
        <v>0.18373467532653773</v>
      </c>
      <c r="AH13" s="24">
        <f>'Evolutive SFP'!AF4/('Evolutive SFP'!AF31+'Evolutive SFP'!AF36)</f>
        <v>0.18308576856111825</v>
      </c>
      <c r="AI13" s="24">
        <f>'Evolutive SFP'!AG4/('Evolutive SFP'!AG31+'Evolutive SFP'!AG36)</f>
        <v>0.12089503469048821</v>
      </c>
      <c r="AJ13" s="24">
        <f>'Evolutive SFP'!AH4/('Evolutive SFP'!AH31+'Evolutive SFP'!AH36)</f>
        <v>8.161949028909285E-2</v>
      </c>
      <c r="AK13" s="24">
        <f>'Evolutive SFP'!AI4/('Evolutive SFP'!AI31+'Evolutive SFP'!AI36)</f>
        <v>0.17214417361360246</v>
      </c>
      <c r="AL13" s="24" t="e">
        <f>'Evolutive SFP'!AJ4/('Evolutive SFP'!AJ31+'Evolutive SFP'!AJ36)</f>
        <v>#DIV/0!</v>
      </c>
      <c r="AM13" s="24" t="e">
        <f>'Evolutive SFP'!AK4/('Evolutive SFP'!AK31+'Evolutive SFP'!AK36)</f>
        <v>#DIV/0!</v>
      </c>
      <c r="AN13" s="24" t="e">
        <f>'Evolutive SFP'!AL4/('Evolutive SFP'!AL31+'Evolutive SFP'!AL36)</f>
        <v>#DIV/0!</v>
      </c>
      <c r="AO13" s="24" t="e">
        <f>'Evolutive SFP'!AM4/('Evolutive SFP'!AM31+'Evolutive SFP'!AM36)</f>
        <v>#DIV/0!</v>
      </c>
      <c r="AP13" s="24" t="e">
        <f>'Evolutive SFP'!AN4/('Evolutive SFP'!AN31+'Evolutive SFP'!AN36)</f>
        <v>#DIV/0!</v>
      </c>
      <c r="AQ13" s="24" t="e">
        <f>'Evolutive SFP'!AO4/('Evolutive SFP'!AO31+'Evolutive SFP'!AO36)</f>
        <v>#DIV/0!</v>
      </c>
      <c r="AR13" s="24" t="e">
        <f>'Evolutive SFP'!AP4/('Evolutive SFP'!AP31+'Evolutive SFP'!AP36)</f>
        <v>#DIV/0!</v>
      </c>
      <c r="AS13" s="24" t="e">
        <f>'Evolutive SFP'!AQ4/('Evolutive SFP'!AQ31+'Evolutive SFP'!AQ36)</f>
        <v>#DIV/0!</v>
      </c>
      <c r="AT13" s="24" t="e">
        <f>'Evolutive SFP'!AR4/('Evolutive SFP'!AR31+'Evolutive SFP'!AR36)</f>
        <v>#DIV/0!</v>
      </c>
    </row>
    <row r="14" spans="1:50" ht="15" x14ac:dyDescent="0.3">
      <c r="A14" s="239"/>
      <c r="B14" s="3" t="s">
        <v>184</v>
      </c>
      <c r="C14" s="22" t="s">
        <v>185</v>
      </c>
      <c r="D14" s="24">
        <f>'Evolutive SFP'!B37/'Evolutive SFP'!B27</f>
        <v>1.5175035177958185E-2</v>
      </c>
      <c r="E14" s="24">
        <f>'Evolutive SFP'!C37/'Evolutive SFP'!C27</f>
        <v>0</v>
      </c>
      <c r="F14" s="24">
        <f>'Evolutive SFP'!D37/'Evolutive SFP'!D27</f>
        <v>0</v>
      </c>
      <c r="G14" s="24">
        <f>'Evolutive SFP'!E37/'Evolutive SFP'!E27</f>
        <v>0</v>
      </c>
      <c r="H14" s="24">
        <f>'Evolutive SFP'!F37/'Evolutive SFP'!F27</f>
        <v>0</v>
      </c>
      <c r="I14" s="24">
        <f>'Evolutive SFP'!G37/'Evolutive SFP'!G27</f>
        <v>0</v>
      </c>
      <c r="J14" s="24">
        <f>'Evolutive SFP'!H37/'Evolutive SFP'!H27</f>
        <v>0</v>
      </c>
      <c r="K14" s="24">
        <f>'Evolutive SFP'!I37/'Evolutive SFP'!I27</f>
        <v>0</v>
      </c>
      <c r="L14" s="24">
        <f>'Evolutive SFP'!J37/'Evolutive SFP'!J27</f>
        <v>0</v>
      </c>
      <c r="M14" s="24">
        <f>'Evolutive SFP'!K37/'Evolutive SFP'!K27</f>
        <v>0</v>
      </c>
      <c r="N14" s="24">
        <f>'Evolutive SFP'!L37/'Evolutive SFP'!L27</f>
        <v>0</v>
      </c>
      <c r="O14" s="24">
        <f>'Evolutive SFP'!M37/'Evolutive SFP'!M27</f>
        <v>0</v>
      </c>
      <c r="P14" s="24">
        <f>'Evolutive SFP'!N37/'Evolutive SFP'!N27</f>
        <v>0</v>
      </c>
      <c r="Q14" s="24">
        <f>'Evolutive SFP'!O37/'Evolutive SFP'!O27</f>
        <v>0</v>
      </c>
      <c r="R14" s="24">
        <f>'Evolutive SFP'!P37/'Evolutive SFP'!P27</f>
        <v>0</v>
      </c>
      <c r="S14" s="24">
        <f>'Evolutive SFP'!Q37/'Evolutive SFP'!Q27</f>
        <v>0</v>
      </c>
      <c r="T14" s="24">
        <f>'Evolutive SFP'!R37/'Evolutive SFP'!R27</f>
        <v>0</v>
      </c>
      <c r="U14" s="24">
        <f>'Evolutive SFP'!S37/'Evolutive SFP'!S27</f>
        <v>0</v>
      </c>
      <c r="V14" s="24">
        <f>'Evolutive SFP'!T37/'Evolutive SFP'!T27</f>
        <v>0</v>
      </c>
      <c r="W14" s="24">
        <f>'Evolutive SFP'!U37/'Evolutive SFP'!U27</f>
        <v>0</v>
      </c>
      <c r="X14" s="24">
        <f>'Evolutive SFP'!V37/'Evolutive SFP'!V27</f>
        <v>0</v>
      </c>
      <c r="Y14" s="24">
        <f>'Evolutive SFP'!W37/'Evolutive SFP'!W27</f>
        <v>0</v>
      </c>
      <c r="Z14" s="24">
        <f>'Evolutive SFP'!X37/'Evolutive SFP'!X27</f>
        <v>0</v>
      </c>
      <c r="AA14" s="24">
        <f>'Evolutive SFP'!Y37/'Evolutive SFP'!Y27</f>
        <v>0</v>
      </c>
      <c r="AB14" s="24">
        <f>'Evolutive SFP'!Z37/'Evolutive SFP'!Z27</f>
        <v>0</v>
      </c>
      <c r="AC14" s="24">
        <f>'Evolutive SFP'!AA37/'Evolutive SFP'!AA27</f>
        <v>0</v>
      </c>
      <c r="AD14" s="24">
        <f>'Evolutive SFP'!AB37/'Evolutive SFP'!AB27</f>
        <v>0</v>
      </c>
      <c r="AE14" s="24">
        <f>'Evolutive SFP'!AC37/'Evolutive SFP'!AC27</f>
        <v>0</v>
      </c>
      <c r="AF14" s="24">
        <f>'Evolutive SFP'!AD37/'Evolutive SFP'!AD27</f>
        <v>0</v>
      </c>
      <c r="AG14" s="24">
        <f>'Evolutive SFP'!AE37/'Evolutive SFP'!AE27</f>
        <v>0</v>
      </c>
      <c r="AH14" s="24">
        <f>'Evolutive SFP'!AF37/'Evolutive SFP'!AF27</f>
        <v>0</v>
      </c>
      <c r="AI14" s="24">
        <f>'Evolutive SFP'!AG37/'Evolutive SFP'!AG27</f>
        <v>0</v>
      </c>
      <c r="AJ14" s="24">
        <f>'Evolutive SFP'!AH37/'Evolutive SFP'!AH27</f>
        <v>0</v>
      </c>
      <c r="AK14" s="24">
        <f>'Evolutive SFP'!AI37/'Evolutive SFP'!AI27</f>
        <v>0</v>
      </c>
      <c r="AL14" s="24" t="e">
        <f>'Evolutive SFP'!AJ37/'Evolutive SFP'!AJ27</f>
        <v>#DIV/0!</v>
      </c>
      <c r="AM14" s="24" t="e">
        <f>'Evolutive SFP'!AK37/'Evolutive SFP'!AK27</f>
        <v>#DIV/0!</v>
      </c>
      <c r="AN14" s="24" t="e">
        <f>'Evolutive SFP'!AL37/'Evolutive SFP'!AL27</f>
        <v>#DIV/0!</v>
      </c>
      <c r="AO14" s="24" t="e">
        <f>'Evolutive SFP'!AM37/'Evolutive SFP'!AM27</f>
        <v>#DIV/0!</v>
      </c>
      <c r="AP14" s="24" t="e">
        <f>'Evolutive SFP'!AN37/'Evolutive SFP'!AN27</f>
        <v>#DIV/0!</v>
      </c>
      <c r="AQ14" s="24" t="e">
        <f>'Evolutive SFP'!AO37/'Evolutive SFP'!AO27</f>
        <v>#DIV/0!</v>
      </c>
      <c r="AR14" s="24" t="e">
        <f>'Evolutive SFP'!AP37/'Evolutive SFP'!AP27</f>
        <v>#DIV/0!</v>
      </c>
      <c r="AS14" s="24" t="e">
        <f>'Evolutive SFP'!AQ37/'Evolutive SFP'!AQ27</f>
        <v>#DIV/0!</v>
      </c>
      <c r="AT14" s="24" t="e">
        <f>'Evolutive SFP'!AR37/'Evolutive SFP'!AR27</f>
        <v>#DIV/0!</v>
      </c>
    </row>
    <row r="15" spans="1:50" ht="15" x14ac:dyDescent="0.3">
      <c r="A15" s="239"/>
      <c r="B15" s="3" t="s">
        <v>186</v>
      </c>
      <c r="C15" s="22"/>
      <c r="D15" s="24">
        <f>'Evolutive SFP'!B4/'Evolutive SFP'!B27</f>
        <v>0.12821991542351194</v>
      </c>
      <c r="E15" s="24">
        <f>'Evolutive SFP'!C4/'Evolutive SFP'!C27</f>
        <v>0.25040130901074659</v>
      </c>
      <c r="F15" s="24">
        <f>'Evolutive SFP'!D4/'Evolutive SFP'!D27</f>
        <v>0.1850496772081581</v>
      </c>
      <c r="G15" s="24">
        <f>'Evolutive SFP'!E4/'Evolutive SFP'!E27</f>
        <v>0.20759872036135824</v>
      </c>
      <c r="H15" s="24">
        <f>'Evolutive SFP'!F4/'Evolutive SFP'!F27</f>
        <v>0.19722597390878166</v>
      </c>
      <c r="I15" s="24">
        <f>'Evolutive SFP'!G4/'Evolutive SFP'!G27</f>
        <v>0.16809273648649656</v>
      </c>
      <c r="J15" s="24">
        <f>'Evolutive SFP'!H4/'Evolutive SFP'!H27</f>
        <v>0.14913520245268078</v>
      </c>
      <c r="K15" s="24">
        <f>'Evolutive SFP'!I4/'Evolutive SFP'!I27</f>
        <v>7.8799713968908072E-2</v>
      </c>
      <c r="L15" s="24">
        <f>'Evolutive SFP'!J4/'Evolutive SFP'!J27</f>
        <v>5.4892596145740484E-2</v>
      </c>
      <c r="M15" s="24">
        <f>'Evolutive SFP'!K4/'Evolutive SFP'!K27</f>
        <v>3.3596557966458669E-2</v>
      </c>
      <c r="N15" s="24">
        <f>'Evolutive SFP'!L4/'Evolutive SFP'!L27</f>
        <v>-1.3607718439861197E-2</v>
      </c>
      <c r="O15" s="24">
        <f>'Evolutive SFP'!M4/'Evolutive SFP'!M27</f>
        <v>0.26132945797603857</v>
      </c>
      <c r="P15" s="24">
        <f>'Evolutive SFP'!N4/'Evolutive SFP'!N27</f>
        <v>0.14203336530288746</v>
      </c>
      <c r="Q15" s="24">
        <f>'Evolutive SFP'!O4/'Evolutive SFP'!O27</f>
        <v>0.12583583137691243</v>
      </c>
      <c r="R15" s="24">
        <f>'Evolutive SFP'!P4/'Evolutive SFP'!P27</f>
        <v>0.14490372137504426</v>
      </c>
      <c r="S15" s="24">
        <f>'Evolutive SFP'!Q4/'Evolutive SFP'!Q27</f>
        <v>0.10823799681081341</v>
      </c>
      <c r="T15" s="24">
        <f>'Evolutive SFP'!R4/'Evolutive SFP'!R27</f>
        <v>0.10185682374365664</v>
      </c>
      <c r="U15" s="24">
        <f>'Evolutive SFP'!S4/'Evolutive SFP'!S27</f>
        <v>6.3465164485422859E-2</v>
      </c>
      <c r="V15" s="24">
        <f>'Evolutive SFP'!T4/'Evolutive SFP'!T27</f>
        <v>9.5639434226682515E-2</v>
      </c>
      <c r="W15" s="24">
        <f>'Evolutive SFP'!U4/'Evolutive SFP'!U27</f>
        <v>6.6032158538812266E-2</v>
      </c>
      <c r="X15" s="24">
        <f>'Evolutive SFP'!V4/'Evolutive SFP'!V27</f>
        <v>5.0777074526692195E-2</v>
      </c>
      <c r="Y15" s="24">
        <f>'Evolutive SFP'!W4/'Evolutive SFP'!W27</f>
        <v>0.35024256919298646</v>
      </c>
      <c r="Z15" s="24">
        <f>'Evolutive SFP'!X4/'Evolutive SFP'!X27</f>
        <v>0.29616939455409613</v>
      </c>
      <c r="AA15" s="24">
        <f>'Evolutive SFP'!Y4/'Evolutive SFP'!Y27</f>
        <v>0.25160165677781127</v>
      </c>
      <c r="AB15" s="24">
        <f>'Evolutive SFP'!Z4/'Evolutive SFP'!Z27</f>
        <v>0.21275402287663714</v>
      </c>
      <c r="AC15" s="24">
        <f>'Evolutive SFP'!AA4/'Evolutive SFP'!AA27</f>
        <v>0.19076110268754662</v>
      </c>
      <c r="AD15" s="24">
        <f>'Evolutive SFP'!AB4/'Evolutive SFP'!AB27</f>
        <v>0.17384311900525576</v>
      </c>
      <c r="AE15" s="24">
        <f>'Evolutive SFP'!AC4/'Evolutive SFP'!AC27</f>
        <v>0.19423013789747817</v>
      </c>
      <c r="AF15" s="24">
        <f>'Evolutive SFP'!AD4/'Evolutive SFP'!AD27</f>
        <v>0.15673677677913439</v>
      </c>
      <c r="AG15" s="24">
        <f>'Evolutive SFP'!AE4/'Evolutive SFP'!AE27</f>
        <v>9.7590147189979298E-2</v>
      </c>
      <c r="AH15" s="24">
        <f>'Evolutive SFP'!AF4/'Evolutive SFP'!AF27</f>
        <v>9.8459232176534198E-2</v>
      </c>
      <c r="AI15" s="24">
        <f>'Evolutive SFP'!AG4/'Evolutive SFP'!AG27</f>
        <v>6.5164183132452355E-2</v>
      </c>
      <c r="AJ15" s="24">
        <f>'Evolutive SFP'!AH4/'Evolutive SFP'!AH27</f>
        <v>4.3562665042947736E-2</v>
      </c>
      <c r="AK15" s="24">
        <f>'Evolutive SFP'!AI4/'Evolutive SFP'!AI27</f>
        <v>9.1795734900554107E-2</v>
      </c>
      <c r="AL15" s="24" t="e">
        <f>'Evolutive SFP'!AJ4/'Evolutive SFP'!AJ27</f>
        <v>#DIV/0!</v>
      </c>
      <c r="AM15" s="24" t="e">
        <f>'Evolutive SFP'!AK4/'Evolutive SFP'!AK27</f>
        <v>#DIV/0!</v>
      </c>
      <c r="AN15" s="24" t="e">
        <f>'Evolutive SFP'!AL4/'Evolutive SFP'!AL27</f>
        <v>#DIV/0!</v>
      </c>
      <c r="AO15" s="24" t="e">
        <f>'Evolutive SFP'!AM4/'Evolutive SFP'!AM27</f>
        <v>#DIV/0!</v>
      </c>
      <c r="AP15" s="24" t="e">
        <f>'Evolutive SFP'!AN4/'Evolutive SFP'!AN27</f>
        <v>#DIV/0!</v>
      </c>
      <c r="AQ15" s="24" t="e">
        <f>'Evolutive SFP'!AO4/'Evolutive SFP'!AO27</f>
        <v>#DIV/0!</v>
      </c>
      <c r="AR15" s="24" t="e">
        <f>'Evolutive SFP'!AP4/'Evolutive SFP'!AP27</f>
        <v>#DIV/0!</v>
      </c>
      <c r="AS15" s="24" t="e">
        <f>'Evolutive SFP'!AQ4/'Evolutive SFP'!AQ27</f>
        <v>#DIV/0!</v>
      </c>
      <c r="AT15" s="24" t="e">
        <f>'Evolutive SFP'!AR4/'Evolutive SFP'!AR27</f>
        <v>#DIV/0!</v>
      </c>
    </row>
    <row r="16" spans="1:50" ht="15" x14ac:dyDescent="0.3">
      <c r="A16" s="239" t="s">
        <v>187</v>
      </c>
      <c r="B16" s="3" t="s">
        <v>188</v>
      </c>
      <c r="C16" s="22" t="s">
        <v>189</v>
      </c>
      <c r="D16" s="24">
        <f>('Evolutive SFP'!B7+'Evolutive SFP'!B21)/'Evolutive SFP'!B27</f>
        <v>0.12101374552845419</v>
      </c>
      <c r="E16" s="24">
        <f>('Evolutive SFP'!C7+'Evolutive SFP'!C21)/'Evolutive SFP'!C27</f>
        <v>1.8551457219247773E-2</v>
      </c>
      <c r="F16" s="24">
        <f>('Evolutive SFP'!D7+'Evolutive SFP'!D21)/'Evolutive SFP'!D27</f>
        <v>2.1276562774530744E-2</v>
      </c>
      <c r="G16" s="24">
        <f>('Evolutive SFP'!E7+'Evolutive SFP'!E21)/'Evolutive SFP'!E27</f>
        <v>1.9522378785231061E-2</v>
      </c>
      <c r="H16" s="24">
        <f>('Evolutive SFP'!F7+'Evolutive SFP'!F21)/'Evolutive SFP'!F27</f>
        <v>2.2170960932345257E-2</v>
      </c>
      <c r="I16" s="24">
        <f>('Evolutive SFP'!G7+'Evolutive SFP'!G21)/'Evolutive SFP'!G27</f>
        <v>2.1548210576899023E-2</v>
      </c>
      <c r="J16" s="24">
        <f>('Evolutive SFP'!H7+'Evolutive SFP'!H21)/'Evolutive SFP'!H27</f>
        <v>2.5305433869136387E-2</v>
      </c>
      <c r="K16" s="24">
        <f>('Evolutive SFP'!I7+'Evolutive SFP'!I21)/'Evolutive SFP'!I27</f>
        <v>2.5339889558666978E-2</v>
      </c>
      <c r="L16" s="24">
        <f>('Evolutive SFP'!J7+'Evolutive SFP'!J21)/'Evolutive SFP'!J27</f>
        <v>2.8328115172965417E-2</v>
      </c>
      <c r="M16" s="24">
        <f>('Evolutive SFP'!K7+'Evolutive SFP'!K21)/'Evolutive SFP'!K27</f>
        <v>3.1777656878916219E-2</v>
      </c>
      <c r="N16" s="24">
        <f>('Evolutive SFP'!L7+'Evolutive SFP'!L21)/'Evolutive SFP'!L27</f>
        <v>2.7159506507592888E-2</v>
      </c>
      <c r="O16" s="24">
        <f>('Evolutive SFP'!M7+'Evolutive SFP'!M21)/'Evolutive SFP'!M27</f>
        <v>2.5468084953456857E-2</v>
      </c>
      <c r="P16" s="24">
        <f>('Evolutive SFP'!N7+'Evolutive SFP'!N21)/'Evolutive SFP'!N27</f>
        <v>4.0207876224632323E-2</v>
      </c>
      <c r="Q16" s="24">
        <f>('Evolutive SFP'!O7+'Evolutive SFP'!O21)/'Evolutive SFP'!O27</f>
        <v>1.7950985533924421E-2</v>
      </c>
      <c r="R16" s="24">
        <f>('Evolutive SFP'!P7+'Evolutive SFP'!P21)/'Evolutive SFP'!P27</f>
        <v>1.7964662645300555E-2</v>
      </c>
      <c r="S16" s="24">
        <f>('Evolutive SFP'!Q7+'Evolutive SFP'!Q21)/'Evolutive SFP'!Q27</f>
        <v>2.3711260109139827E-2</v>
      </c>
      <c r="T16" s="24">
        <f>('Evolutive SFP'!R7+'Evolutive SFP'!R21)/'Evolutive SFP'!R27</f>
        <v>2.2877096561949167E-2</v>
      </c>
      <c r="U16" s="24">
        <f>('Evolutive SFP'!S7+'Evolutive SFP'!S21)/'Evolutive SFP'!S27</f>
        <v>3.9192599887601459E-2</v>
      </c>
      <c r="V16" s="24">
        <f>('Evolutive SFP'!T7+'Evolutive SFP'!T21)/'Evolutive SFP'!T27</f>
        <v>3.7528768353710863E-2</v>
      </c>
      <c r="W16" s="24">
        <f>('Evolutive SFP'!U7+'Evolutive SFP'!U21)/'Evolutive SFP'!U27</f>
        <v>4.0405029270021084E-2</v>
      </c>
      <c r="X16" s="24">
        <f>('Evolutive SFP'!V7+'Evolutive SFP'!V21)/'Evolutive SFP'!V27</f>
        <v>2.9317081308586217E-2</v>
      </c>
      <c r="Y16" s="24">
        <f>('Evolutive SFP'!W7+'Evolutive SFP'!W21)/'Evolutive SFP'!W27</f>
        <v>3.3697143759569025E-2</v>
      </c>
      <c r="Z16" s="24">
        <f>('Evolutive SFP'!X7+'Evolutive SFP'!X21)/'Evolutive SFP'!X27</f>
        <v>3.4852966744034423E-2</v>
      </c>
      <c r="AA16" s="24">
        <f>('Evolutive SFP'!Y7+'Evolutive SFP'!Y21)/'Evolutive SFP'!Y27</f>
        <v>2.6317159975506117E-2</v>
      </c>
      <c r="AB16" s="24">
        <f>('Evolutive SFP'!Z7+'Evolutive SFP'!Z21)/'Evolutive SFP'!Z27</f>
        <v>2.6730547923821259E-2</v>
      </c>
      <c r="AC16" s="24">
        <f>('Evolutive SFP'!AA7+'Evolutive SFP'!AA21)/'Evolutive SFP'!AA27</f>
        <v>2.6924863078489101E-2</v>
      </c>
      <c r="AD16" s="24">
        <f>('Evolutive SFP'!AB7+'Evolutive SFP'!AB21)/'Evolutive SFP'!AB27</f>
        <v>2.4768995861574813E-2</v>
      </c>
      <c r="AE16" s="24">
        <f>('Evolutive SFP'!AC7+'Evolutive SFP'!AC21)/'Evolutive SFP'!AC27</f>
        <v>2.5825065626155681E-2</v>
      </c>
      <c r="AF16" s="24">
        <f>('Evolutive SFP'!AD7+'Evolutive SFP'!AD21)/'Evolutive SFP'!AD27</f>
        <v>5.1128269285464441E-2</v>
      </c>
      <c r="AG16" s="24">
        <f>('Evolutive SFP'!AE7+'Evolutive SFP'!AE21)/'Evolutive SFP'!AE27</f>
        <v>5.0822340794835358E-2</v>
      </c>
      <c r="AH16" s="24">
        <f>('Evolutive SFP'!AF7+'Evolutive SFP'!AF21)/'Evolutive SFP'!AF27</f>
        <v>3.7408166246153722E-2</v>
      </c>
      <c r="AI16" s="24">
        <f>('Evolutive SFP'!AG7+'Evolutive SFP'!AG21)/'Evolutive SFP'!AG27</f>
        <v>5.1233780661293339E-2</v>
      </c>
      <c r="AJ16" s="24">
        <f>('Evolutive SFP'!AH7+'Evolutive SFP'!AH21)/'Evolutive SFP'!AH27</f>
        <v>5.067380310848054E-2</v>
      </c>
      <c r="AK16" s="24">
        <f>('Evolutive SFP'!AI7+'Evolutive SFP'!AI21)/'Evolutive SFP'!AI27</f>
        <v>2.4604219850200369E-2</v>
      </c>
      <c r="AL16" s="24" t="e">
        <f>('Evolutive SFP'!AJ7+'Evolutive SFP'!AJ21)/'Evolutive SFP'!AJ27</f>
        <v>#DIV/0!</v>
      </c>
      <c r="AM16" s="24" t="e">
        <f>('Evolutive SFP'!AK7+'Evolutive SFP'!AK21)/'Evolutive SFP'!AK27</f>
        <v>#DIV/0!</v>
      </c>
      <c r="AN16" s="24" t="e">
        <f>('Evolutive SFP'!AL7+'Evolutive SFP'!AL21)/'Evolutive SFP'!AL27</f>
        <v>#DIV/0!</v>
      </c>
      <c r="AO16" s="24" t="e">
        <f>('Evolutive SFP'!AM7+'Evolutive SFP'!AM21)/'Evolutive SFP'!AM27</f>
        <v>#DIV/0!</v>
      </c>
      <c r="AP16" s="24" t="e">
        <f>('Evolutive SFP'!AN7+'Evolutive SFP'!AN21)/'Evolutive SFP'!AN27</f>
        <v>#DIV/0!</v>
      </c>
      <c r="AQ16" s="24" t="e">
        <f>('Evolutive SFP'!AO7+'Evolutive SFP'!AO21)/'Evolutive SFP'!AO27</f>
        <v>#DIV/0!</v>
      </c>
      <c r="AR16" s="24" t="e">
        <f>('Evolutive SFP'!AP7+'Evolutive SFP'!AP21)/'Evolutive SFP'!AP27</f>
        <v>#DIV/0!</v>
      </c>
      <c r="AS16" s="24" t="e">
        <f>('Evolutive SFP'!AQ7+'Evolutive SFP'!AQ21)/'Evolutive SFP'!AQ27</f>
        <v>#DIV/0!</v>
      </c>
      <c r="AT16" s="24" t="e">
        <f>('Evolutive SFP'!AR7+'Evolutive SFP'!AR21)/'Evolutive SFP'!AR27</f>
        <v>#DIV/0!</v>
      </c>
    </row>
    <row r="17" spans="1:46" ht="15" x14ac:dyDescent="0.3">
      <c r="A17" s="239"/>
      <c r="B17" s="3" t="s">
        <v>190</v>
      </c>
      <c r="C17" s="22" t="s">
        <v>191</v>
      </c>
      <c r="D17" s="24">
        <f>'Evolutive SFP'!B21/'Evolutive SFP'!B27</f>
        <v>3.2278670786670176E-2</v>
      </c>
      <c r="E17" s="24">
        <f>'Evolutive SFP'!C21/'Evolutive SFP'!C27</f>
        <v>1.8551457219247773E-2</v>
      </c>
      <c r="F17" s="24">
        <f>'Evolutive SFP'!D21/'Evolutive SFP'!D27</f>
        <v>2.1276562774530744E-2</v>
      </c>
      <c r="G17" s="24">
        <f>'Evolutive SFP'!E21/'Evolutive SFP'!E27</f>
        <v>1.9522378785231061E-2</v>
      </c>
      <c r="H17" s="24">
        <f>'Evolutive SFP'!F21/'Evolutive SFP'!F27</f>
        <v>2.2170960932345257E-2</v>
      </c>
      <c r="I17" s="24">
        <f>'Evolutive SFP'!G21/'Evolutive SFP'!G27</f>
        <v>2.1548210576899023E-2</v>
      </c>
      <c r="J17" s="24">
        <f>'Evolutive SFP'!H21/'Evolutive SFP'!H27</f>
        <v>2.5305433869136387E-2</v>
      </c>
      <c r="K17" s="24">
        <f>'Evolutive SFP'!I21/'Evolutive SFP'!I27</f>
        <v>2.5339889558666978E-2</v>
      </c>
      <c r="L17" s="24">
        <f>'Evolutive SFP'!J21/'Evolutive SFP'!J27</f>
        <v>2.8328115172965417E-2</v>
      </c>
      <c r="M17" s="24">
        <f>'Evolutive SFP'!K21/'Evolutive SFP'!K27</f>
        <v>3.1777656878916219E-2</v>
      </c>
      <c r="N17" s="24">
        <f>'Evolutive SFP'!L21/'Evolutive SFP'!L27</f>
        <v>2.7159506507592888E-2</v>
      </c>
      <c r="O17" s="24">
        <f>'Evolutive SFP'!M21/'Evolutive SFP'!M27</f>
        <v>2.5468084953456857E-2</v>
      </c>
      <c r="P17" s="24">
        <f>'Evolutive SFP'!N21/'Evolutive SFP'!N27</f>
        <v>4.0207876224632323E-2</v>
      </c>
      <c r="Q17" s="24">
        <f>'Evolutive SFP'!O21/'Evolutive SFP'!O27</f>
        <v>1.7950985533924421E-2</v>
      </c>
      <c r="R17" s="24">
        <f>'Evolutive SFP'!P21/'Evolutive SFP'!P27</f>
        <v>1.7964662645300555E-2</v>
      </c>
      <c r="S17" s="24">
        <f>'Evolutive SFP'!Q21/'Evolutive SFP'!Q27</f>
        <v>2.3711260109139827E-2</v>
      </c>
      <c r="T17" s="24">
        <f>'Evolutive SFP'!R21/'Evolutive SFP'!R27</f>
        <v>2.2877096561949167E-2</v>
      </c>
      <c r="U17" s="24">
        <f>'Evolutive SFP'!S21/'Evolutive SFP'!S27</f>
        <v>3.9192599887601459E-2</v>
      </c>
      <c r="V17" s="24">
        <f>'Evolutive SFP'!T21/'Evolutive SFP'!T27</f>
        <v>3.7528768353710863E-2</v>
      </c>
      <c r="W17" s="24">
        <f>'Evolutive SFP'!U21/'Evolutive SFP'!U27</f>
        <v>4.0405029270021084E-2</v>
      </c>
      <c r="X17" s="24">
        <f>'Evolutive SFP'!V21/'Evolutive SFP'!V27</f>
        <v>2.9317081308586217E-2</v>
      </c>
      <c r="Y17" s="24">
        <f>'Evolutive SFP'!W21/'Evolutive SFP'!W27</f>
        <v>3.3697143759569025E-2</v>
      </c>
      <c r="Z17" s="24">
        <f>'Evolutive SFP'!X21/'Evolutive SFP'!X27</f>
        <v>3.4852966744034423E-2</v>
      </c>
      <c r="AA17" s="24">
        <f>'Evolutive SFP'!Y21/'Evolutive SFP'!Y27</f>
        <v>2.6317159975506117E-2</v>
      </c>
      <c r="AB17" s="24">
        <f>'Evolutive SFP'!Z21/'Evolutive SFP'!Z27</f>
        <v>2.6730547923821259E-2</v>
      </c>
      <c r="AC17" s="24">
        <f>'Evolutive SFP'!AA21/'Evolutive SFP'!AA27</f>
        <v>2.6924863078489101E-2</v>
      </c>
      <c r="AD17" s="24">
        <f>'Evolutive SFP'!AB21/'Evolutive SFP'!AB27</f>
        <v>2.4768995861574813E-2</v>
      </c>
      <c r="AE17" s="24">
        <f>'Evolutive SFP'!AC21/'Evolutive SFP'!AC27</f>
        <v>2.5825065626155681E-2</v>
      </c>
      <c r="AF17" s="24">
        <f>'Evolutive SFP'!AD21/'Evolutive SFP'!AD27</f>
        <v>5.1128269285464441E-2</v>
      </c>
      <c r="AG17" s="24">
        <f>'Evolutive SFP'!AE21/'Evolutive SFP'!AE27</f>
        <v>5.0822340794835358E-2</v>
      </c>
      <c r="AH17" s="24">
        <f>'Evolutive SFP'!AF21/'Evolutive SFP'!AF27</f>
        <v>3.7408166246153722E-2</v>
      </c>
      <c r="AI17" s="24">
        <f>'Evolutive SFP'!AG21/'Evolutive SFP'!AG27</f>
        <v>5.1233780661293339E-2</v>
      </c>
      <c r="AJ17" s="24">
        <f>'Evolutive SFP'!AH21/'Evolutive SFP'!AH27</f>
        <v>5.067380310848054E-2</v>
      </c>
      <c r="AK17" s="24">
        <f>'Evolutive SFP'!AI21/'Evolutive SFP'!AI27</f>
        <v>2.4604219850200369E-2</v>
      </c>
      <c r="AL17" s="24" t="e">
        <f>'Evolutive SFP'!AJ21/'Evolutive SFP'!AJ27</f>
        <v>#DIV/0!</v>
      </c>
      <c r="AM17" s="24" t="e">
        <f>'Evolutive SFP'!AK21/'Evolutive SFP'!AK27</f>
        <v>#DIV/0!</v>
      </c>
      <c r="AN17" s="24" t="e">
        <f>'Evolutive SFP'!AL21/'Evolutive SFP'!AL27</f>
        <v>#DIV/0!</v>
      </c>
      <c r="AO17" s="24" t="e">
        <f>'Evolutive SFP'!AM21/'Evolutive SFP'!AM27</f>
        <v>#DIV/0!</v>
      </c>
      <c r="AP17" s="24" t="e">
        <f>'Evolutive SFP'!AN21/'Evolutive SFP'!AN27</f>
        <v>#DIV/0!</v>
      </c>
      <c r="AQ17" s="24" t="e">
        <f>'Evolutive SFP'!AO21/'Evolutive SFP'!AO27</f>
        <v>#DIV/0!</v>
      </c>
      <c r="AR17" s="24" t="e">
        <f>'Evolutive SFP'!AP21/'Evolutive SFP'!AP27</f>
        <v>#DIV/0!</v>
      </c>
      <c r="AS17" s="24" t="e">
        <f>'Evolutive SFP'!AQ21/'Evolutive SFP'!AQ27</f>
        <v>#DIV/0!</v>
      </c>
      <c r="AT17" s="24" t="e">
        <f>'Evolutive SFP'!AR21/'Evolutive SFP'!AR27</f>
        <v>#DIV/0!</v>
      </c>
    </row>
    <row r="18" spans="1:46" ht="15" x14ac:dyDescent="0.3">
      <c r="A18" s="239"/>
      <c r="B18" s="3" t="s">
        <v>192</v>
      </c>
      <c r="C18" s="22" t="s">
        <v>191</v>
      </c>
      <c r="D18" s="24">
        <f>'Evolutive SFP'!B13/'Evolutive SFP'!B31</f>
        <v>3.6721969312762956E-3</v>
      </c>
      <c r="E18" s="24">
        <f>'Evolutive SFP'!C13/'Evolutive SFP'!C31</f>
        <v>1.1985727520320369E-4</v>
      </c>
      <c r="F18" s="24">
        <f>'Evolutive SFP'!D13/'Evolutive SFP'!D31</f>
        <v>1.1137565169327074E-2</v>
      </c>
      <c r="G18" s="24">
        <f>'Evolutive SFP'!E13/'Evolutive SFP'!E31</f>
        <v>1.095434364529412E-2</v>
      </c>
      <c r="H18" s="24">
        <f>'Evolutive SFP'!F13/'Evolutive SFP'!F31</f>
        <v>1.2366953513682043E-2</v>
      </c>
      <c r="I18" s="24">
        <f>'Evolutive SFP'!G13/'Evolutive SFP'!G31</f>
        <v>1.4286339149215206E-2</v>
      </c>
      <c r="J18" s="24">
        <f>'Evolutive SFP'!H13/'Evolutive SFP'!H31</f>
        <v>1.5592660601559005E-2</v>
      </c>
      <c r="K18" s="24">
        <f>'Evolutive SFP'!I13/'Evolutive SFP'!I31</f>
        <v>1.5718309817390756E-2</v>
      </c>
      <c r="L18" s="24">
        <f>'Evolutive SFP'!J13/'Evolutive SFP'!J31</f>
        <v>1.6071064192616589E-2</v>
      </c>
      <c r="M18" s="24">
        <f>'Evolutive SFP'!K13/'Evolutive SFP'!K31</f>
        <v>1.5815053399407641E-2</v>
      </c>
      <c r="N18" s="24">
        <f>'Evolutive SFP'!L13/'Evolutive SFP'!L31</f>
        <v>1.597663687640909E-2</v>
      </c>
      <c r="O18" s="24">
        <f>'Evolutive SFP'!M13/'Evolutive SFP'!M31</f>
        <v>1.2008550285773044E-2</v>
      </c>
      <c r="P18" s="24">
        <f>'Evolutive SFP'!N13/'Evolutive SFP'!N31</f>
        <v>1.3205188102807009E-2</v>
      </c>
      <c r="Q18" s="24">
        <f>'Evolutive SFP'!O13/'Evolutive SFP'!O31</f>
        <v>1.6638807157625335E-2</v>
      </c>
      <c r="R18" s="24">
        <f>'Evolutive SFP'!P13/'Evolutive SFP'!P31</f>
        <v>1.399655701493301E-4</v>
      </c>
      <c r="S18" s="24">
        <f>'Evolutive SFP'!Q13/'Evolutive SFP'!Q31</f>
        <v>1.2270638841111028E-2</v>
      </c>
      <c r="T18" s="24">
        <f>'Evolutive SFP'!R13/'Evolutive SFP'!R31</f>
        <v>1.2277410277235685E-2</v>
      </c>
      <c r="U18" s="24">
        <f>'Evolutive SFP'!S13/'Evolutive SFP'!S31</f>
        <v>1.2496637126887694E-2</v>
      </c>
      <c r="V18" s="24">
        <f>'Evolutive SFP'!T13/'Evolutive SFP'!T31</f>
        <v>1.1823751062143291E-2</v>
      </c>
      <c r="W18" s="24">
        <f>'Evolutive SFP'!U13/'Evolutive SFP'!U31</f>
        <v>1.2091630364198244E-2</v>
      </c>
      <c r="X18" s="24">
        <f>'Evolutive SFP'!V13/'Evolutive SFP'!V31</f>
        <v>1.2232336019470916E-2</v>
      </c>
      <c r="Y18" s="24">
        <f>'Evolutive SFP'!W13/'Evolutive SFP'!W31</f>
        <v>8.6515712202023462E-3</v>
      </c>
      <c r="Z18" s="24">
        <f>'Evolutive SFP'!X13/'Evolutive SFP'!X31</f>
        <v>9.4421414901607829E-3</v>
      </c>
      <c r="AA18" s="24">
        <f>'Evolutive SFP'!Y13/'Evolutive SFP'!Y31</f>
        <v>9.9731063691164863E-3</v>
      </c>
      <c r="AB18" s="24">
        <f>'Evolutive SFP'!Z13/'Evolutive SFP'!Z31</f>
        <v>1.037299376977498E-2</v>
      </c>
      <c r="AC18" s="24">
        <f>'Evolutive SFP'!AA13/'Evolutive SFP'!AA31</f>
        <v>1.0395267732443522E-2</v>
      </c>
      <c r="AD18" s="24">
        <f>'Evolutive SFP'!AB13/'Evolutive SFP'!AB31</f>
        <v>1.0742957623817264E-2</v>
      </c>
      <c r="AE18" s="24">
        <f>'Evolutive SFP'!AC13/'Evolutive SFP'!AC31</f>
        <v>1.2189435549805197E-4</v>
      </c>
      <c r="AF18" s="24">
        <f>'Evolutive SFP'!AD13/'Evolutive SFP'!AD31</f>
        <v>0</v>
      </c>
      <c r="AG18" s="24">
        <f>'Evolutive SFP'!AE13/'Evolutive SFP'!AE31</f>
        <v>0</v>
      </c>
      <c r="AH18" s="24">
        <f>'Evolutive SFP'!AF13/'Evolutive SFP'!AF31</f>
        <v>0</v>
      </c>
      <c r="AI18" s="24">
        <f>'Evolutive SFP'!AG13/'Evolutive SFP'!AG31</f>
        <v>1.1172762220622558E-2</v>
      </c>
      <c r="AJ18" s="24">
        <f>'Evolutive SFP'!AH13/'Evolutive SFP'!AH31</f>
        <v>1.1422729327192363E-2</v>
      </c>
      <c r="AK18" s="24">
        <f>'Evolutive SFP'!AI13/'Evolutive SFP'!AI31</f>
        <v>0</v>
      </c>
      <c r="AL18" s="24" t="e">
        <f>'Evolutive SFP'!AJ13/'Evolutive SFP'!AJ31</f>
        <v>#DIV/0!</v>
      </c>
      <c r="AM18" s="24" t="e">
        <f>'Evolutive SFP'!AK13/'Evolutive SFP'!AK31</f>
        <v>#DIV/0!</v>
      </c>
      <c r="AN18" s="24" t="e">
        <f>'Evolutive SFP'!AL13/'Evolutive SFP'!AL31</f>
        <v>#DIV/0!</v>
      </c>
      <c r="AO18" s="24" t="e">
        <f>'Evolutive SFP'!AM13/'Evolutive SFP'!AM31</f>
        <v>#DIV/0!</v>
      </c>
      <c r="AP18" s="24" t="e">
        <f>'Evolutive SFP'!AN13/'Evolutive SFP'!AN31</f>
        <v>#DIV/0!</v>
      </c>
      <c r="AQ18" s="24" t="e">
        <f>'Evolutive SFP'!AO13/'Evolutive SFP'!AO31</f>
        <v>#DIV/0!</v>
      </c>
      <c r="AR18" s="24" t="e">
        <f>'Evolutive SFP'!AP13/'Evolutive SFP'!AP31</f>
        <v>#DIV/0!</v>
      </c>
      <c r="AS18" s="24" t="e">
        <f>'Evolutive SFP'!AQ13/'Evolutive SFP'!AQ31</f>
        <v>#DIV/0!</v>
      </c>
      <c r="AT18" s="24" t="e">
        <f>'Evolutive SFP'!AR13/'Evolutive SFP'!AR31</f>
        <v>#DIV/0!</v>
      </c>
    </row>
    <row r="19" spans="1:46" x14ac:dyDescent="0.3">
      <c r="A19" s="239"/>
      <c r="B19" s="53" t="s">
        <v>193</v>
      </c>
      <c r="C19" s="23" t="s">
        <v>194</v>
      </c>
      <c r="D19" s="24">
        <f>'Evolutive SFP'!B13/(CAELS!D3*1000000)</f>
        <v>3.0948443377048846E-2</v>
      </c>
      <c r="E19" s="24">
        <f>'Evolutive SFP'!C13/(CAELS!E3*1000000)</f>
        <v>1.5509415788038101E-4</v>
      </c>
      <c r="F19" s="24">
        <f>'Evolutive SFP'!D13/(CAELS!F3*1000000)</f>
        <v>1.53634716102006E-2</v>
      </c>
      <c r="G19" s="24">
        <f>'Evolutive SFP'!E13/(CAELS!G3*1000000)</f>
        <v>1.5388453090777085E-2</v>
      </c>
      <c r="H19" s="24">
        <f>'Evolutive SFP'!F13/(CAELS!H3*1000000)</f>
        <v>1.5191975126871309E-2</v>
      </c>
      <c r="I19" s="24">
        <f>'Evolutive SFP'!G13/(CAELS!I3*1000000)</f>
        <v>1.4651753972990237E-2</v>
      </c>
      <c r="J19" s="24">
        <f>'Evolutive SFP'!H13/(CAELS!J3*1000000)</f>
        <v>1.7611215615653736E-2</v>
      </c>
      <c r="K19" s="24">
        <f>'Evolutive SFP'!I13/(CAELS!K3*1000000)</f>
        <v>1.4144670419216333E-2</v>
      </c>
      <c r="L19" s="24">
        <f>'Evolutive SFP'!J13/(CAELS!L3*1000000)</f>
        <v>1.4231830864560971E-2</v>
      </c>
      <c r="M19" s="24">
        <f>'Evolutive SFP'!K13/(CAELS!M3*1000000)</f>
        <v>1.4199787067580141E-2</v>
      </c>
      <c r="N19" s="24">
        <f>'Evolutive SFP'!L13/(CAELS!N3*1000000)</f>
        <v>1.376116756087907E-2</v>
      </c>
      <c r="O19" s="24">
        <f>'Evolutive SFP'!M13/(CAELS!O3*1000000)</f>
        <v>1.3579406386202581E-2</v>
      </c>
      <c r="P19" s="24">
        <f>'Evolutive SFP'!N13/(CAELS!P3*1000000)</f>
        <v>1.3358222286323581E-2</v>
      </c>
      <c r="Q19" s="24">
        <f>'Evolutive SFP'!O13/(CAELS!Q3*1000000)</f>
        <v>1.6988794418546557E-2</v>
      </c>
      <c r="R19" s="24">
        <f>'Evolutive SFP'!P13/(CAELS!R3*1000000)</f>
        <v>1.4160634092576783E-4</v>
      </c>
      <c r="S19" s="24">
        <f>'Evolutive SFP'!Q13/(CAELS!S3*1000000)</f>
        <v>1.2200236070297302E-2</v>
      </c>
      <c r="T19" s="24">
        <f>'Evolutive SFP'!R13/(CAELS!T3*1000000)</f>
        <v>1.2073442201896005E-2</v>
      </c>
      <c r="U19" s="24">
        <f>'Evolutive SFP'!S13/(CAELS!U3*1000000)</f>
        <v>1.1883351401359831E-2</v>
      </c>
      <c r="V19" s="24">
        <f>'Evolutive SFP'!T13/(CAELS!V3*1000000)</f>
        <v>1.1618171324590889E-2</v>
      </c>
      <c r="W19" s="24">
        <f>'Evolutive SFP'!U13/(CAELS!W3*1000000)</f>
        <v>1.1331232618043965E-2</v>
      </c>
      <c r="X19" s="24">
        <f>'Evolutive SFP'!V13/(CAELS!X3*1000000)</f>
        <v>1.1093999436708664E-2</v>
      </c>
      <c r="Y19" s="24">
        <f>'Evolutive SFP'!W13/(CAELS!Y3*1000000)</f>
        <v>1.0575619607758187E-2</v>
      </c>
      <c r="Z19" s="24">
        <f>'Evolutive SFP'!X13/(CAELS!Z3*1000000)</f>
        <v>1.0669870812006698E-2</v>
      </c>
      <c r="AA19" s="24">
        <f>'Evolutive SFP'!Y13/(CAELS!AA3*1000000)</f>
        <v>1.0565381647273563E-2</v>
      </c>
      <c r="AB19" s="24">
        <f>'Evolutive SFP'!Z13/(CAELS!AB3*1000000)</f>
        <v>1.0519460913168129E-2</v>
      </c>
      <c r="AC19" s="24">
        <f>'Evolutive SFP'!AA13/(CAELS!AC3*1000000)</f>
        <v>1.0659320358850505E-2</v>
      </c>
      <c r="AD19" s="24">
        <f>'Evolutive SFP'!AB13/(CAELS!AD3*1000000)</f>
        <v>1.0523900976701264E-2</v>
      </c>
      <c r="AE19" s="24">
        <f>'Evolutive SFP'!AC13/(CAELS!AE3*1000000)</f>
        <v>1.2316153573409784E-4</v>
      </c>
      <c r="AF19" s="24">
        <f>'Evolutive SFP'!AD13/(CAELS!AF3*1000000)</f>
        <v>0</v>
      </c>
      <c r="AG19" s="24">
        <f>'Evolutive SFP'!AE13/(CAELS!AG3*1000000)</f>
        <v>0</v>
      </c>
      <c r="AH19" s="24">
        <f>'Evolutive SFP'!AF13/(CAELS!AH3*1000000)</f>
        <v>0</v>
      </c>
      <c r="AI19" s="24">
        <f>'Evolutive SFP'!AG13/(CAELS!AI3*1000000)</f>
        <v>1.1453908379548608E-2</v>
      </c>
      <c r="AJ19" s="24">
        <f>'Evolutive SFP'!AH13/(CAELS!AJ3*1000000)</f>
        <v>1.1198175728737688E-2</v>
      </c>
      <c r="AK19" s="24">
        <f>'Evolutive SFP'!AI13/(CAELS!AK3*1000000)</f>
        <v>0</v>
      </c>
      <c r="AL19" s="24" t="e">
        <f>'Evolutive SFP'!AJ13/(CAELS!AL3*1000000)</f>
        <v>#DIV/0!</v>
      </c>
      <c r="AM19" s="24" t="e">
        <f>'Evolutive SFP'!AK13/(CAELS!AM3*1000000)</f>
        <v>#DIV/0!</v>
      </c>
      <c r="AN19" s="24" t="e">
        <f>'Evolutive SFP'!AL13/(CAELS!AN3*1000000)</f>
        <v>#DIV/0!</v>
      </c>
      <c r="AO19" s="24" t="e">
        <f>'Evolutive SFP'!AM13/(CAELS!AO3*1000000)</f>
        <v>#DIV/0!</v>
      </c>
      <c r="AP19" s="24" t="e">
        <f>'Evolutive SFP'!AN13/(CAELS!AP3*1000000)</f>
        <v>#DIV/0!</v>
      </c>
      <c r="AQ19" s="24" t="e">
        <f>'Evolutive SFP'!AO13/(CAELS!AQ3*1000000)</f>
        <v>#DIV/0!</v>
      </c>
      <c r="AR19" s="24" t="e">
        <f>'Evolutive SFP'!AP13/(CAELS!AR3*1000000)</f>
        <v>#DIV/0!</v>
      </c>
      <c r="AS19" s="24" t="e">
        <f>'Evolutive SFP'!AQ13/(CAELS!AS3*1000000)</f>
        <v>#DIV/0!</v>
      </c>
      <c r="AT19" s="24" t="e">
        <f>'Evolutive SFP'!AR13/(CAELS!AT3*1000000)</f>
        <v>#DIV/0!</v>
      </c>
    </row>
    <row r="20" spans="1:46" x14ac:dyDescent="0.3">
      <c r="A20" s="239"/>
      <c r="B20" s="4" t="s">
        <v>195</v>
      </c>
      <c r="C20" s="23"/>
      <c r="D20" s="24">
        <f>'Evolutive SFP'!B15/'Evolutive SFP'!B27</f>
        <v>0.74763911512819969</v>
      </c>
      <c r="E20" s="24">
        <f>'Evolutive SFP'!C15/'Evolutive SFP'!C27</f>
        <v>0.85969175331679193</v>
      </c>
      <c r="F20" s="24">
        <f>'Evolutive SFP'!D15/'Evolutive SFP'!D27</f>
        <v>0.90279045819091197</v>
      </c>
      <c r="G20" s="24">
        <f>'Evolutive SFP'!E15/'Evolutive SFP'!E27</f>
        <v>0.88101730306789139</v>
      </c>
      <c r="H20" s="24">
        <f>'Evolutive SFP'!F15/'Evolutive SFP'!F27</f>
        <v>0.89398599360273423</v>
      </c>
      <c r="I20" s="24">
        <f>'Evolutive SFP'!G15/'Evolutive SFP'!G27</f>
        <v>0.94102025958568469</v>
      </c>
      <c r="J20" s="24">
        <f>'Evolutive SFP'!H15/'Evolutive SFP'!H27</f>
        <v>0.96603306959513724</v>
      </c>
      <c r="K20" s="24">
        <f>'Evolutive SFP'!I15/'Evolutive SFP'!I27</f>
        <v>1.0376209660498767</v>
      </c>
      <c r="L20" s="24">
        <f>'Evolutive SFP'!J15/'Evolutive SFP'!J27</f>
        <v>1.0747682747340899</v>
      </c>
      <c r="M20" s="24">
        <f>'Evolutive SFP'!K15/'Evolutive SFP'!K27</f>
        <v>1.1011460935538731</v>
      </c>
      <c r="N20" s="24">
        <f>'Evolutive SFP'!L15/'Evolutive SFP'!L27</f>
        <v>1.1567579470370493</v>
      </c>
      <c r="O20" s="24">
        <f>'Evolutive SFP'!M15/'Evolutive SFP'!M27</f>
        <v>0.85641570456529692</v>
      </c>
      <c r="P20" s="24">
        <f>'Evolutive SFP'!N15/'Evolutive SFP'!N27</f>
        <v>0.97403884070615687</v>
      </c>
      <c r="Q20" s="24">
        <f>'Evolutive SFP'!O15/'Evolutive SFP'!O27</f>
        <v>1.0300901232174835</v>
      </c>
      <c r="R20" s="24">
        <f>'Evolutive SFP'!P15/'Evolutive SFP'!P27</f>
        <v>1.0308775921482789</v>
      </c>
      <c r="S20" s="24">
        <f>'Evolutive SFP'!Q15/'Evolutive SFP'!Q27</f>
        <v>1.0436770155440962</v>
      </c>
      <c r="T20" s="24">
        <f>'Evolutive SFP'!R15/'Evolutive SFP'!R27</f>
        <v>1.0545155740964658</v>
      </c>
      <c r="U20" s="24">
        <f>'Evolutive SFP'!S15/'Evolutive SFP'!S27</f>
        <v>1.0791340034599326</v>
      </c>
      <c r="V20" s="24">
        <f>'Evolutive SFP'!T15/'Evolutive SFP'!T27</f>
        <v>1.0476782403907399</v>
      </c>
      <c r="W20" s="24">
        <f>'Evolutive SFP'!U15/'Evolutive SFP'!U27</f>
        <v>1.0768295847112752</v>
      </c>
      <c r="X20" s="24">
        <f>'Evolutive SFP'!V15/'Evolutive SFP'!V27</f>
        <v>1.1027859664482551</v>
      </c>
      <c r="Y20" s="24">
        <f>'Evolutive SFP'!W15/'Evolutive SFP'!W27</f>
        <v>0.77180544995421274</v>
      </c>
      <c r="Z20" s="24">
        <f>'Evolutive SFP'!X15/'Evolutive SFP'!X27</f>
        <v>0.83585981163106782</v>
      </c>
      <c r="AA20" s="24">
        <f>'Evolutive SFP'!Y15/'Evolutive SFP'!Y27</f>
        <v>0.90035044665520159</v>
      </c>
      <c r="AB20" s="24">
        <f>'Evolutive SFP'!Z15/'Evolutive SFP'!Z27</f>
        <v>0.94942755112683519</v>
      </c>
      <c r="AC20" s="24">
        <f>'Evolutive SFP'!AA15/'Evolutive SFP'!AA27</f>
        <v>0.98507337732646172</v>
      </c>
      <c r="AD20" s="24">
        <f>'Evolutive SFP'!AB15/'Evolutive SFP'!AB27</f>
        <v>1.0170272024704461</v>
      </c>
      <c r="AE20" s="24">
        <f>'Evolutive SFP'!AC15/'Evolutive SFP'!AC27</f>
        <v>1.0087586955158827</v>
      </c>
      <c r="AF20" s="24">
        <f>'Evolutive SFP'!AD15/'Evolutive SFP'!AD27</f>
        <v>1.0034171724718264</v>
      </c>
      <c r="AG20" s="24">
        <f>'Evolutive SFP'!AE15/'Evolutive SFP'!AE27</f>
        <v>1.0657731323747681</v>
      </c>
      <c r="AH20" s="24">
        <f>'Evolutive SFP'!AF15/'Evolutive SFP'!AF27</f>
        <v>1.093654698763785</v>
      </c>
      <c r="AI20" s="24">
        <f>'Evolutive SFP'!AG15/'Evolutive SFP'!AG27</f>
        <v>1.138062789067585</v>
      </c>
      <c r="AJ20" s="24">
        <f>'Evolutive SFP'!AH15/'Evolutive SFP'!AH27</f>
        <v>1.1558238833599224</v>
      </c>
      <c r="AK20" s="24">
        <f>'Evolutive SFP'!AI15/'Evolutive SFP'!AI27</f>
        <v>1.1285624829493548</v>
      </c>
      <c r="AL20" s="24" t="e">
        <f>'Evolutive SFP'!AJ15/'Evolutive SFP'!AJ27</f>
        <v>#DIV/0!</v>
      </c>
      <c r="AM20" s="24" t="e">
        <f>'Evolutive SFP'!AK15/'Evolutive SFP'!AK27</f>
        <v>#DIV/0!</v>
      </c>
      <c r="AN20" s="24" t="e">
        <f>'Evolutive SFP'!AL15/'Evolutive SFP'!AL27</f>
        <v>#DIV/0!</v>
      </c>
      <c r="AO20" s="24" t="e">
        <f>'Evolutive SFP'!AM15/'Evolutive SFP'!AM27</f>
        <v>#DIV/0!</v>
      </c>
      <c r="AP20" s="24" t="e">
        <f>'Evolutive SFP'!AN15/'Evolutive SFP'!AN27</f>
        <v>#DIV/0!</v>
      </c>
      <c r="AQ20" s="24" t="e">
        <f>'Evolutive SFP'!AO15/'Evolutive SFP'!AO27</f>
        <v>#DIV/0!</v>
      </c>
      <c r="AR20" s="24" t="e">
        <f>'Evolutive SFP'!AP15/'Evolutive SFP'!AP27</f>
        <v>#DIV/0!</v>
      </c>
      <c r="AS20" s="24" t="e">
        <f>'Evolutive SFP'!AQ15/'Evolutive SFP'!AQ27</f>
        <v>#DIV/0!</v>
      </c>
      <c r="AT20" s="24" t="e">
        <f>'Evolutive SFP'!AR15/'Evolutive SFP'!AR27</f>
        <v>#DIV/0!</v>
      </c>
    </row>
    <row r="21" spans="1:46" x14ac:dyDescent="0.3">
      <c r="A21" s="238" t="s">
        <v>196</v>
      </c>
      <c r="B21" s="54" t="s">
        <v>197</v>
      </c>
      <c r="C21" s="2"/>
      <c r="D21" s="24">
        <f>'Evolutive SFP'!B31/'Evolutive SFP'!B27</f>
        <v>0.85159482956904442</v>
      </c>
      <c r="E21" s="24">
        <f>'Evolutive SFP'!C31/'Evolutive SFP'!C27</f>
        <v>0.53962619437892401</v>
      </c>
      <c r="F21" s="24">
        <f>'Evolutive SFP'!D31/'Evolutive SFP'!D27</f>
        <v>0.56656945416634152</v>
      </c>
      <c r="G21" s="24">
        <f>'Evolutive SFP'!E31/'Evolutive SFP'!E27</f>
        <v>0.56394393131155507</v>
      </c>
      <c r="H21" s="24">
        <f>'Evolutive SFP'!F31/'Evolutive SFP'!F27</f>
        <v>0.52134785519205606</v>
      </c>
      <c r="I21" s="24">
        <f>'Evolutive SFP'!G31/'Evolutive SFP'!G27</f>
        <v>0.46618742271236019</v>
      </c>
      <c r="J21" s="24">
        <f>'Evolutive SFP'!H31/'Evolutive SFP'!H27</f>
        <v>0.45193833567474223</v>
      </c>
      <c r="K21" s="24">
        <f>'Evolutive SFP'!I31/'Evolutive SFP'!I27</f>
        <v>0.4489360623399683</v>
      </c>
      <c r="L21" s="24">
        <f>'Evolutive SFP'!J31/'Evolutive SFP'!J27</f>
        <v>0.44224782991480022</v>
      </c>
      <c r="M21" s="24">
        <f>'Evolutive SFP'!K31/'Evolutive SFP'!K27</f>
        <v>0.44893017150865222</v>
      </c>
      <c r="N21" s="24">
        <f>'Evolutive SFP'!L31/'Evolutive SFP'!L27</f>
        <v>0.43927309947695264</v>
      </c>
      <c r="O21" s="24">
        <f>'Evolutive SFP'!M31/'Evolutive SFP'!M27</f>
        <v>0.49617282320401179</v>
      </c>
      <c r="P21" s="24">
        <f>'Evolutive SFP'!N31/'Evolutive SFP'!N27</f>
        <v>0.47432503415537741</v>
      </c>
      <c r="Q21" s="24">
        <f>'Evolutive SFP'!O31/'Evolutive SFP'!O27</f>
        <v>0.46917091618634638</v>
      </c>
      <c r="R21" s="24">
        <f>'Evolutive SFP'!P31/'Evolutive SFP'!P27</f>
        <v>0.46463051610504458</v>
      </c>
      <c r="S21" s="24">
        <f>'Evolutive SFP'!Q31/'Evolutive SFP'!Q27</f>
        <v>0.46073945984164399</v>
      </c>
      <c r="T21" s="24">
        <f>'Evolutive SFP'!R31/'Evolutive SFP'!R27</f>
        <v>0.45875143950148223</v>
      </c>
      <c r="U21" s="24">
        <f>'Evolutive SFP'!S31/'Evolutive SFP'!S27</f>
        <v>0.45343396366107924</v>
      </c>
      <c r="V21" s="24">
        <f>'Evolutive SFP'!T31/'Evolutive SFP'!T27</f>
        <v>0.45889377503750373</v>
      </c>
      <c r="W21" s="24">
        <f>'Evolutive SFP'!U31/'Evolutive SFP'!U27</f>
        <v>0.44584913022593542</v>
      </c>
      <c r="X21" s="24">
        <f>'Evolutive SFP'!V31/'Evolutive SFP'!V27</f>
        <v>0.44308567988715103</v>
      </c>
      <c r="Y21" s="24">
        <f>'Evolutive SFP'!W31/'Evolutive SFP'!W27</f>
        <v>0.51583716042065575</v>
      </c>
      <c r="Z21" s="24">
        <f>'Evolutive SFP'!X31/'Evolutive SFP'!X27</f>
        <v>0.48885918854965277</v>
      </c>
      <c r="AA21" s="24">
        <f>'Evolutive SFP'!Y31/'Evolutive SFP'!Y27</f>
        <v>0.47880285925154137</v>
      </c>
      <c r="AB21" s="24">
        <f>'Evolutive SFP'!Z31/'Evolutive SFP'!Z27</f>
        <v>0.46757567535333688</v>
      </c>
      <c r="AC21" s="24">
        <f>'Evolutive SFP'!AA31/'Evolutive SFP'!AA27</f>
        <v>0.46996551343595921</v>
      </c>
      <c r="AD21" s="24">
        <f>'Evolutive SFP'!AB31/'Evolutive SFP'!AB27</f>
        <v>0.45801894274915345</v>
      </c>
      <c r="AE21" s="24">
        <f>'Evolutive SFP'!AC31/'Evolutive SFP'!AC27</f>
        <v>0.4543073168070238</v>
      </c>
      <c r="AF21" s="24">
        <f>'Evolutive SFP'!AD31/'Evolutive SFP'!AD27</f>
        <v>0.46697502334811802</v>
      </c>
      <c r="AG21" s="24">
        <f>'Evolutive SFP'!AE31/'Evolutive SFP'!AE27</f>
        <v>0.4640896232050758</v>
      </c>
      <c r="AH21" s="24">
        <f>'Evolutive SFP'!AF31/'Evolutive SFP'!AF27</f>
        <v>0.46960772954580349</v>
      </c>
      <c r="AI21" s="24">
        <f>'Evolutive SFP'!AG31/'Evolutive SFP'!AG27</f>
        <v>0.47141416204246167</v>
      </c>
      <c r="AJ21" s="24">
        <f>'Evolutive SFP'!AH31/'Evolutive SFP'!AH27</f>
        <v>0.45605832786035377</v>
      </c>
      <c r="AK21" s="24">
        <f>'Evolutive SFP'!AI31/'Evolutive SFP'!AI27</f>
        <v>0.45048545239392657</v>
      </c>
      <c r="AL21" s="24" t="e">
        <f>'Evolutive SFP'!AJ31/'Evolutive SFP'!AJ27</f>
        <v>#DIV/0!</v>
      </c>
      <c r="AM21" s="24" t="e">
        <f>'Evolutive SFP'!AK31/'Evolutive SFP'!AK27</f>
        <v>#DIV/0!</v>
      </c>
      <c r="AN21" s="24" t="e">
        <f>'Evolutive SFP'!AL31/'Evolutive SFP'!AL27</f>
        <v>#DIV/0!</v>
      </c>
      <c r="AO21" s="24" t="e">
        <f>'Evolutive SFP'!AM31/'Evolutive SFP'!AM27</f>
        <v>#DIV/0!</v>
      </c>
      <c r="AP21" s="24" t="e">
        <f>'Evolutive SFP'!AN31/'Evolutive SFP'!AN27</f>
        <v>#DIV/0!</v>
      </c>
      <c r="AQ21" s="24" t="e">
        <f>'Evolutive SFP'!AO31/'Evolutive SFP'!AO27</f>
        <v>#DIV/0!</v>
      </c>
      <c r="AR21" s="24" t="e">
        <f>'Evolutive SFP'!AP31/'Evolutive SFP'!AP27</f>
        <v>#DIV/0!</v>
      </c>
      <c r="AS21" s="24" t="e">
        <f>'Evolutive SFP'!AQ31/'Evolutive SFP'!AQ27</f>
        <v>#DIV/0!</v>
      </c>
      <c r="AT21" s="24" t="e">
        <f>'Evolutive SFP'!AR31/'Evolutive SFP'!AR27</f>
        <v>#DIV/0!</v>
      </c>
    </row>
    <row r="22" spans="1:46" x14ac:dyDescent="0.3">
      <c r="A22" s="238"/>
      <c r="B22" s="54" t="s">
        <v>198</v>
      </c>
      <c r="C22" s="2"/>
      <c r="D22" s="24">
        <f>'Evolutive SFP'!B30/'Evolutive SFP'!B27</f>
        <v>0.74257767546849374</v>
      </c>
      <c r="E22" s="24">
        <f>'Evolutive SFP'!C30/'Evolutive SFP'!C27</f>
        <v>0</v>
      </c>
      <c r="F22" s="24">
        <f>'Evolutive SFP'!D30/'Evolutive SFP'!D27</f>
        <v>0.25934631253933832</v>
      </c>
      <c r="G22" s="24">
        <f>'Evolutive SFP'!E30/'Evolutive SFP'!E27</f>
        <v>0.26735628147382956</v>
      </c>
      <c r="H22" s="24">
        <f>'Evolutive SFP'!F30/'Evolutive SFP'!F27</f>
        <v>0.27581983747851896</v>
      </c>
      <c r="I22" s="24">
        <f>'Evolutive SFP'!G30/'Evolutive SFP'!G27</f>
        <v>0.29063657842219509</v>
      </c>
      <c r="J22" s="24">
        <f>'Evolutive SFP'!H30/'Evolutive SFP'!H27</f>
        <v>0.31264494108804219</v>
      </c>
      <c r="K22" s="24">
        <f>'Evolutive SFP'!I30/'Evolutive SFP'!I27</f>
        <v>0.31996796784049736</v>
      </c>
      <c r="L22" s="24">
        <f>'Evolutive SFP'!J30/'Evolutive SFP'!J27</f>
        <v>0.32694676093715958</v>
      </c>
      <c r="M22" s="24">
        <f>'Evolutive SFP'!K30/'Evolutive SFP'!K27</f>
        <v>0.32675742123374896</v>
      </c>
      <c r="N22" s="24">
        <f>'Evolutive SFP'!L30/'Evolutive SFP'!L27</f>
        <v>0.31567207747327397</v>
      </c>
      <c r="O22" s="24">
        <f>'Evolutive SFP'!M30/'Evolutive SFP'!M27</f>
        <v>0.27186700580589201</v>
      </c>
      <c r="P22" s="24">
        <f>'Evolutive SFP'!N30/'Evolutive SFP'!N27</f>
        <v>0.29474821867541739</v>
      </c>
      <c r="Q22" s="24">
        <f>'Evolutive SFP'!O30/'Evolutive SFP'!O27</f>
        <v>0.30759113622729012</v>
      </c>
      <c r="R22" s="24">
        <f>'Evolutive SFP'!P30/'Evolutive SFP'!P27</f>
        <v>0.30782549429195138</v>
      </c>
      <c r="S22" s="24">
        <f>'Evolutive SFP'!Q30/'Evolutive SFP'!Q27</f>
        <v>0.30880176675771304</v>
      </c>
      <c r="T22" s="24">
        <f>'Evolutive SFP'!R30/'Evolutive SFP'!R27</f>
        <v>0.31018575024470613</v>
      </c>
      <c r="U22" s="24">
        <f>'Evolutive SFP'!S30/'Evolutive SFP'!S27</f>
        <v>0.31539934682795745</v>
      </c>
      <c r="V22" s="24">
        <f>'Evolutive SFP'!T30/'Evolutive SFP'!T27</f>
        <v>0.30776092104280633</v>
      </c>
      <c r="W22" s="24">
        <f>'Evolutive SFP'!U30/'Evolutive SFP'!U27</f>
        <v>0.31046701961388645</v>
      </c>
      <c r="X22" s="24">
        <f>'Evolutive SFP'!V30/'Evolutive SFP'!V27</f>
        <v>0.31536647886959557</v>
      </c>
      <c r="Y22" s="24">
        <f>'Evolutive SFP'!W30/'Evolutive SFP'!W27</f>
        <v>0.26399479459584829</v>
      </c>
      <c r="Z22" s="24">
        <f>'Evolutive SFP'!X30/'Evolutive SFP'!X27</f>
        <v>0.27599580380474836</v>
      </c>
      <c r="AA22" s="24">
        <f>'Evolutive SFP'!Y30/'Evolutive SFP'!Y27</f>
        <v>0.28904014978945503</v>
      </c>
      <c r="AB22" s="24">
        <f>'Evolutive SFP'!Z30/'Evolutive SFP'!Z27</f>
        <v>0.29589225401807717</v>
      </c>
      <c r="AC22" s="24">
        <f>'Evolutive SFP'!AA30/'Evolutive SFP'!AA27</f>
        <v>0.30066848802212148</v>
      </c>
      <c r="AD22" s="24">
        <f>'Evolutive SFP'!AB30/'Evolutive SFP'!AB27</f>
        <v>0.30614962112469429</v>
      </c>
      <c r="AE22" s="24">
        <f>'Evolutive SFP'!AC30/'Evolutive SFP'!AC27</f>
        <v>0.30366060188778743</v>
      </c>
      <c r="AF22" s="24">
        <f>'Evolutive SFP'!AD30/'Evolutive SFP'!AD27</f>
        <v>0.3090817970417068</v>
      </c>
      <c r="AG22" s="24">
        <f>'Evolutive SFP'!AE30/'Evolutive SFP'!AE27</f>
        <v>0.31131270130642602</v>
      </c>
      <c r="AH22" s="24">
        <f>'Evolutive SFP'!AF30/'Evolutive SFP'!AF27</f>
        <v>0.3120996686391091</v>
      </c>
      <c r="AI22" s="24">
        <f>'Evolutive SFP'!AG30/'Evolutive SFP'!AG27</f>
        <v>0.321117472901987</v>
      </c>
      <c r="AJ22" s="24">
        <f>'Evolutive SFP'!AH30/'Evolutive SFP'!AH27</f>
        <v>0.31760770699519458</v>
      </c>
      <c r="AK22" s="24">
        <f>'Evolutive SFP'!AI30/'Evolutive SFP'!AI27</f>
        <v>0.31419441803898712</v>
      </c>
      <c r="AL22" s="24" t="e">
        <f>'Evolutive SFP'!AJ30/'Evolutive SFP'!AJ27</f>
        <v>#DIV/0!</v>
      </c>
      <c r="AM22" s="24" t="e">
        <f>'Evolutive SFP'!AK30/'Evolutive SFP'!AK27</f>
        <v>#DIV/0!</v>
      </c>
      <c r="AN22" s="24" t="e">
        <f>'Evolutive SFP'!AL30/'Evolutive SFP'!AL27</f>
        <v>#DIV/0!</v>
      </c>
      <c r="AO22" s="24" t="e">
        <f>'Evolutive SFP'!AM30/'Evolutive SFP'!AM27</f>
        <v>#DIV/0!</v>
      </c>
      <c r="AP22" s="24" t="e">
        <f>'Evolutive SFP'!AN30/'Evolutive SFP'!AN27</f>
        <v>#DIV/0!</v>
      </c>
      <c r="AQ22" s="24" t="e">
        <f>'Evolutive SFP'!AO30/'Evolutive SFP'!AO27</f>
        <v>#DIV/0!</v>
      </c>
      <c r="AR22" s="24" t="e">
        <f>'Evolutive SFP'!AP30/'Evolutive SFP'!AP27</f>
        <v>#DIV/0!</v>
      </c>
      <c r="AS22" s="24" t="e">
        <f>'Evolutive SFP'!AQ30/'Evolutive SFP'!AQ27</f>
        <v>#DIV/0!</v>
      </c>
      <c r="AT22" s="24" t="e">
        <f>'Evolutive SFP'!AR30/'Evolutive SFP'!AR27</f>
        <v>#DIV/0!</v>
      </c>
    </row>
    <row r="23" spans="1:46" x14ac:dyDescent="0.3">
      <c r="A23" s="238"/>
      <c r="B23" s="54" t="s">
        <v>199</v>
      </c>
      <c r="C23" s="2"/>
      <c r="D23" s="24">
        <f>('Evolutive SFP'!B28+'Evolutive SFP'!B29)/'Evolutive SFP'!B27</f>
        <v>0.10901715410055068</v>
      </c>
      <c r="E23" s="24">
        <f>('Evolutive SFP'!C28+'Evolutive SFP'!C29)/'Evolutive SFP'!C27</f>
        <v>0.53962619437892401</v>
      </c>
      <c r="F23" s="24">
        <f>('Evolutive SFP'!D28+'Evolutive SFP'!D29)/'Evolutive SFP'!D27</f>
        <v>0.3072231416270032</v>
      </c>
      <c r="G23" s="24">
        <f>('Evolutive SFP'!E28+'Evolutive SFP'!E29)/'Evolutive SFP'!E27</f>
        <v>0.29658764983772551</v>
      </c>
      <c r="H23" s="24">
        <f>('Evolutive SFP'!F28+'Evolutive SFP'!F29)/'Evolutive SFP'!F27</f>
        <v>0.24552801771353711</v>
      </c>
      <c r="I23" s="24">
        <f>('Evolutive SFP'!G28+'Evolutive SFP'!G29)/'Evolutive SFP'!G27</f>
        <v>0.1755508442901651</v>
      </c>
      <c r="J23" s="24">
        <f>('Evolutive SFP'!H28+'Evolutive SFP'!H29)/'Evolutive SFP'!H27</f>
        <v>0.13929339458670004</v>
      </c>
      <c r="K23" s="24">
        <f>('Evolutive SFP'!I28+'Evolutive SFP'!I29)/'Evolutive SFP'!I27</f>
        <v>0.12896809449947091</v>
      </c>
      <c r="L23" s="24">
        <f>('Evolutive SFP'!J28+'Evolutive SFP'!J29)/'Evolutive SFP'!J27</f>
        <v>0.11530106897764067</v>
      </c>
      <c r="M23" s="24">
        <f>('Evolutive SFP'!K28+'Evolutive SFP'!K29)/'Evolutive SFP'!K27</f>
        <v>0.12217275027490328</v>
      </c>
      <c r="N23" s="24">
        <f>('Evolutive SFP'!L28+'Evolutive SFP'!L29)/'Evolutive SFP'!L27</f>
        <v>0.12360102200367866</v>
      </c>
      <c r="O23" s="24">
        <f>('Evolutive SFP'!M28+'Evolutive SFP'!M29)/'Evolutive SFP'!M27</f>
        <v>0.22430581739811978</v>
      </c>
      <c r="P23" s="24">
        <f>('Evolutive SFP'!N28+'Evolutive SFP'!N29)/'Evolutive SFP'!N27</f>
        <v>0.17957681547996004</v>
      </c>
      <c r="Q23" s="24">
        <f>('Evolutive SFP'!O28+'Evolutive SFP'!O29)/'Evolutive SFP'!O27</f>
        <v>0.16157977995905623</v>
      </c>
      <c r="R23" s="24">
        <f>('Evolutive SFP'!P28+'Evolutive SFP'!P29)/'Evolutive SFP'!P27</f>
        <v>0.15680502181309319</v>
      </c>
      <c r="S23" s="24">
        <f>('Evolutive SFP'!Q28+'Evolutive SFP'!Q29)/'Evolutive SFP'!Q27</f>
        <v>0.15193769308393096</v>
      </c>
      <c r="T23" s="24">
        <f>('Evolutive SFP'!R28+'Evolutive SFP'!R29)/'Evolutive SFP'!R27</f>
        <v>0.14856568925677607</v>
      </c>
      <c r="U23" s="24">
        <f>('Evolutive SFP'!S28+'Evolutive SFP'!S29)/'Evolutive SFP'!S27</f>
        <v>0.13803461683312179</v>
      </c>
      <c r="V23" s="24">
        <f>('Evolutive SFP'!T28+'Evolutive SFP'!T29)/'Evolutive SFP'!T27</f>
        <v>0.15113285399469739</v>
      </c>
      <c r="W23" s="24">
        <f>('Evolutive SFP'!U28+'Evolutive SFP'!U29)/'Evolutive SFP'!U27</f>
        <v>0.13538211061204894</v>
      </c>
      <c r="X23" s="24">
        <f>('Evolutive SFP'!V28+'Evolutive SFP'!V29)/'Evolutive SFP'!V27</f>
        <v>0.12771920101755543</v>
      </c>
      <c r="Y23" s="24">
        <f>('Evolutive SFP'!W28+'Evolutive SFP'!W29)/'Evolutive SFP'!W27</f>
        <v>0.2518423658248074</v>
      </c>
      <c r="Z23" s="24">
        <f>('Evolutive SFP'!X28+'Evolutive SFP'!X29)/'Evolutive SFP'!X27</f>
        <v>0.21286338474490443</v>
      </c>
      <c r="AA23" s="24">
        <f>('Evolutive SFP'!Y28+'Evolutive SFP'!Y29)/'Evolutive SFP'!Y27</f>
        <v>0.18976270946208634</v>
      </c>
      <c r="AB23" s="24">
        <f>('Evolutive SFP'!Z28+'Evolutive SFP'!Z29)/'Evolutive SFP'!Z27</f>
        <v>0.17168342133525971</v>
      </c>
      <c r="AC23" s="24">
        <f>('Evolutive SFP'!AA28+'Evolutive SFP'!AA29)/'Evolutive SFP'!AA27</f>
        <v>0.16929702541383776</v>
      </c>
      <c r="AD23" s="24">
        <f>('Evolutive SFP'!AB28+'Evolutive SFP'!AB29)/'Evolutive SFP'!AB27</f>
        <v>0.15186932162445912</v>
      </c>
      <c r="AE23" s="24">
        <f>('Evolutive SFP'!AC28+'Evolutive SFP'!AC29)/'Evolutive SFP'!AC27</f>
        <v>0.15064671491923634</v>
      </c>
      <c r="AF23" s="24">
        <f>('Evolutive SFP'!AD28+'Evolutive SFP'!AD29)/'Evolutive SFP'!AD27</f>
        <v>0.15789322630641126</v>
      </c>
      <c r="AG23" s="24">
        <f>('Evolutive SFP'!AE28+'Evolutive SFP'!AE29)/'Evolutive SFP'!AE27</f>
        <v>0.15277692189864983</v>
      </c>
      <c r="AH23" s="24">
        <f>('Evolutive SFP'!AF28+'Evolutive SFP'!AF29)/'Evolutive SFP'!AF27</f>
        <v>0.15750806090669439</v>
      </c>
      <c r="AI23" s="24">
        <f>('Evolutive SFP'!AG28+'Evolutive SFP'!AG29)/'Evolutive SFP'!AG27</f>
        <v>0.1502966891404747</v>
      </c>
      <c r="AJ23" s="24">
        <f>('Evolutive SFP'!AH28+'Evolutive SFP'!AH29)/'Evolutive SFP'!AH27</f>
        <v>0.13845062086515916</v>
      </c>
      <c r="AK23" s="24">
        <f>('Evolutive SFP'!AI28+'Evolutive SFP'!AI29)/'Evolutive SFP'!AI27</f>
        <v>0.13629103435493942</v>
      </c>
      <c r="AL23" s="24" t="e">
        <f>('Evolutive SFP'!AJ28+'Evolutive SFP'!AJ29)/'Evolutive SFP'!AJ27</f>
        <v>#DIV/0!</v>
      </c>
      <c r="AM23" s="24" t="e">
        <f>('Evolutive SFP'!AK28+'Evolutive SFP'!AK29)/'Evolutive SFP'!AK27</f>
        <v>#DIV/0!</v>
      </c>
      <c r="AN23" s="24" t="e">
        <f>('Evolutive SFP'!AL28+'Evolutive SFP'!AL29)/'Evolutive SFP'!AL27</f>
        <v>#DIV/0!</v>
      </c>
      <c r="AO23" s="24" t="e">
        <f>('Evolutive SFP'!AM28+'Evolutive SFP'!AM29)/'Evolutive SFP'!AM27</f>
        <v>#DIV/0!</v>
      </c>
      <c r="AP23" s="24" t="e">
        <f>('Evolutive SFP'!AN28+'Evolutive SFP'!AN29)/'Evolutive SFP'!AN27</f>
        <v>#DIV/0!</v>
      </c>
      <c r="AQ23" s="24" t="e">
        <f>('Evolutive SFP'!AO28+'Evolutive SFP'!AO29)/'Evolutive SFP'!AO27</f>
        <v>#DIV/0!</v>
      </c>
      <c r="AR23" s="24" t="e">
        <f>('Evolutive SFP'!AP28+'Evolutive SFP'!AP29)/'Evolutive SFP'!AP27</f>
        <v>#DIV/0!</v>
      </c>
      <c r="AS23" s="24" t="e">
        <f>('Evolutive SFP'!AQ28+'Evolutive SFP'!AQ29)/'Evolutive SFP'!AQ27</f>
        <v>#DIV/0!</v>
      </c>
      <c r="AT23" s="24" t="e">
        <f>('Evolutive SFP'!AR28+'Evolutive SFP'!AR29)/'Evolutive SFP'!AR27</f>
        <v>#DIV/0!</v>
      </c>
    </row>
    <row r="24" spans="1:46" x14ac:dyDescent="0.3">
      <c r="A24" s="237" t="s">
        <v>200</v>
      </c>
      <c r="B24" s="54" t="s">
        <v>27</v>
      </c>
      <c r="C24" s="2"/>
      <c r="D24" s="24" t="e">
        <f>(Financials!C4-Financials!B4)/Financials!B4</f>
        <v>#VALUE!</v>
      </c>
      <c r="E24" s="24">
        <f>(Financials!D4-Financials!C4)/Financials!C4</f>
        <v>4.1190620945186449</v>
      </c>
      <c r="F24" s="24">
        <f>(Financials!E4-Financials!D4)/Financials!D4</f>
        <v>8.4063478868661723E-3</v>
      </c>
      <c r="G24" s="24">
        <f>(Financials!F4-Financials!E4)/Financials!E4</f>
        <v>2.1459439599821384E-2</v>
      </c>
      <c r="H24" s="24">
        <f>(Financials!G4-Financials!F4)/Financials!F4</f>
        <v>-4.1853386606345785E-2</v>
      </c>
      <c r="I24" s="24">
        <f>(Financials!H4-Financials!G4)/Financials!G4</f>
        <v>-3.192543161836299E-2</v>
      </c>
      <c r="J24" s="24">
        <f>(Financials!I4-Financials!H4)/Financials!H4</f>
        <v>-5.4890561224640387E-2</v>
      </c>
      <c r="K24" s="24">
        <f>(Financials!J4-Financials!I4)/Financials!I4</f>
        <v>-1.3597411090061056E-3</v>
      </c>
      <c r="L24" s="24">
        <f>(Financials!K4-Financials!J4)/Financials!J4</f>
        <v>-7.1583414143672379E-3</v>
      </c>
      <c r="M24" s="24">
        <f>(Financials!L4-Financials!K4)/Financials!K4</f>
        <v>1.0618004141089955E-3</v>
      </c>
      <c r="N24" s="24">
        <f>(Financials!M4-Financials!L4)/Financials!L4</f>
        <v>1.1648132099887831E-2</v>
      </c>
      <c r="O24" s="24">
        <f>(Financials!N4-Financials!M4)/Financials!M4</f>
        <v>0.17786744594539899</v>
      </c>
      <c r="P24" s="24">
        <f>(Financials!O4-Financials!N4)/Financials!N4</f>
        <v>-4.8731939038399057E-2</v>
      </c>
      <c r="Q24" s="24">
        <f>(Financials!P4-Financials!O4)/Financials!O4</f>
        <v>-2.0282427347869093E-2</v>
      </c>
      <c r="R24" s="24">
        <f>(Financials!Q4-Financials!P4)/Financials!P4</f>
        <v>-7.6133416174746927E-4</v>
      </c>
      <c r="S24" s="24">
        <f>(Financials!R4-Financials!Q4)/Financials!Q4</f>
        <v>1.3759794096371368E-2</v>
      </c>
      <c r="T24" s="24">
        <f>(Financials!S4-Financials!R4)/Financials!R4</f>
        <v>3.7796194261170242E-3</v>
      </c>
      <c r="U24" s="24">
        <f>(Financials!T4-Financials!S4)/Financials!S4</f>
        <v>-6.0214719440545529E-3</v>
      </c>
      <c r="V24" s="24">
        <f>(Financials!U4-Financials!T4)/Financials!T4</f>
        <v>4.433482916915589E-2</v>
      </c>
      <c r="W24" s="24">
        <f>(Financials!V4-Financials!U4)/Financials!U4</f>
        <v>6.4556858270764491E-3</v>
      </c>
      <c r="X24" s="24">
        <f>(Financials!W4-Financials!V4)/Financials!V4</f>
        <v>-5.3376725901568226E-3</v>
      </c>
      <c r="Y24" s="24">
        <f>(Financials!X4-Financials!W4)/Financials!W4</f>
        <v>0.2144775871976696</v>
      </c>
      <c r="Z24" s="24">
        <f>(Financials!Y4-Financials!X4)/Financials!X4</f>
        <v>-3.3162858293225676E-2</v>
      </c>
      <c r="AA24" s="24">
        <f>(Financials!Z4-Financials!Y4)/Financials!Y4</f>
        <v>-3.3354796510482197E-2</v>
      </c>
      <c r="AB24" s="24">
        <f>(Financials!AA4-Financials!Z4)/Financials!Z4</f>
        <v>-1.5465000923035644E-2</v>
      </c>
      <c r="AC24" s="24">
        <f>(Financials!AB4-Financials!AA4)/Financials!AA4</f>
        <v>-7.216941237598461E-3</v>
      </c>
      <c r="AD24" s="24">
        <f>(Financials!AC4-Financials!AB4)/Financials!AB4</f>
        <v>-7.1254774467015497E-3</v>
      </c>
      <c r="AE24" s="24">
        <f>(Financials!AD4-Financials!AC4)/Financials!AC4</f>
        <v>8.196714428652269E-3</v>
      </c>
      <c r="AF24" s="24">
        <f>(Financials!AE4-Financials!AD4)/Financials!AD4</f>
        <v>1.4967906292466858E-3</v>
      </c>
      <c r="AG24" s="24">
        <f>(Financials!AF4-Financials!AE4)/Financials!AE4</f>
        <v>6.0195671006986551E-3</v>
      </c>
      <c r="AH24" s="24">
        <f>(Financials!AG4-Financials!AF4)/Financials!AF4</f>
        <v>1.0811392958456274E-2</v>
      </c>
      <c r="AI24" s="24">
        <f>(Financials!AH4-Financials!AG4)/Financials!AG4</f>
        <v>-1.8640499642042289E-2</v>
      </c>
      <c r="AJ24" s="24">
        <f>(Financials!AI4-Financials!AH4)/Financials!AH4</f>
        <v>1.1050632051713694E-2</v>
      </c>
      <c r="AK24" s="24">
        <f>(Financials!AJ4-Financials!AI4)/Financials!AI4</f>
        <v>3.1001026587297031E-2</v>
      </c>
      <c r="AL24" s="24">
        <f>(Financials!AK4-Financials!AJ4)/Financials!AJ4</f>
        <v>-1</v>
      </c>
      <c r="AM24" s="24" t="e">
        <f>(Financials!AL4-Financials!AK4)/Financials!AK4</f>
        <v>#DIV/0!</v>
      </c>
      <c r="AN24" s="24" t="e">
        <f>(Financials!AM4-Financials!AL4)/Financials!AL4</f>
        <v>#DIV/0!</v>
      </c>
      <c r="AO24" s="24" t="e">
        <f>(Financials!AN4-Financials!AM4)/Financials!AM4</f>
        <v>#DIV/0!</v>
      </c>
      <c r="AP24" s="24" t="e">
        <f>(Financials!AO4-Financials!AN4)/Financials!AN4</f>
        <v>#DIV/0!</v>
      </c>
      <c r="AQ24" s="24" t="e">
        <f>(Financials!AP4-Financials!AO4)/Financials!AO4</f>
        <v>#DIV/0!</v>
      </c>
      <c r="AR24" s="24" t="e">
        <f>(Financials!AQ4-Financials!AP4)/Financials!AP4</f>
        <v>#DIV/0!</v>
      </c>
      <c r="AS24" s="24" t="e">
        <f>(Financials!AR4-Financials!AQ4)/Financials!AQ4</f>
        <v>#DIV/0!</v>
      </c>
      <c r="AT24" s="24" t="e">
        <f>(Financials!AS4-Financials!AR4)/Financials!AR4</f>
        <v>#DIV/0!</v>
      </c>
    </row>
    <row r="25" spans="1:46" x14ac:dyDescent="0.3">
      <c r="A25" s="237"/>
      <c r="B25" s="54" t="s">
        <v>131</v>
      </c>
      <c r="C25" s="2" t="e">
        <f>IF(CAELS!D16&lt;6%,"1",IF)</f>
        <v>#NAME?</v>
      </c>
      <c r="D25" s="24">
        <f>Financials!D5/Financials!C5-1</f>
        <v>2.2437726262997884</v>
      </c>
      <c r="E25" s="24">
        <f>Financials!E5/Financials!D5-1</f>
        <v>5.8755560889151015E-2</v>
      </c>
      <c r="F25" s="24">
        <f>Financials!F5/Financials!E5-1</f>
        <v>1.6725924433789618E-2</v>
      </c>
      <c r="G25" s="24">
        <f>Financials!G5/Financials!F5-1</f>
        <v>-0.11422456361828304</v>
      </c>
      <c r="H25" s="24">
        <f>Financials!H5/Financials!G5-1</f>
        <v>-0.13435111790962917</v>
      </c>
      <c r="I25" s="24">
        <f>Financials!I5/Financials!H5-1</f>
        <v>-8.3777970015789904E-2</v>
      </c>
      <c r="J25" s="24">
        <f>Financials!J5/Financials!I5-1</f>
        <v>-7.9938121395680684E-3</v>
      </c>
      <c r="K25" s="24">
        <f>Financials!K5/Financials!J5-1</f>
        <v>-2.1949658777910885E-2</v>
      </c>
      <c r="L25" s="24">
        <f>Financials!L5/Financials!K5-1</f>
        <v>1.618779189316788E-2</v>
      </c>
      <c r="M25" s="24">
        <f>Financials!M5/Financials!L5-1</f>
        <v>-1.0113735340636087E-2</v>
      </c>
      <c r="N25" s="24">
        <f>Financials!N5/Financials!M5-1</f>
        <v>0.33043843729722955</v>
      </c>
      <c r="O25" s="24">
        <f>Financials!O5/Financials!N5-1</f>
        <v>-9.0618763452494644E-2</v>
      </c>
      <c r="P25" s="24">
        <f>Financials!P5/Financials!O5-1</f>
        <v>-3.0928249478622827E-2</v>
      </c>
      <c r="Q25" s="24">
        <f>Financials!Q5/Financials!P5-1</f>
        <v>-1.0431463240698879E-2</v>
      </c>
      <c r="R25" s="24">
        <f>Financials!R5/Financials!Q5-1</f>
        <v>5.2700452321134961E-3</v>
      </c>
      <c r="S25" s="24">
        <f>Financials!S5/Financials!R5-1</f>
        <v>-5.5153619303671686E-4</v>
      </c>
      <c r="T25" s="24">
        <f>Financials!T5/Financials!S5-1</f>
        <v>-1.7542867527162387E-2</v>
      </c>
      <c r="U25" s="24">
        <f>Financials!U5/Financials!T5-1</f>
        <v>5.690969483439301E-2</v>
      </c>
      <c r="V25" s="24">
        <f>Financials!V5/Financials!U5-1</f>
        <v>-2.215410941175544E-2</v>
      </c>
      <c r="W25" s="24">
        <f>Financials!W5/Financials!V5-1</f>
        <v>-1.1502762436275682E-2</v>
      </c>
      <c r="X25" s="24">
        <f>Financials!X5/Financials!W5-1</f>
        <v>0.41388606856834276</v>
      </c>
      <c r="Y25" s="24">
        <f>Financials!Y5/Financials!X5-1</f>
        <v>-8.3727856734857498E-2</v>
      </c>
      <c r="Z25" s="24">
        <f>Financials!Z5/Financials!Y5-1</f>
        <v>-5.323966869539587E-2</v>
      </c>
      <c r="AA25" s="24">
        <f>Financials!AA5/Financials!Z5-1</f>
        <v>-3.8550818551891242E-2</v>
      </c>
      <c r="AB25" s="24">
        <f>Financials!AB5/Financials!AA5-1</f>
        <v>-2.1427021642768107E-3</v>
      </c>
      <c r="AC25" s="24">
        <f>Financials!AC5/Financials!AB5-1</f>
        <v>-3.2364447813040709E-2</v>
      </c>
      <c r="AD25" s="24">
        <f>Financials!AD5/Financials!AC5-1</f>
        <v>2.6639502094694123E-5</v>
      </c>
      <c r="AE25" s="24">
        <f>Financials!AE5/Financials!AD5-1</f>
        <v>2.9422089157792986E-2</v>
      </c>
      <c r="AF25" s="24">
        <f>Financials!AF5/Financials!AE5-1</f>
        <v>-1.9654480610820091E-4</v>
      </c>
      <c r="AG25" s="24">
        <f>Financials!AG5/Financials!AF5-1</f>
        <v>2.2830116234884956E-2</v>
      </c>
      <c r="AH25" s="24">
        <f>Financials!AH5/Financials!AG5-1</f>
        <v>-1.4865519843337838E-2</v>
      </c>
      <c r="AI25" s="24">
        <f>Financials!AI5/Financials!AH5-1</f>
        <v>-2.1883308219056374E-2</v>
      </c>
      <c r="AJ25" s="24">
        <f>Financials!AJ5/Financials!AI5-1</f>
        <v>1.8402549647108524E-2</v>
      </c>
      <c r="AK25" s="24">
        <f>Financials!AK5/Financials!AJ5-1</f>
        <v>-1</v>
      </c>
      <c r="AL25" s="24" t="e">
        <f>Financials!AL5/Financials!AK5-1</f>
        <v>#DIV/0!</v>
      </c>
      <c r="AM25" s="24" t="e">
        <f>Financials!AM5/Financials!AL5-1</f>
        <v>#DIV/0!</v>
      </c>
      <c r="AN25" s="24" t="e">
        <f>Financials!AN5/Financials!AM5-1</f>
        <v>#DIV/0!</v>
      </c>
      <c r="AO25" s="24" t="e">
        <f>Financials!AO5/Financials!AN5-1</f>
        <v>#DIV/0!</v>
      </c>
      <c r="AP25" s="24" t="e">
        <f>Financials!AP5/Financials!AO5-1</f>
        <v>#DIV/0!</v>
      </c>
      <c r="AQ25" s="24" t="e">
        <f>Financials!AQ5/Financials!AP5-1</f>
        <v>#DIV/0!</v>
      </c>
      <c r="AR25" s="24" t="e">
        <f>Financials!AR5/Financials!AQ5-1</f>
        <v>#DIV/0!</v>
      </c>
      <c r="AS25" s="24" t="e">
        <f>Financials!AS5/Financials!AR5-1</f>
        <v>#DIV/0!</v>
      </c>
      <c r="AT25" s="24" t="e">
        <f>Financials!AT5/Financials!AS5-1</f>
        <v>#DIV/0!</v>
      </c>
    </row>
    <row r="26" spans="1:46" x14ac:dyDescent="0.3">
      <c r="A26" s="237"/>
      <c r="B26" s="55" t="s">
        <v>201</v>
      </c>
      <c r="C26" s="2"/>
      <c r="D26" s="24">
        <f>Financials!D6/Financials!C6-1</f>
        <v>-1</v>
      </c>
      <c r="E26" s="24" t="e">
        <f>Financials!E6/Financials!D6-1</f>
        <v>#DIV/0!</v>
      </c>
      <c r="F26" s="24">
        <f>Financials!F6/Financials!E6-1</f>
        <v>5.3007443112677688E-2</v>
      </c>
      <c r="G26" s="24">
        <f>Financials!G6/Financials!F6-1</f>
        <v>-1.1521847438995203E-2</v>
      </c>
      <c r="H26" s="24">
        <f>Financials!H6/Financials!G6-1</f>
        <v>2.0078478705849889E-2</v>
      </c>
      <c r="I26" s="24">
        <f>Financials!I6/Financials!H6-1</f>
        <v>1.6677551090759968E-2</v>
      </c>
      <c r="J26" s="24">
        <f>Financials!J6/Financials!I6-1</f>
        <v>2.2031231751412417E-2</v>
      </c>
      <c r="K26" s="24">
        <f>Financials!K6/Financials!J6-1</f>
        <v>1.4496440343255479E-2</v>
      </c>
      <c r="L26" s="24">
        <f>Financials!L6/Financials!K6-1</f>
        <v>4.8207072404315987E-4</v>
      </c>
      <c r="M26" s="24">
        <f>Financials!M6/Financials!L6-1</f>
        <v>-2.2672334950644024E-2</v>
      </c>
      <c r="N26" s="24">
        <f>Financials!N6/Financials!M6-1</f>
        <v>1.4417551050331046E-2</v>
      </c>
      <c r="O26" s="24">
        <f>Financials!O6/Financials!N6-1</f>
        <v>3.1329879917240122E-2</v>
      </c>
      <c r="P26" s="24">
        <f>Financials!P6/Financials!O6-1</f>
        <v>2.2406319224500315E-2</v>
      </c>
      <c r="Q26" s="24">
        <f>Financials!Q6/Financials!P6-1</f>
        <v>0</v>
      </c>
      <c r="R26" s="24">
        <f>Financials!R6/Financials!Q6-1</f>
        <v>1.6974946162151339E-2</v>
      </c>
      <c r="S26" s="24">
        <f>Financials!S6/Financials!R6-1</f>
        <v>8.2783450404557701E-3</v>
      </c>
      <c r="T26" s="24">
        <f>Financials!T6/Financials!S6-1</f>
        <v>1.0685301508979395E-2</v>
      </c>
      <c r="U26" s="24">
        <f>Financials!U6/Financials!T6-1</f>
        <v>1.9042848803044521E-2</v>
      </c>
      <c r="V26" s="24">
        <f>Financials!V6/Financials!U6-1</f>
        <v>1.5305309372664055E-2</v>
      </c>
      <c r="W26" s="24">
        <f>Financials!W6/Financials!V6-1</f>
        <v>1.0359027021911604E-2</v>
      </c>
      <c r="X26" s="24">
        <f>Financials!X6/Financials!W6-1</f>
        <v>1.6645023030761763E-2</v>
      </c>
      <c r="Y26" s="24">
        <f>Financials!Y6/Financials!X6-1</f>
        <v>1.0788847114044708E-2</v>
      </c>
      <c r="Z26" s="24">
        <f>Financials!Z6/Financials!Y6-1</f>
        <v>1.2331602720771384E-2</v>
      </c>
      <c r="AA26" s="24">
        <f>Financials!AA6/Financials!Z6-1</f>
        <v>7.8747891902610778E-3</v>
      </c>
      <c r="AB26" s="24">
        <f>Financials!AB6/Financials!AA6-1</f>
        <v>8.8083657432675988E-3</v>
      </c>
      <c r="AC26" s="24">
        <f>Financials!AC6/Financials!AB6-1</f>
        <v>1.0974448648206403E-2</v>
      </c>
      <c r="AD26" s="24">
        <f>Financials!AD6/Financials!AC6-1</f>
        <v>0</v>
      </c>
      <c r="AE26" s="24">
        <f>Financials!AE6/Financials!AD6-1</f>
        <v>1.937632295669478E-2</v>
      </c>
      <c r="AF26" s="24">
        <f>Financials!AF6/Financials!AE6-1</f>
        <v>1.328085962622727E-2</v>
      </c>
      <c r="AG26" s="24">
        <f>Financials!AG6/Financials!AF6-1</f>
        <v>1.3366622932768246E-2</v>
      </c>
      <c r="AH26" s="24">
        <f>Financials!AH6/Financials!AG6-1</f>
        <v>9.7148905585699996E-3</v>
      </c>
      <c r="AI26" s="24">
        <f>Financials!AI6/Financials!AH6-1</f>
        <v>0</v>
      </c>
      <c r="AJ26" s="24">
        <f>Financials!AJ6/Financials!AI6-1</f>
        <v>1.992099187660834E-2</v>
      </c>
      <c r="AK26" s="24">
        <f>Financials!AK6/Financials!AJ6-1</f>
        <v>-1</v>
      </c>
      <c r="AL26" s="24" t="e">
        <f>Financials!AL6/Financials!AK6-1</f>
        <v>#DIV/0!</v>
      </c>
      <c r="AM26" s="24" t="e">
        <f>Financials!AM6/Financials!AL6-1</f>
        <v>#DIV/0!</v>
      </c>
      <c r="AN26" s="24" t="e">
        <f>Financials!AN6/Financials!AM6-1</f>
        <v>#DIV/0!</v>
      </c>
      <c r="AO26" s="24" t="e">
        <f>Financials!AO6/Financials!AN6-1</f>
        <v>#DIV/0!</v>
      </c>
      <c r="AP26" s="24" t="e">
        <f>Financials!AP6/Financials!AO6-1</f>
        <v>#DIV/0!</v>
      </c>
      <c r="AQ26" s="24" t="e">
        <f>Financials!AQ6/Financials!AP6-1</f>
        <v>#DIV/0!</v>
      </c>
      <c r="AR26" s="24" t="e">
        <f>Financials!AR6/Financials!AQ6-1</f>
        <v>#DIV/0!</v>
      </c>
      <c r="AS26" s="24" t="e">
        <f>Financials!AS6/Financials!AR6-1</f>
        <v>#DIV/0!</v>
      </c>
      <c r="AT26" s="24" t="e">
        <f>Financials!AT6/Financials!AS6-1</f>
        <v>#DIV/0!</v>
      </c>
    </row>
    <row r="27" spans="1:46" x14ac:dyDescent="0.3">
      <c r="A27" s="237"/>
      <c r="B27" s="55" t="s">
        <v>202</v>
      </c>
      <c r="C27" s="2"/>
      <c r="D27" s="24">
        <f>Financials!D7/Financials!C7-1</f>
        <v>24.33894798158693</v>
      </c>
      <c r="E27" s="24">
        <f>Financials!E7/Financials!D7-1</f>
        <v>-0.42588819916167553</v>
      </c>
      <c r="F27" s="24">
        <f>Financials!F7/Financials!E7-1</f>
        <v>-1.3901579838400679E-2</v>
      </c>
      <c r="G27" s="24">
        <f>Financials!G7/Financials!F7-1</f>
        <v>-0.20680500757803633</v>
      </c>
      <c r="H27" s="24">
        <f>Financials!H7/Financials!G7-1</f>
        <v>-0.3078333405782081</v>
      </c>
      <c r="I27" s="24">
        <f>Financials!I7/Financials!H7-1</f>
        <v>-0.25008904106805196</v>
      </c>
      <c r="J27" s="24">
        <f>Financials!J7/Financials!I7-1</f>
        <v>-7.5385220801222896E-2</v>
      </c>
      <c r="K27" s="24">
        <f>Financials!K7/Financials!J7-1</f>
        <v>-0.11237190093611216</v>
      </c>
      <c r="L27" s="24">
        <f>Financials!L7/Financials!K7-1</f>
        <v>6.0722805401353774E-2</v>
      </c>
      <c r="M27" s="24">
        <f>Financials!M7/Financials!L7-1</f>
        <v>2.347489726065799E-2</v>
      </c>
      <c r="N27" s="24">
        <f>Financials!N7/Financials!M7-1</f>
        <v>1.1375431688708457</v>
      </c>
      <c r="O27" s="24">
        <f>Financials!O7/Financials!N7-1</f>
        <v>-0.23842506165552213</v>
      </c>
      <c r="P27" s="24">
        <f>Financials!P7/Financials!O7-1</f>
        <v>-0.11846888815768175</v>
      </c>
      <c r="Q27" s="24">
        <f>Financials!Q7/Financials!P7-1</f>
        <v>-3.0289304559289909E-2</v>
      </c>
      <c r="R27" s="24">
        <f>Financials!R7/Financials!Q7-1</f>
        <v>-1.770796193096047E-2</v>
      </c>
      <c r="S27" s="24">
        <f>Financials!S7/Financials!R7-1</f>
        <v>-1.8497595987803983E-2</v>
      </c>
      <c r="T27" s="24">
        <f>Financials!T7/Financials!S7-1</f>
        <v>-7.6479596689280727E-2</v>
      </c>
      <c r="U27" s="24">
        <f>Financials!U7/Financials!T7-1</f>
        <v>0.14343276258891824</v>
      </c>
      <c r="V27" s="24">
        <f>Financials!V7/Financials!U7-1</f>
        <v>-9.843497701997006E-2</v>
      </c>
      <c r="W27" s="24">
        <f>Financials!W7/Financials!V7-1</f>
        <v>-6.1637633179719264E-2</v>
      </c>
      <c r="X27" s="24">
        <f>Financials!X7/Financials!W7-1</f>
        <v>1.3947605870085571</v>
      </c>
      <c r="Y27" s="24">
        <f>Financials!Y7/Financials!X7-1</f>
        <v>-0.18280537983843748</v>
      </c>
      <c r="Z27" s="24">
        <f>Financials!Z7/Financials!Y7-1</f>
        <v>-0.13825849794445788</v>
      </c>
      <c r="AA27" s="24">
        <f>Financials!AA7/Financials!Z7-1</f>
        <v>-0.10926473623306354</v>
      </c>
      <c r="AB27" s="24">
        <f>Financials!AB7/Financials!AA7-1</f>
        <v>-2.1016604733708144E-2</v>
      </c>
      <c r="AC27" s="24">
        <f>Financials!AC7/Financials!AB7-1</f>
        <v>-0.10933355249575849</v>
      </c>
      <c r="AD27" s="24">
        <f>Financials!AD7/Financials!AC7-1</f>
        <v>8.0341417570517493E-5</v>
      </c>
      <c r="AE27" s="24">
        <f>Financials!AE7/Financials!AD7-1</f>
        <v>4.9671474699886531E-2</v>
      </c>
      <c r="AF27" s="24">
        <f>Financials!AF7/Financials!AE7-1</f>
        <v>-2.6579059615959633E-2</v>
      </c>
      <c r="AG27" s="24">
        <f>Financials!AG7/Financials!AF7-1</f>
        <v>4.2113824972200842E-2</v>
      </c>
      <c r="AH27" s="24">
        <f>Financials!AH7/Financials!AG7-1</f>
        <v>-6.3571204474889731E-2</v>
      </c>
      <c r="AI27" s="24">
        <f>Financials!AI7/Financials!AH7-1</f>
        <v>-6.8638247893547555E-2</v>
      </c>
      <c r="AJ27" s="24">
        <f>Financials!AJ7/Financials!AI7-1</f>
        <v>1.4919221427252882E-2</v>
      </c>
      <c r="AK27" s="24">
        <f>Financials!AK7/Financials!AJ7-1</f>
        <v>-1</v>
      </c>
      <c r="AL27" s="24" t="e">
        <f>Financials!AL7/Financials!AK7-1</f>
        <v>#DIV/0!</v>
      </c>
      <c r="AM27" s="24" t="e">
        <f>Financials!AM7/Financials!AL7-1</f>
        <v>#DIV/0!</v>
      </c>
      <c r="AN27" s="24" t="e">
        <f>Financials!AN7/Financials!AM7-1</f>
        <v>#DIV/0!</v>
      </c>
      <c r="AO27" s="24" t="e">
        <f>Financials!AO7/Financials!AN7-1</f>
        <v>#DIV/0!</v>
      </c>
      <c r="AP27" s="24" t="e">
        <f>Financials!AP7/Financials!AO7-1</f>
        <v>#DIV/0!</v>
      </c>
      <c r="AQ27" s="24" t="e">
        <f>Financials!AQ7/Financials!AP7-1</f>
        <v>#DIV/0!</v>
      </c>
      <c r="AR27" s="24" t="e">
        <f>Financials!AR7/Financials!AQ7-1</f>
        <v>#DIV/0!</v>
      </c>
      <c r="AS27" s="24" t="e">
        <f>Financials!AS7/Financials!AR7-1</f>
        <v>#DIV/0!</v>
      </c>
      <c r="AT27" s="24" t="e">
        <f>Financials!AT7/Financials!AS7-1</f>
        <v>#DIV/0!</v>
      </c>
    </row>
    <row r="28" spans="1:46" x14ac:dyDescent="0.3">
      <c r="A28" s="237"/>
      <c r="B28" s="54" t="s">
        <v>203</v>
      </c>
      <c r="C28" s="2"/>
      <c r="D28" s="24">
        <f>Financials!D31/Financials!C31-1</f>
        <v>4.8862830720402357</v>
      </c>
      <c r="E28" s="24">
        <f>Financials!E31/Financials!D31-1</f>
        <v>5.8960523163164469E-2</v>
      </c>
      <c r="F28" s="24">
        <f>Financials!F31/Financials!E31-1</f>
        <v>-3.1757286482433367E-3</v>
      </c>
      <c r="G28" s="24">
        <f>Financials!G31/Financials!F31-1</f>
        <v>-2.7749342482762396E-2</v>
      </c>
      <c r="H28" s="24">
        <f>Financials!H31/Financials!G31-1</f>
        <v>1.9006772092230451E-2</v>
      </c>
      <c r="I28" s="24">
        <f>Financials!I31/Financials!H31-1</f>
        <v>-2.9769058696483719E-2</v>
      </c>
      <c r="J28" s="24">
        <f>Financials!J31/Financials!I31-1</f>
        <v>7.2644511642904863E-2</v>
      </c>
      <c r="K28" s="24">
        <f>Financials!K31/Financials!J31-1</f>
        <v>2.8385847429879485E-2</v>
      </c>
      <c r="L28" s="24">
        <f>Financials!L31/Financials!K31-1</f>
        <v>2.5630656249812089E-2</v>
      </c>
      <c r="M28" s="24">
        <f>Financials!M31/Financials!L31-1</f>
        <v>6.274001539149876E-2</v>
      </c>
      <c r="N28" s="24">
        <f>Financials!N31/Financials!M31-1</f>
        <v>-0.12795569618719282</v>
      </c>
      <c r="O28" s="24">
        <f>Financials!O31/Financials!N31-1</f>
        <v>8.1918552357870267E-2</v>
      </c>
      <c r="P28" s="24">
        <f>Financials!P31/Financials!O31-1</f>
        <v>3.6095639060883089E-2</v>
      </c>
      <c r="Q28" s="24">
        <f>Financials!Q31/Financials!P31-1</f>
        <v>2.5498771940579701E-6</v>
      </c>
      <c r="R28" s="24">
        <f>Financials!R31/Financials!Q31-1</f>
        <v>2.6346682127622367E-2</v>
      </c>
      <c r="S28" s="24">
        <f>Financials!S31/Financials!R31-1</f>
        <v>1.4203844561661905E-2</v>
      </c>
      <c r="T28" s="24">
        <f>Financials!T31/Financials!S31-1</f>
        <v>1.7183676261285807E-2</v>
      </c>
      <c r="U28" s="24">
        <f>Financials!U31/Financials!T31-1</f>
        <v>1.3893430004709328E-2</v>
      </c>
      <c r="V28" s="24">
        <f>Financials!V31/Financials!U31-1</f>
        <v>3.4460024477808826E-2</v>
      </c>
      <c r="W28" s="24">
        <f>Financials!W31/Financials!V31-1</f>
        <v>1.8638112841634857E-2</v>
      </c>
      <c r="X28" s="24">
        <f>Financials!X31/Financials!W31-1</f>
        <v>-0.15002507361850259</v>
      </c>
      <c r="Y28" s="24">
        <f>Financials!Y31/Financials!X31-1</f>
        <v>4.7077746332171211E-2</v>
      </c>
      <c r="Z28" s="24">
        <f>Financials!Z31/Financials!Y31-1</f>
        <v>4.1226565278434046E-2</v>
      </c>
      <c r="AA28" s="24">
        <f>Financials!AA31/Financials!Z31-1</f>
        <v>3.8200910151015011E-2</v>
      </c>
      <c r="AB28" s="24">
        <f>Financials!AB31/Financials!AA31-1</f>
        <v>3.005664780516426E-2</v>
      </c>
      <c r="AC28" s="24">
        <f>Financials!AC31/Financials!AB31-1</f>
        <v>2.5081401364389189E-2</v>
      </c>
      <c r="AD28" s="24">
        <f>Financials!AD31/Financials!AC31-1</f>
        <v>0</v>
      </c>
      <c r="AE28" s="24">
        <f>Financials!AE31/Financials!AD31-1</f>
        <v>-3.8062795791927728E-3</v>
      </c>
      <c r="AF28" s="24">
        <f>Financials!AF31/Financials!AE31-1</f>
        <v>6.8537249186179761E-2</v>
      </c>
      <c r="AG28" s="24">
        <f>Financials!AG31/Financials!AF31-1</f>
        <v>3.7255111704441068E-2</v>
      </c>
      <c r="AH28" s="24">
        <f>Financials!AH31/Financials!AG31-1</f>
        <v>2.1207819358140645E-2</v>
      </c>
      <c r="AI28" s="24">
        <f>Financials!AI31/Financials!AH31-1</f>
        <v>2.6829520336876245E-2</v>
      </c>
      <c r="AJ28" s="24">
        <f>Financials!AJ31/Financials!AI31-1</f>
        <v>6.6837130119812294E-3</v>
      </c>
      <c r="AK28" s="24">
        <f>Financials!AK31/Financials!AJ31-1</f>
        <v>-1</v>
      </c>
      <c r="AL28" s="24" t="e">
        <f>Financials!AL31/Financials!AK31-1</f>
        <v>#DIV/0!</v>
      </c>
      <c r="AM28" s="24" t="e">
        <f>Financials!AM31/Financials!AL31-1</f>
        <v>#DIV/0!</v>
      </c>
      <c r="AN28" s="24" t="e">
        <f>Financials!AN31/Financials!AM31-1</f>
        <v>#DIV/0!</v>
      </c>
      <c r="AO28" s="24" t="e">
        <f>Financials!AO31/Financials!AN31-1</f>
        <v>#DIV/0!</v>
      </c>
      <c r="AP28" s="24" t="e">
        <f>Financials!AP31/Financials!AO31-1</f>
        <v>#DIV/0!</v>
      </c>
      <c r="AQ28" s="24" t="e">
        <f>Financials!AQ31/Financials!AP31-1</f>
        <v>#DIV/0!</v>
      </c>
      <c r="AR28" s="24" t="e">
        <f>Financials!AR31/Financials!AQ31-1</f>
        <v>#DIV/0!</v>
      </c>
      <c r="AS28" s="24" t="e">
        <f>Financials!AS31/Financials!AR31-1</f>
        <v>#DIV/0!</v>
      </c>
      <c r="AT28" s="24" t="e">
        <f>Financials!AT31/Financials!AS31-1</f>
        <v>#DIV/0!</v>
      </c>
    </row>
    <row r="29" spans="1:46" x14ac:dyDescent="0.3">
      <c r="A29" s="237"/>
      <c r="B29" s="54" t="s">
        <v>204</v>
      </c>
      <c r="C29" s="2"/>
      <c r="D29" s="24">
        <f>Financials!D11/Financials!C11-1</f>
        <v>21.311713658451126</v>
      </c>
      <c r="E29" s="24">
        <f>Financials!E11/Financials!D11-1</f>
        <v>-6.4661043771984117E-2</v>
      </c>
      <c r="F29" s="24">
        <f>Financials!F11/Financials!E11-1</f>
        <v>-1.7240473414278368E-3</v>
      </c>
      <c r="G29" s="24">
        <f>Financials!G11/Financials!F11-1</f>
        <v>1.3736287560132565E-2</v>
      </c>
      <c r="H29" s="24">
        <f>Financials!H11/Financials!G11-1</f>
        <v>3.9129785387677973E-2</v>
      </c>
      <c r="I29" s="24">
        <f>Financials!I11/Financials!H11-1</f>
        <v>-0.17795234205500732</v>
      </c>
      <c r="J29" s="24">
        <f>Financials!J11/Financials!I11-1</f>
        <v>0.33438181745643325</v>
      </c>
      <c r="K29" s="24">
        <f>Financials!K11/Financials!J11-1</f>
        <v>-6.1243311682178669E-3</v>
      </c>
      <c r="L29" s="24">
        <f>Financials!L11/Financials!K11-1</f>
        <v>2.2566392600342766E-3</v>
      </c>
      <c r="M29" s="24">
        <f>Financials!M11/Financials!L11-1</f>
        <v>3.18737130959732E-2</v>
      </c>
      <c r="N29" s="24">
        <f>Financials!N11/Financials!M11-1</f>
        <v>1.3385060400075144E-2</v>
      </c>
      <c r="O29" s="24">
        <f>Financials!O11/Financials!N11-1</f>
        <v>1.6557899332567017E-2</v>
      </c>
      <c r="P29" s="24">
        <f>Financials!P11/Financials!O11-1</f>
        <v>-3.9893002289642099E-2</v>
      </c>
      <c r="Q29" s="24">
        <f>Financials!Q11/Financials!P11-1</f>
        <v>-1.3236441773650798E-3</v>
      </c>
      <c r="R29" s="24">
        <f>Financials!R11/Financials!Q11-1</f>
        <v>2.2923520513872031E-2</v>
      </c>
      <c r="S29" s="24">
        <f>Financials!S11/Financials!R11-1</f>
        <v>1.050188225371107E-2</v>
      </c>
      <c r="T29" s="24">
        <f>Financials!T11/Financials!S11-1</f>
        <v>1.5996396480745467E-2</v>
      </c>
      <c r="U29" s="24">
        <f>Financials!U11/Financials!T11-1</f>
        <v>2.2824596862990543E-2</v>
      </c>
      <c r="V29" s="24">
        <f>Financials!V11/Financials!U11-1</f>
        <v>2.5322814932772442E-2</v>
      </c>
      <c r="W29" s="24">
        <f>Financials!W11/Financials!V11-1</f>
        <v>2.1383918638964827E-2</v>
      </c>
      <c r="X29" s="24">
        <f>Financials!X11/Financials!W11-1</f>
        <v>4.9016497205534693E-2</v>
      </c>
      <c r="Y29" s="24">
        <f>Financials!Y11/Financials!X11-1</f>
        <v>-8.8333969463294526E-3</v>
      </c>
      <c r="Z29" s="24">
        <f>Financials!Z11/Financials!Y11-1</f>
        <v>9.8897671869806469E-3</v>
      </c>
      <c r="AA29" s="24">
        <f>Financials!AA11/Financials!Z11-1</f>
        <v>4.3653124893454631E-3</v>
      </c>
      <c r="AB29" s="24">
        <f>Financials!AB11/Financials!AA11-1</f>
        <v>-1.3120859583345745E-2</v>
      </c>
      <c r="AC29" s="24">
        <f>Financials!AC11/Financials!AB11-1</f>
        <v>1.2867793268773964E-2</v>
      </c>
      <c r="AD29" s="24">
        <f>Financials!AD11/Financials!AC11-1</f>
        <v>-3.0443863539981297E-2</v>
      </c>
      <c r="AE29" s="24">
        <f>Financials!AE11/Financials!AD11-1</f>
        <v>2.9386953405902361E-2</v>
      </c>
      <c r="AF29" s="24">
        <f>Financials!AF11/Financials!AE11-1</f>
        <v>1.6179275713872121E-2</v>
      </c>
      <c r="AG29" s="24">
        <f>Financials!AG11/Financials!AF11-1</f>
        <v>-5.8769494805155365E-4</v>
      </c>
      <c r="AH29" s="24">
        <f>Financials!AH11/Financials!AG11-1</f>
        <v>-2.2286055864114807E-2</v>
      </c>
      <c r="AI29" s="24">
        <f>Financials!AI11/Financials!AH11-1</f>
        <v>2.2836992114227961E-2</v>
      </c>
      <c r="AJ29" s="24">
        <f>Financials!AJ11/Financials!AI11-1</f>
        <v>3.2110367482125257E-2</v>
      </c>
      <c r="AK29" s="24">
        <f>Financials!AK11/Financials!AJ11-1</f>
        <v>-1</v>
      </c>
      <c r="AL29" s="24" t="e">
        <f>Financials!AL11/Financials!AK11-1</f>
        <v>#DIV/0!</v>
      </c>
      <c r="AM29" s="24" t="e">
        <f>Financials!AM11/Financials!AL11-1</f>
        <v>#DIV/0!</v>
      </c>
      <c r="AN29" s="24" t="e">
        <f>Financials!AN11/Financials!AM11-1</f>
        <v>#DIV/0!</v>
      </c>
      <c r="AO29" s="24" t="e">
        <f>Financials!AO11/Financials!AN11-1</f>
        <v>#DIV/0!</v>
      </c>
      <c r="AP29" s="24" t="e">
        <f>Financials!AP11/Financials!AO11-1</f>
        <v>#DIV/0!</v>
      </c>
      <c r="AQ29" s="24" t="e">
        <f>Financials!AQ11/Financials!AP11-1</f>
        <v>#DIV/0!</v>
      </c>
      <c r="AR29" s="24" t="e">
        <f>Financials!AR11/Financials!AQ11-1</f>
        <v>#DIV/0!</v>
      </c>
      <c r="AS29" s="24" t="e">
        <f>Financials!AS11/Financials!AR11-1</f>
        <v>#DIV/0!</v>
      </c>
      <c r="AT29" s="24" t="e">
        <f>Financials!AT11/Financials!AS11-1</f>
        <v>#DIV/0!</v>
      </c>
    </row>
    <row r="30" spans="1:46" x14ac:dyDescent="0.3">
      <c r="A30" s="237"/>
      <c r="B30" s="54" t="s">
        <v>205</v>
      </c>
      <c r="C30" s="2"/>
      <c r="D30" s="24">
        <f>Financials!D37/Financials!C37-1</f>
        <v>6162.9355118075491</v>
      </c>
      <c r="E30" s="24">
        <f>Financials!E37/Financials!D37-1</f>
        <v>-0.66011338003937203</v>
      </c>
      <c r="F30" s="24">
        <f>Financials!F37/Financials!E37-1</f>
        <v>-0.3835590313946291</v>
      </c>
      <c r="G30" s="24">
        <f>Financials!G37/Financials!F37-1</f>
        <v>1.5911353816999707E-4</v>
      </c>
      <c r="H30" s="24">
        <f>Financials!H37/Financials!G37-1</f>
        <v>1.0563112393550753</v>
      </c>
      <c r="I30" s="24">
        <f>Financials!I37/Financials!H37-1</f>
        <v>0.28509829161032818</v>
      </c>
      <c r="J30" s="24">
        <f>Financials!J37/Financials!I37-1</f>
        <v>0.14079423766381804</v>
      </c>
      <c r="K30" s="24">
        <f>Financials!K37/Financials!J37-1</f>
        <v>0.16826176916363611</v>
      </c>
      <c r="L30" s="24">
        <f>Financials!L37/Financials!K37-1</f>
        <v>0.13746792290257925</v>
      </c>
      <c r="M30" s="24">
        <f>Financials!M37/Financials!L37-1</f>
        <v>0.11027285282169341</v>
      </c>
      <c r="N30" s="24">
        <f>Financials!N37/Financials!M37-1</f>
        <v>0.1613246338515828</v>
      </c>
      <c r="O30" s="24">
        <f>Financials!O37/Financials!N37-1</f>
        <v>0.11564630718188362</v>
      </c>
      <c r="P30" s="24">
        <f>Financials!P37/Financials!O37-1</f>
        <v>9.6974349192108233E-2</v>
      </c>
      <c r="Q30" s="24">
        <f>Financials!Q37/Financials!P37-1</f>
        <v>7.0656811857386703E-2</v>
      </c>
      <c r="R30" s="24">
        <f>Financials!R37/Financials!Q37-1</f>
        <v>-0.91811962995725283</v>
      </c>
      <c r="S30" s="24">
        <f>Financials!S37/Financials!R37-1</f>
        <v>0.98549141723840106</v>
      </c>
      <c r="T30" s="24">
        <f>Financials!T37/Financials!S37-1</f>
        <v>0.56028132673822384</v>
      </c>
      <c r="U30" s="24">
        <f>Financials!U37/Financials!T37-1</f>
        <v>0.44579599370515988</v>
      </c>
      <c r="V30" s="24">
        <f>Financials!V37/Financials!U37-1</f>
        <v>0.30352493469278952</v>
      </c>
      <c r="W30" s="24">
        <f>Financials!W37/Financials!V37-1</f>
        <v>0.14015098198935005</v>
      </c>
      <c r="X30" s="24">
        <f>Financials!X37/Financials!W37-1</f>
        <v>0.34654550277238316</v>
      </c>
      <c r="Y30" s="24">
        <f>Financials!Y37/Financials!X37-1</f>
        <v>5.5999691521043449E-2</v>
      </c>
      <c r="Z30" s="24">
        <f>Financials!Z37/Financials!Y37-1</f>
        <v>0.10675571887981561</v>
      </c>
      <c r="AA30" s="24">
        <f>Financials!AA37/Financials!Z37-1</f>
        <v>9.9765381656805374E-2</v>
      </c>
      <c r="AB30" s="24">
        <f>Financials!AB37/Financials!AA37-1</f>
        <v>9.6513031277156491E-2</v>
      </c>
      <c r="AC30" s="24">
        <f>Financials!AC37/Financials!AB37-1</f>
        <v>0.14654182632013701</v>
      </c>
      <c r="AD30" s="24">
        <f>Financials!AD37/Financials!AC37-1</f>
        <v>7.8815805035363562E-2</v>
      </c>
      <c r="AE30" s="24">
        <f>Financials!AE37/Financials!AD37-1</f>
        <v>-0.89716745456943536</v>
      </c>
      <c r="AF30" s="24">
        <f>Financials!AF37/Financials!AE37-1</f>
        <v>0.75755644695782332</v>
      </c>
      <c r="AG30" s="24">
        <f>Financials!AG37/Financials!AF37-1</f>
        <v>0.61247084262919094</v>
      </c>
      <c r="AH30" s="24">
        <f>Financials!AH37/Financials!AG37-1</f>
        <v>0.25701573459578997</v>
      </c>
      <c r="AI30" s="24">
        <f>Financials!AI37/Financials!AH37-1</f>
        <v>0.22145333909803244</v>
      </c>
      <c r="AJ30" s="24">
        <f>Financials!AJ37/Financials!AI37-1</f>
        <v>0.21989492478358508</v>
      </c>
      <c r="AK30" s="24">
        <f>Financials!AK37/Financials!AJ37-1</f>
        <v>-1</v>
      </c>
      <c r="AL30" s="24" t="e">
        <f>Financials!AL37/Financials!AK37-1</f>
        <v>#DIV/0!</v>
      </c>
      <c r="AM30" s="24" t="e">
        <f>Financials!AM37/Financials!AL37-1</f>
        <v>#DIV/0!</v>
      </c>
      <c r="AN30" s="24" t="e">
        <f>Financials!AN37/Financials!AM37-1</f>
        <v>#DIV/0!</v>
      </c>
      <c r="AO30" s="24" t="e">
        <f>Financials!AO37/Financials!AN37-1</f>
        <v>#DIV/0!</v>
      </c>
      <c r="AP30" s="24" t="e">
        <f>Financials!AP37/Financials!AO37-1</f>
        <v>#DIV/0!</v>
      </c>
      <c r="AQ30" s="24" t="e">
        <f>Financials!AQ37/Financials!AP37-1</f>
        <v>#DIV/0!</v>
      </c>
      <c r="AR30" s="24" t="e">
        <f>Financials!AR37/Financials!AQ37-1</f>
        <v>#DIV/0!</v>
      </c>
      <c r="AS30" s="24" t="e">
        <f>Financials!AS37/Financials!AR37-1</f>
        <v>#DIV/0!</v>
      </c>
      <c r="AT30" s="24" t="e">
        <f>Financials!AT37/Financials!AS37-1</f>
        <v>#DIV/0!</v>
      </c>
    </row>
    <row r="31" spans="1:46" x14ac:dyDescent="0.3">
      <c r="A31" s="237"/>
      <c r="B31" s="54" t="s">
        <v>206</v>
      </c>
      <c r="C31" s="2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</row>
    <row r="32" spans="1:46" x14ac:dyDescent="0.3">
      <c r="A32" s="237"/>
      <c r="B32" s="54" t="s">
        <v>207</v>
      </c>
      <c r="C32" s="2"/>
      <c r="D32" s="24">
        <f>'Evolutitve SCI'!E39/'Evolutitve SCI'!B39-1</f>
        <v>1127.7175482215678</v>
      </c>
      <c r="E32" s="24">
        <f>'Evolutitve SCI'!F39/'Evolutitve SCI'!C39-1</f>
        <v>-0.82273814880643403</v>
      </c>
      <c r="F32" s="24">
        <f>'Evolutitve SCI'!G39/'Evolutitve SCI'!D39-1</f>
        <v>0.22500740917164275</v>
      </c>
      <c r="G32" s="24">
        <f>'Evolutitve SCI'!H39/'Evolutitve SCI'!E39-1</f>
        <v>0.34765475152304859</v>
      </c>
      <c r="H32" s="24">
        <f>'Evolutitve SCI'!I39/'Evolutitve SCI'!F39-1</f>
        <v>1.4239740414939961</v>
      </c>
      <c r="I32" s="24">
        <f>'Evolutitve SCI'!I39/'Evolutitve SCI'!G39-1</f>
        <v>0.27840296346821614</v>
      </c>
      <c r="J32" s="24">
        <f>'Evolutitve SCI'!I39/'Evolutitve SCI'!H39-1</f>
        <v>0.12247451148178823</v>
      </c>
      <c r="K32" s="24">
        <f>'Evolutitve SCI'!J39/'Evolutitve SCI'!I39-1</f>
        <v>0.12039146972265913</v>
      </c>
      <c r="L32" s="24">
        <f>'Evolutitve SCI'!K39/'Evolutitve SCI'!J39-1</f>
        <v>0.10915910047026167</v>
      </c>
      <c r="M32" s="24">
        <f>'Evolutitve SCI'!L39/'Evolutitve SCI'!K39-1</f>
        <v>7.772350676563855E-2</v>
      </c>
      <c r="N32" s="24">
        <f>'Evolutitve SCI'!M39/'Evolutitve SCI'!L39-1</f>
        <v>0.41188315014627608</v>
      </c>
      <c r="O32" s="24">
        <f>'Evolutitve SCI'!N39/'Evolutitve SCI'!M39-1</f>
        <v>6.5405744437275537E-2</v>
      </c>
      <c r="P32" s="24">
        <f>'Evolutitve SCI'!O39/'Evolutitve SCI'!N39-1</f>
        <v>0.37418356416761434</v>
      </c>
      <c r="Q32" s="24">
        <f>'Evolutitve SCI'!P39/'Evolutitve SCI'!O39-1</f>
        <v>3.6685693529924679E-2</v>
      </c>
      <c r="R32" s="24">
        <f>'Evolutitve SCI'!Q39/'Evolutitve SCI'!P39-1</f>
        <v>-0.93477541910210826</v>
      </c>
      <c r="S32" s="24">
        <f>'Evolutitve SCI'!R39/'Evolutitve SCI'!Q39-1</f>
        <v>0.8599267335863896</v>
      </c>
      <c r="T32" s="24">
        <f>'Evolutitve SCI'!S39/'Evolutitve SCI'!R39-1</f>
        <v>0.72892755489519145</v>
      </c>
      <c r="U32" s="24">
        <f>'Evolutitve SCI'!T39/'Evolutitve SCI'!S39-1</f>
        <v>0.32901155514123426</v>
      </c>
      <c r="V32" s="24">
        <f>'Evolutitve SCI'!U39/'Evolutitve SCI'!T39-1</f>
        <v>0.23060070523789755</v>
      </c>
      <c r="W32" s="24">
        <f>'Evolutitve SCI'!V39/'Evolutitve SCI'!U39-1</f>
        <v>0.16476321679437222</v>
      </c>
      <c r="X32" s="24">
        <f>'Evolutitve SCI'!W39/'Evolutitve SCI'!V39-1</f>
        <v>0.17980019590645058</v>
      </c>
      <c r="Y32" s="24">
        <f>'Evolutitve SCI'!X39/'Evolutitve SCI'!W39-1</f>
        <v>0.18375602771440724</v>
      </c>
      <c r="Z32" s="24">
        <f>'Evolutitve SCI'!Y39/'Evolutitve SCI'!X39-1</f>
        <v>9.2043351115150829E-2</v>
      </c>
      <c r="AA32" s="24">
        <f>'Evolutitve SCI'!Z39/'Evolutitve SCI'!Y39-1</f>
        <v>0.10579499289251326</v>
      </c>
      <c r="AB32" s="24">
        <f>'Evolutitve SCI'!AA39/'Evolutitve SCI'!Z39-1</f>
        <v>0.198817422384165</v>
      </c>
      <c r="AC32" s="24">
        <f>'Evolutitve SCI'!AB39/'Evolutitve SCI'!AA39-1</f>
        <v>0.12199783656583696</v>
      </c>
      <c r="AD32" s="24">
        <f>'Evolutitve SCI'!AC39/'Evolutitve SCI'!AB39-1</f>
        <v>0.24634987728781099</v>
      </c>
      <c r="AE32" s="24">
        <f>'Evolutitve SCI'!AD39/'Evolutitve SCI'!AC39-1</f>
        <v>-0.92695377010661695</v>
      </c>
      <c r="AF32" s="24">
        <f>'Evolutitve SCI'!AE39/'Evolutitve SCI'!AD39-1</f>
        <v>1.1477083842847784</v>
      </c>
      <c r="AG32" s="24">
        <f>'Evolutitve SCI'!AF39/'Evolutitve SCI'!AE39-1</f>
        <v>0.57022830572128602</v>
      </c>
      <c r="AH32" s="24">
        <f>'Evolutitve SCI'!AG39/'Evolutitve SCI'!AF39-1</f>
        <v>-1</v>
      </c>
      <c r="AI32" s="24" t="e">
        <f>'Evolutitve SCI'!AH39/'Evolutitve SCI'!AG39-1</f>
        <v>#DIV/0!</v>
      </c>
      <c r="AJ32" s="24" t="e">
        <f>'Evolutitve SCI'!AI39/'Evolutitve SCI'!AH39-1</f>
        <v>#DIV/0!</v>
      </c>
      <c r="AK32" s="24" t="e">
        <f>'Evolutitve SCI'!AJ39/'Evolutitve SCI'!AI39-1</f>
        <v>#DIV/0!</v>
      </c>
      <c r="AL32" s="24" t="e">
        <f>'Evolutitve SCI'!AK39/'Evolutitve SCI'!AJ39-1</f>
        <v>#DIV/0!</v>
      </c>
      <c r="AM32" s="24" t="e">
        <f>'Evolutitve SCI'!AL39/'Evolutitve SCI'!AK39-1</f>
        <v>#DIV/0!</v>
      </c>
      <c r="AN32" s="24" t="e">
        <f>'Evolutitve SCI'!AM39/'Evolutitve SCI'!AL39-1</f>
        <v>#DIV/0!</v>
      </c>
      <c r="AO32" s="24" t="e">
        <f>'Evolutitve SCI'!AN39/'Evolutitve SCI'!AM39-1</f>
        <v>#DIV/0!</v>
      </c>
      <c r="AP32" s="24" t="e">
        <f>'Evolutitve SCI'!AO39/'Evolutitve SCI'!AN39-1</f>
        <v>#DIV/0!</v>
      </c>
      <c r="AQ32" s="24" t="e">
        <f>'Evolutitve SCI'!AP39/'Evolutitve SCI'!AO39-1</f>
        <v>#DIV/0!</v>
      </c>
      <c r="AR32" s="24" t="e">
        <f>'Evolutitve SCI'!AQ39/'Evolutitve SCI'!AP39-1</f>
        <v>#DIV/0!</v>
      </c>
      <c r="AS32" s="24" t="e">
        <f>'Evolutitve SCI'!AR39/'Evolutitve SCI'!AQ39-1</f>
        <v>#DIV/0!</v>
      </c>
      <c r="AT32" s="24" t="e">
        <f>'Evolutitve SCI'!AS39/'Evolutitve SCI'!AR39-1</f>
        <v>#DIV/0!</v>
      </c>
    </row>
    <row r="33" spans="1:46" x14ac:dyDescent="0.3">
      <c r="A33" s="60" t="s">
        <v>208</v>
      </c>
      <c r="B33" s="54" t="s">
        <v>209</v>
      </c>
      <c r="C33" s="2"/>
      <c r="D33" s="24"/>
      <c r="E33" s="24"/>
      <c r="F33" s="24"/>
      <c r="G33" s="24"/>
      <c r="H33" s="24">
        <f>Financials!G44/('Evolutive SFP'!B30+'Evolutive SFP'!F30)/2</f>
        <v>6.5917724344602359E-4</v>
      </c>
      <c r="I33" s="24"/>
      <c r="J33" s="24"/>
      <c r="K33" s="24">
        <f>Financials!J44/('Evolutive SFP'!F30+'Evolutive SFP'!I30)/2</f>
        <v>8.5102362782053798E-4</v>
      </c>
      <c r="L33" s="24">
        <f>Financials!K44/('Evolutive SFP'!I30+'Evolutive SFP'!J30)/2</f>
        <v>8.2101018730338651E-4</v>
      </c>
      <c r="M33" s="24">
        <f>Financials!L44/('Evolutive SFP'!J30+'Evolutive SFP'!K30)/2</f>
        <v>1.0626584131908461E-3</v>
      </c>
      <c r="N33" s="24">
        <f>Financials!M44/('Evolutive SFP'!K30+'Evolutive SFP'!L30)/2</f>
        <v>1.240027378230452E-3</v>
      </c>
      <c r="O33" s="24">
        <f>Financials!N44/('Evolutive SFP'!L30+'Evolutive SFP'!M30)/2</f>
        <v>1.3712237363763535E-3</v>
      </c>
      <c r="P33" s="24">
        <f>Financials!O44/('Evolutive SFP'!M30+'Evolutive SFP'!N30)/2</f>
        <v>1.565834262377698E-3</v>
      </c>
      <c r="Q33" s="24">
        <f>Financials!P44/('Evolutive SFP'!N30+'Evolutive SFP'!O30)/2</f>
        <v>9.9872247266536828E-3</v>
      </c>
      <c r="R33" s="24">
        <f>Financials!Q44/('Evolutive SFP'!O30+'Evolutive SFP'!P30)/2</f>
        <v>6.7271848416786441E-3</v>
      </c>
      <c r="S33" s="24">
        <f>Financials!R44/('Evolutive SFP'!P30+'Evolutive SFP'!Q30)/2</f>
        <v>1.5851135184764161E-4</v>
      </c>
      <c r="T33" s="24">
        <f>Financials!S44/('Evolutive SFP'!Q30+'Evolutive SFP'!R30)/2</f>
        <v>2.593188833035048E-4</v>
      </c>
      <c r="U33" s="24">
        <f>Financials!T44/('Evolutive SFP'!R30+'Evolutive SFP'!S30)/2</f>
        <v>4.2176160527212072E-4</v>
      </c>
      <c r="V33" s="24">
        <f>Financials!U44/('Evolutive SFP'!S30+'Evolutive SFP'!T30)/2</f>
        <v>5.2879167568320538E-4</v>
      </c>
      <c r="W33" s="24">
        <f>Financials!V44/('Evolutive SFP'!T30+'Evolutive SFP'!U30)/2</f>
        <v>6.3117931768383176E-4</v>
      </c>
      <c r="X33" s="24">
        <f>Financials!W44/('Evolutive SFP'!U30+'Evolutive SFP'!V30)/2</f>
        <v>7.3603292398275008E-4</v>
      </c>
      <c r="Y33" s="24">
        <f>Financials!X44/('Evolutive SFP'!V30+'Evolutive SFP'!W30)/2</f>
        <v>8.375495768964664E-4</v>
      </c>
      <c r="Z33" s="24">
        <f>Financials!Y44/('Evolutive SFP'!W30+'Evolutive SFP'!X30)/2</f>
        <v>9.3606604038675204E-4</v>
      </c>
      <c r="AA33" s="24">
        <f>Financials!Z44/('Evolutive SFP'!X30+'Evolutive SFP'!Y30)/2</f>
        <v>1.0339391146688842E-3</v>
      </c>
      <c r="AB33" s="24">
        <f>Financials!AA44/('Evolutive SFP'!Y30+'Evolutive SFP'!Z30)/2</f>
        <v>1.1393775715246848E-3</v>
      </c>
      <c r="AC33" s="24">
        <f>Financials!AB44/('Evolutive SFP'!Z30+'Evolutive SFP'!AA30)/2</f>
        <v>1.2365503338591184E-3</v>
      </c>
      <c r="AD33" s="24">
        <f>Financials!AC44/('Evolutive SFP'!AA30+'Evolutive SFP'!AB30)/2</f>
        <v>1.43554475058342E-3</v>
      </c>
      <c r="AE33" s="24">
        <f>Financials!AD44/('Evolutive SFP'!AB30+'Evolutive SFP'!AC30)/2</f>
        <v>7.1395284932197932E-3</v>
      </c>
      <c r="AF33" s="24">
        <f>Financials!AE44/('Evolutive SFP'!AC30+'Evolutive SFP'!AD30)/2</f>
        <v>9.7736146731811259E-5</v>
      </c>
      <c r="AG33" s="24">
        <f>Financials!AF44/('Evolutive SFP'!AD30+'Evolutive SFP'!AE30)/2</f>
        <v>1.1752170171445408E-4</v>
      </c>
      <c r="AH33" s="24">
        <f>Financials!AG44/('Evolutive SFP'!AE30+'Evolutive SFP'!AF30)/2</f>
        <v>4.2492332450189043E-4</v>
      </c>
      <c r="AI33" s="24">
        <f>Financials!AH44/('Evolutive SFP'!AF30+'Evolutive SFP'!AG30)/2</f>
        <v>4.1409081507097798E-4</v>
      </c>
      <c r="AJ33" s="24">
        <f>Financials!AI44/('Evolutive SFP'!AG30+'Evolutive SFP'!AH30)/2</f>
        <v>5.1143064324219399E-4</v>
      </c>
      <c r="AK33" s="24">
        <f>Financials!AJ44/('Evolutive SFP'!AH30+'Evolutive SFP'!AI30)/2</f>
        <v>6.0473904137384779E-4</v>
      </c>
      <c r="AL33" s="24">
        <f>Financials!AK44/('Evolutive SFP'!AI30+'Evolutive SFP'!AJ30)/2</f>
        <v>0</v>
      </c>
      <c r="AM33" s="24" t="e">
        <f>Financials!AL44/('Evolutive SFP'!AJ30+'Evolutive SFP'!AK30)/2</f>
        <v>#DIV/0!</v>
      </c>
      <c r="AN33" s="24" t="e">
        <f>Financials!AM44/('Evolutive SFP'!AK30+'Evolutive SFP'!AL30)/2</f>
        <v>#DIV/0!</v>
      </c>
      <c r="AO33" s="24" t="e">
        <f>Financials!AN44/('Evolutive SFP'!AL30+'Evolutive SFP'!AM30)/2</f>
        <v>#DIV/0!</v>
      </c>
      <c r="AP33" s="24" t="e">
        <f>Financials!AO44/('Evolutive SFP'!AM30+'Evolutive SFP'!AN30)/2</f>
        <v>#DIV/0!</v>
      </c>
      <c r="AQ33" s="24" t="e">
        <f>Financials!AP44/('Evolutive SFP'!AN30+'Evolutive SFP'!AO30)/2</f>
        <v>#DIV/0!</v>
      </c>
      <c r="AR33" s="24" t="e">
        <f>Financials!AQ44/('Evolutive SFP'!AO30+'Evolutive SFP'!AP30)/2</f>
        <v>#DIV/0!</v>
      </c>
      <c r="AS33" s="24" t="e">
        <f>Financials!AR44/('Evolutive SFP'!AP30+'Evolutive SFP'!AQ30)/2</f>
        <v>#DIV/0!</v>
      </c>
      <c r="AT33" s="24" t="e">
        <f>Financials!AS44/('Evolutive SFP'!AQ30+'Evolutive SFP'!AR30)/2</f>
        <v>#DIV/0!</v>
      </c>
    </row>
    <row r="34" spans="1:46" x14ac:dyDescent="0.3">
      <c r="A34" s="61"/>
      <c r="B34" s="54" t="s">
        <v>210</v>
      </c>
      <c r="C34" s="2"/>
      <c r="D34" s="24"/>
      <c r="E34" s="24"/>
      <c r="F34" s="24"/>
      <c r="G34" s="24"/>
      <c r="H34" s="24">
        <f>Financials!G45/('Evolutive SFP'!B39+'Evolutive SFP'!F39)/2</f>
        <v>0</v>
      </c>
      <c r="I34" s="24"/>
      <c r="J34" s="24"/>
      <c r="K34" s="24">
        <f>Financials!J45/('Evolutive SFP'!F39+'Evolutive SFP'!I39)/2</f>
        <v>0</v>
      </c>
      <c r="L34" s="24">
        <f>Financials!K45/('Evolutive SFP'!I39+'Evolutive SFP'!J39)/2</f>
        <v>0</v>
      </c>
      <c r="M34" s="24">
        <f>Financials!L45/('Evolutive SFP'!J39+'Evolutive SFP'!K39)/2</f>
        <v>0</v>
      </c>
      <c r="N34" s="24">
        <f>Financials!M45/('Evolutive SFP'!K39+'Evolutive SFP'!L39)/2</f>
        <v>0</v>
      </c>
      <c r="O34" s="24">
        <f>Financials!N45/('Evolutive SFP'!L39+'Evolutive SFP'!M39)/2</f>
        <v>0</v>
      </c>
      <c r="P34" s="24">
        <f>Financials!O45/('Evolutive SFP'!M39+'Evolutive SFP'!N39)/2</f>
        <v>0</v>
      </c>
      <c r="Q34" s="24">
        <f>Financials!P45/('Evolutive SFP'!N39+'Evolutive SFP'!O39)/2</f>
        <v>0</v>
      </c>
      <c r="R34" s="24">
        <f>Financials!Q45/('Evolutive SFP'!O39+'Evolutive SFP'!P39)/2</f>
        <v>0</v>
      </c>
      <c r="S34" s="24">
        <f>Financials!R45/('Evolutive SFP'!P39+'Evolutive SFP'!Q39)/2</f>
        <v>0</v>
      </c>
      <c r="T34" s="24">
        <f>Financials!S45/('Evolutive SFP'!Q39+'Evolutive SFP'!R39)/2</f>
        <v>0</v>
      </c>
      <c r="U34" s="24">
        <f>Financials!T45/('Evolutive SFP'!R39+'Evolutive SFP'!S39)/2</f>
        <v>0</v>
      </c>
      <c r="V34" s="24">
        <f>Financials!U45/('Evolutive SFP'!S39+'Evolutive SFP'!T39)/2</f>
        <v>0</v>
      </c>
      <c r="W34" s="24">
        <f>Financials!V45/('Evolutive SFP'!T39+'Evolutive SFP'!U39)/2</f>
        <v>0</v>
      </c>
      <c r="X34" s="24">
        <f>Financials!W45/('Evolutive SFP'!U39+'Evolutive SFP'!V39)/2</f>
        <v>0</v>
      </c>
      <c r="Y34" s="24">
        <f>Financials!X45/('Evolutive SFP'!V39+'Evolutive SFP'!W39)/2</f>
        <v>0</v>
      </c>
      <c r="Z34" s="24">
        <f>Financials!Y45/('Evolutive SFP'!W39+'Evolutive SFP'!X39)/2</f>
        <v>0</v>
      </c>
      <c r="AA34" s="24">
        <f>Financials!Z45/('Evolutive SFP'!X39+'Evolutive SFP'!Y39)/2</f>
        <v>0</v>
      </c>
      <c r="AB34" s="24">
        <f>Financials!AA45/('Evolutive SFP'!Y39+'Evolutive SFP'!Z39)/2</f>
        <v>0</v>
      </c>
      <c r="AC34" s="24">
        <f>Financials!AB45/('Evolutive SFP'!Z39+'Evolutive SFP'!AA39)/2</f>
        <v>0</v>
      </c>
      <c r="AD34" s="24">
        <f>Financials!AC45/('Evolutive SFP'!AA39+'Evolutive SFP'!AB39)/2</f>
        <v>0</v>
      </c>
      <c r="AE34" s="24">
        <f>Financials!AD45/('Evolutive SFP'!AB39+'Evolutive SFP'!AC39)/2</f>
        <v>0</v>
      </c>
      <c r="AF34" s="24">
        <f>Financials!AE45/('Evolutive SFP'!AC39+'Evolutive SFP'!AD39)/2</f>
        <v>0</v>
      </c>
      <c r="AG34" s="24">
        <f>Financials!AF45/('Evolutive SFP'!AD39+'Evolutive SFP'!AE39)/2</f>
        <v>0</v>
      </c>
      <c r="AH34" s="24">
        <f>Financials!AG45/('Evolutive SFP'!AE39+'Evolutive SFP'!AF39)/2</f>
        <v>0</v>
      </c>
      <c r="AI34" s="24">
        <f>Financials!AH45/('Evolutive SFP'!AF39+'Evolutive SFP'!AG39)/2</f>
        <v>0</v>
      </c>
      <c r="AJ34" s="24">
        <f>Financials!AI45/('Evolutive SFP'!AG39+'Evolutive SFP'!AH39)/2</f>
        <v>0</v>
      </c>
      <c r="AK34" s="24">
        <f>Financials!AJ45/('Evolutive SFP'!AH39+'Evolutive SFP'!AI39)/2</f>
        <v>0</v>
      </c>
      <c r="AL34" s="24">
        <f>Financials!AK45/('Evolutive SFP'!AI39+'Evolutive SFP'!AJ39)/2</f>
        <v>0</v>
      </c>
      <c r="AM34" s="24" t="e">
        <f>Financials!AL45/('Evolutive SFP'!AJ39+'Evolutive SFP'!AK39)/2</f>
        <v>#DIV/0!</v>
      </c>
      <c r="AN34" s="24" t="e">
        <f>Financials!AM45/('Evolutive SFP'!AK39+'Evolutive SFP'!AL39)/2</f>
        <v>#DIV/0!</v>
      </c>
      <c r="AO34" s="24" t="e">
        <f>Financials!AN45/('Evolutive SFP'!AL39+'Evolutive SFP'!AM39)/2</f>
        <v>#DIV/0!</v>
      </c>
      <c r="AP34" s="24" t="e">
        <f>Financials!AO45/('Evolutive SFP'!AM39+'Evolutive SFP'!AN39)/2</f>
        <v>#DIV/0!</v>
      </c>
      <c r="AQ34" s="24" t="e">
        <f>Financials!AP45/('Evolutive SFP'!AN39+'Evolutive SFP'!AO39)/2</f>
        <v>#DIV/0!</v>
      </c>
      <c r="AR34" s="24" t="e">
        <f>Financials!AQ45/('Evolutive SFP'!AO39+'Evolutive SFP'!AP39)/2</f>
        <v>#DIV/0!</v>
      </c>
      <c r="AS34" s="24" t="e">
        <f>Financials!AR45/('Evolutive SFP'!AP39+'Evolutive SFP'!AQ39)/2</f>
        <v>#DIV/0!</v>
      </c>
      <c r="AT34" s="24" t="e">
        <f>Financials!AS45/('Evolutive SFP'!AQ39+'Evolutive SFP'!AR39)/2</f>
        <v>#DIV/0!</v>
      </c>
    </row>
    <row r="35" spans="1:46" x14ac:dyDescent="0.3">
      <c r="A35" s="61"/>
      <c r="B35" s="54" t="s">
        <v>211</v>
      </c>
      <c r="C35" s="2"/>
      <c r="D35" s="24"/>
      <c r="E35" s="24"/>
      <c r="F35" s="24"/>
      <c r="G35" s="24"/>
      <c r="H35" s="24">
        <f>Financials!G46/(Financials!F31+Financials!G31)/2</f>
        <v>0</v>
      </c>
      <c r="I35" s="24"/>
      <c r="J35" s="24"/>
      <c r="K35" s="24">
        <f>Financials!J46/(Financials!G31+Financials!J31)/2</f>
        <v>0</v>
      </c>
      <c r="L35" s="24">
        <f>Financials!K46/(Financials!J31+Financials!K31)/2</f>
        <v>0</v>
      </c>
      <c r="M35" s="24">
        <f>Financials!L46/(Financials!K31+Financials!L31)/2</f>
        <v>5.1577762990069242E-5</v>
      </c>
      <c r="N35" s="24">
        <f>Financials!M46/(Financials!L31+Financials!M31)/2</f>
        <v>4.9384115096038515E-5</v>
      </c>
      <c r="O35" s="24">
        <f>Financials!N46/(Financials!M31+Financials!N31)/2</f>
        <v>5.1202528486505774E-5</v>
      </c>
      <c r="P35" s="24">
        <f>Financials!O46/(Financials!N31+Financials!O31)/2</f>
        <v>5.2796513661111496E-5</v>
      </c>
      <c r="Q35" s="24">
        <f>Financials!P46/(Financials!O31+Financials!P31)/2</f>
        <v>2.649130294303042E-4</v>
      </c>
      <c r="R35" s="24">
        <f>Financials!Q46/(Financials!P31+Financials!Q31)/2</f>
        <v>0</v>
      </c>
      <c r="S35" s="24">
        <f>Financials!R46/(Financials!Q31+Financials!R31)/2</f>
        <v>0</v>
      </c>
      <c r="T35" s="24">
        <f>Financials!S46/(Financials!R31+Financials!S31)/2</f>
        <v>0</v>
      </c>
      <c r="U35" s="24">
        <f>Financials!T46/(Financials!S31+Financials!T31)/2</f>
        <v>0</v>
      </c>
      <c r="V35" s="24">
        <f>Financials!U46/(Financials!T31+Financials!U31)/2</f>
        <v>0</v>
      </c>
      <c r="W35" s="24">
        <f>Financials!V46/(Financials!U31+Financials!V31)/2</f>
        <v>0</v>
      </c>
      <c r="X35" s="24">
        <f>Financials!W46/(Financials!V31+Financials!W31)/2</f>
        <v>0</v>
      </c>
      <c r="Y35" s="24">
        <f>Financials!X46/(Financials!W31+Financials!X31)/2</f>
        <v>0</v>
      </c>
      <c r="Z35" s="24">
        <f>Financials!Y46/(Financials!X31+Financials!Y31)/2</f>
        <v>0</v>
      </c>
      <c r="AA35" s="24">
        <f>Financials!Z46/(Financials!Y31+Financials!Z31)/2</f>
        <v>0</v>
      </c>
      <c r="AB35" s="24">
        <f>Financials!AA46/(Financials!Z31+Financials!AA31)/2</f>
        <v>0</v>
      </c>
      <c r="AC35" s="24">
        <f>Financials!AB46/(Financials!AA31+Financials!AB31)/2</f>
        <v>0</v>
      </c>
      <c r="AD35" s="24">
        <f>Financials!AC46/(Financials!AB31+Financials!AC31)/2</f>
        <v>0</v>
      </c>
      <c r="AE35" s="24">
        <f>Financials!AD46/(Financials!AC31+Financials!AD31)/2</f>
        <v>0</v>
      </c>
      <c r="AF35" s="24">
        <f>Financials!AE46/(Financials!AD31+Financials!AE31)/2</f>
        <v>0</v>
      </c>
      <c r="AG35" s="24">
        <f>Financials!AF46/(Financials!AE31+Financials!AF31)/2</f>
        <v>0</v>
      </c>
      <c r="AH35" s="24">
        <f>Financials!AG46/(Financials!AF31+Financials!AG31)/2</f>
        <v>0</v>
      </c>
      <c r="AI35" s="24">
        <f>Financials!AH46/(Financials!AG31+Financials!AH31)/2</f>
        <v>0</v>
      </c>
      <c r="AJ35" s="24">
        <f>Financials!AI46/(Financials!AH31+Financials!AI31)/2</f>
        <v>0</v>
      </c>
      <c r="AK35" s="24">
        <f>Financials!AJ46/(Financials!AI31+Financials!AJ31)/2</f>
        <v>0</v>
      </c>
      <c r="AL35" s="24">
        <f>Financials!AK46/(Financials!AJ31+Financials!AK31)/2</f>
        <v>0</v>
      </c>
      <c r="AM35" s="24" t="e">
        <f>Financials!AL46/(Financials!AK31+Financials!AL31)/2</f>
        <v>#DIV/0!</v>
      </c>
      <c r="AN35" s="24" t="e">
        <f>Financials!AM46/(Financials!AL31+Financials!AM31)/2</f>
        <v>#DIV/0!</v>
      </c>
      <c r="AO35" s="24" t="e">
        <f>Financials!AN46/(Financials!AM31+Financials!AN31)/2</f>
        <v>#DIV/0!</v>
      </c>
      <c r="AP35" s="24" t="e">
        <f>Financials!AO46/(Financials!AN31+Financials!AO31)/2</f>
        <v>#DIV/0!</v>
      </c>
      <c r="AQ35" s="24" t="e">
        <f>Financials!AP46/(Financials!AO31+Financials!AP31)/2</f>
        <v>#DIV/0!</v>
      </c>
      <c r="AR35" s="24" t="e">
        <f>Financials!AQ46/(Financials!AP31+Financials!AQ31)/2</f>
        <v>#DIV/0!</v>
      </c>
      <c r="AS35" s="24" t="e">
        <f>Financials!AR46/(Financials!AQ31+Financials!AR31)/2</f>
        <v>#DIV/0!</v>
      </c>
      <c r="AT35" s="24" t="e">
        <f>Financials!AS46/(Financials!AR31+Financials!AS31)/2</f>
        <v>#DIV/0!</v>
      </c>
    </row>
    <row r="36" spans="1:46" x14ac:dyDescent="0.3">
      <c r="A36" s="61"/>
      <c r="B36" s="54" t="s">
        <v>212</v>
      </c>
      <c r="C36" s="2"/>
      <c r="D36" s="24"/>
      <c r="E36" s="24"/>
      <c r="F36" s="24"/>
      <c r="G36" s="24"/>
      <c r="H36" s="24">
        <f>Financials!G47/(Financials!F4+Financials!G4)/2</f>
        <v>2.3099288258623066E-3</v>
      </c>
      <c r="I36" s="24"/>
      <c r="J36" s="24"/>
      <c r="K36" s="24">
        <f>Financials!J47/(Financials!G4+Financials!J4)/2</f>
        <v>6.4526723321168458E-3</v>
      </c>
      <c r="L36" s="24">
        <f>Financials!K47/(Financials!J4+Financials!K4)/2</f>
        <v>7.5403026595741449E-3</v>
      </c>
      <c r="M36" s="24">
        <f>Financials!L47/(Financials!K4+Financials!L4)/2</f>
        <v>8.1962681989736792E-3</v>
      </c>
      <c r="N36" s="24">
        <f>Financials!M47/(Financials!L4+Financials!M4)/2</f>
        <v>8.6883269222124502E-3</v>
      </c>
      <c r="O36" s="24">
        <f>Financials!N47/(Financials!M4+Financials!N4)/2</f>
        <v>1.140777973199221E-2</v>
      </c>
      <c r="P36" s="24">
        <f>Financials!O47/(Financials!N4+Financials!O4)/2</f>
        <v>1.146406450843857E-2</v>
      </c>
      <c r="Q36" s="24">
        <f>Financials!P47/(Financials!O4+Financials!P4)/2</f>
        <v>1.3854411595883194E-2</v>
      </c>
      <c r="R36" s="24">
        <f>Financials!Q47/(Financials!P4+Financials!Q4)/2</f>
        <v>1.5402734457829472E-2</v>
      </c>
      <c r="S36" s="24">
        <f>Financials!R47/(Financials!Q4+Financials!R4)/2</f>
        <v>1.0818996009586692E-3</v>
      </c>
      <c r="T36" s="24">
        <f>Financials!S47/(Financials!R4+Financials!S4)/2</f>
        <v>2.0130645723957031E-3</v>
      </c>
      <c r="U36" s="24">
        <f>Financials!T47/(Financials!S4+Financials!T4)/2</f>
        <v>3.1165662711370961E-3</v>
      </c>
      <c r="V36" s="24">
        <f>Financials!U47/(Financials!T4+Financials!U4)/2</f>
        <v>4.1962486848416249E-3</v>
      </c>
      <c r="W36" s="24">
        <f>Financials!V47/(Financials!U4+Financials!V4)/2</f>
        <v>5.1150254092473431E-3</v>
      </c>
      <c r="X36" s="24">
        <f>Financials!W47/(Financials!V4+Financials!W4)/2</f>
        <v>6.1776838095356796E-3</v>
      </c>
      <c r="Y36" s="24">
        <f>Financials!X47/(Financials!W4+Financials!X4)/2</f>
        <v>6.5939520106865074E-3</v>
      </c>
      <c r="Z36" s="24">
        <f>Financials!Y47/(Financials!X4+Financials!Y4)/2</f>
        <v>7.3476394033514256E-3</v>
      </c>
      <c r="AA36" s="24">
        <f>Financials!Z47/(Financials!Y4+Financials!Z4)/2</f>
        <v>8.5123912455806038E-3</v>
      </c>
      <c r="AB36" s="24">
        <f>Financials!AA47/(Financials!Z4+Financials!AA4)/2</f>
        <v>9.6364338619299387E-3</v>
      </c>
      <c r="AC36" s="24">
        <f>Financials!AB47/(Financials!AA4+Financials!AB4)/2</f>
        <v>1.1315784503165489E-2</v>
      </c>
      <c r="AD36" s="24">
        <f>Financials!AC47/(Financials!AB4+Financials!AC4)/2</f>
        <v>1.2829998582279536E-2</v>
      </c>
      <c r="AE36" s="24">
        <f>Financials!AD47/(Financials!AC4+Financials!AD4)/2</f>
        <v>1.4080749958855892E-2</v>
      </c>
      <c r="AF36" s="24">
        <f>Financials!AE47/(Financials!AD4+Financials!AE4)/2</f>
        <v>1.2292720220866721E-3</v>
      </c>
      <c r="AG36" s="24">
        <f>Financials!AF47/(Financials!AE4+Financials!AF4)/2</f>
        <v>2.6879899532423865E-3</v>
      </c>
      <c r="AH36" s="24">
        <f>Financials!AG47/(Financials!AF4+Financials!AG4)/2</f>
        <v>4.1314771872488906E-3</v>
      </c>
      <c r="AI36" s="24">
        <f>Financials!AH47/(Financials!AG4+Financials!AH4)/2</f>
        <v>5.2501130126621984E-3</v>
      </c>
      <c r="AJ36" s="24">
        <f>Financials!AI47/(Financials!AH4+Financials!AI4)/2</f>
        <v>6.7438243576796054E-3</v>
      </c>
      <c r="AK36" s="24">
        <f>Financials!AJ47/(Financials!AI4+Financials!AJ4)/2</f>
        <v>7.9177845575952588E-3</v>
      </c>
      <c r="AL36" s="24">
        <f>Financials!AK47/(Financials!AJ4+Financials!AK4)/2</f>
        <v>0</v>
      </c>
      <c r="AM36" s="24" t="e">
        <f>Financials!AL47/(Financials!AK4+Financials!AL4)/2</f>
        <v>#DIV/0!</v>
      </c>
      <c r="AN36" s="24" t="e">
        <f>Financials!AM47/(Financials!AL4+Financials!AM4)/2</f>
        <v>#DIV/0!</v>
      </c>
      <c r="AO36" s="24" t="e">
        <f>Financials!AN47/(Financials!AM4+Financials!AN4)/2</f>
        <v>#DIV/0!</v>
      </c>
      <c r="AP36" s="24" t="e">
        <f>Financials!AO47/(Financials!AN4+Financials!AO4)/2</f>
        <v>#DIV/0!</v>
      </c>
      <c r="AQ36" s="24" t="e">
        <f>Financials!AP47/(Financials!AO4+Financials!AP4)/2</f>
        <v>#DIV/0!</v>
      </c>
      <c r="AR36" s="24" t="e">
        <f>Financials!AQ47/(Financials!AP4+Financials!AQ4)/2</f>
        <v>#DIV/0!</v>
      </c>
      <c r="AS36" s="24" t="e">
        <f>Financials!AR47/(Financials!AQ4+Financials!AR4)/2</f>
        <v>#DIV/0!</v>
      </c>
      <c r="AT36" s="24" t="e">
        <f>Financials!AS47/(Financials!AR4+Financials!AS4)/2</f>
        <v>#DIV/0!</v>
      </c>
    </row>
    <row r="37" spans="1:46" x14ac:dyDescent="0.3">
      <c r="A37" s="61"/>
      <c r="B37" s="54" t="s">
        <v>213</v>
      </c>
      <c r="C37" s="2"/>
      <c r="D37" s="24"/>
      <c r="E37" s="24"/>
      <c r="F37" s="24"/>
      <c r="G37" s="24"/>
      <c r="H37" s="24">
        <f>Financials!G47/Financials!G37</f>
        <v>0.38199691888531545</v>
      </c>
      <c r="I37" s="24"/>
      <c r="J37" s="24"/>
      <c r="K37" s="24">
        <f>Financials!J47/Financials!J37</f>
        <v>0.33145703395986825</v>
      </c>
      <c r="L37" s="24">
        <f>Financials!K47/Financials!K37</f>
        <v>0.31545462462801949</v>
      </c>
      <c r="M37" s="24">
        <f>Financials!L47/Financials!L37</f>
        <v>0.30053345410140725</v>
      </c>
      <c r="N37" s="24">
        <f>Financials!M47/Financials!M37</f>
        <v>0.28875898135265654</v>
      </c>
      <c r="O37" s="24">
        <f>Financials!N47/Financials!N37</f>
        <v>0.35756561174199547</v>
      </c>
      <c r="P37" s="24">
        <f>Financials!O47/Financials!O37</f>
        <v>0.33989800698947503</v>
      </c>
      <c r="Q37" s="24">
        <f>Financials!P47/Financials!P37</f>
        <v>0.36140222982213605</v>
      </c>
      <c r="R37" s="24">
        <f>Financials!Q47/Financials!Q37</f>
        <v>0.37128943205823267</v>
      </c>
      <c r="S37" s="24">
        <f>Financials!R47/Financials!R37</f>
        <v>0.32057834146670078</v>
      </c>
      <c r="T37" s="24">
        <f>Financials!S47/Financials!S37</f>
        <v>0.30304998112690318</v>
      </c>
      <c r="U37" s="24">
        <f>Financials!T47/Financials!T37</f>
        <v>0.30035779447324701</v>
      </c>
      <c r="V37" s="24">
        <f>Financials!U47/Financials!U37</f>
        <v>0.28505278917170529</v>
      </c>
      <c r="W37" s="24">
        <f>Financials!V47/Financials!V37</f>
        <v>0.27321833221610159</v>
      </c>
      <c r="X37" s="24">
        <f>Financials!W47/Financials!W37</f>
        <v>0.28957417098681926</v>
      </c>
      <c r="Y37" s="24">
        <f>Financials!X47/Financials!X37</f>
        <v>0.25347577938442478</v>
      </c>
      <c r="Z37" s="24">
        <f>Financials!Y47/Financials!Y37</f>
        <v>0.28851031460880161</v>
      </c>
      <c r="AA37" s="24">
        <f>Financials!Z47/Financials!Z37</f>
        <v>0.29196060411135999</v>
      </c>
      <c r="AB37" s="24">
        <f>Financials!AA47/Financials!AA37</f>
        <v>0.29314927397685669</v>
      </c>
      <c r="AC37" s="24">
        <f>Financials!AB47/Financials!AB37</f>
        <v>0.31036716423131255</v>
      </c>
      <c r="AD37" s="24">
        <f>Financials!AC47/Financials!AC37</f>
        <v>0.30472079725751766</v>
      </c>
      <c r="AE37" s="24">
        <f>Financials!AD47/Financials!AD37</f>
        <v>0.31015203675663267</v>
      </c>
      <c r="AF37" s="24">
        <f>Financials!AE47/Financials!AE37</f>
        <v>0.26458193350761594</v>
      </c>
      <c r="AG37" s="24">
        <f>Financials!AF47/Financials!AF37</f>
        <v>0.33041547280736916</v>
      </c>
      <c r="AH37" s="24">
        <f>Financials!AG47/Financials!AG37</f>
        <v>0.31760609211706631</v>
      </c>
      <c r="AI37" s="24">
        <f>Financials!AH47/Financials!AH37</f>
        <v>0.31979633030071253</v>
      </c>
      <c r="AJ37" s="24">
        <f>Financials!AI47/Financials!AI37</f>
        <v>0.33498244476635058</v>
      </c>
      <c r="AK37" s="24">
        <f>Financials!AJ47/Financials!AJ37</f>
        <v>0.32919793036826084</v>
      </c>
      <c r="AL37" s="24" t="e">
        <f>Financials!AK47/Financials!AK37</f>
        <v>#DIV/0!</v>
      </c>
      <c r="AM37" s="24" t="e">
        <f>Financials!AL47/Financials!AL37</f>
        <v>#DIV/0!</v>
      </c>
      <c r="AN37" s="24" t="e">
        <f>Financials!AM47/Financials!AM37</f>
        <v>#DIV/0!</v>
      </c>
      <c r="AO37" s="24" t="e">
        <f>Financials!AN47/Financials!AN37</f>
        <v>#DIV/0!</v>
      </c>
      <c r="AP37" s="24" t="e">
        <f>Financials!AO47/Financials!AO37</f>
        <v>#DIV/0!</v>
      </c>
      <c r="AQ37" s="24" t="e">
        <f>Financials!AP47/Financials!AP37</f>
        <v>#DIV/0!</v>
      </c>
      <c r="AR37" s="24" t="e">
        <f>Financials!AQ47/Financials!AQ37</f>
        <v>#DIV/0!</v>
      </c>
      <c r="AS37" s="24" t="e">
        <f>Financials!AR47/Financials!AR37</f>
        <v>#DIV/0!</v>
      </c>
      <c r="AT37" s="24" t="e">
        <f>Financials!AS47/Financials!AS37</f>
        <v>#DIV/0!</v>
      </c>
    </row>
    <row r="38" spans="1:46" x14ac:dyDescent="0.3">
      <c r="A38" s="61"/>
      <c r="B38" s="54" t="s">
        <v>214</v>
      </c>
      <c r="C38" s="2"/>
      <c r="D38" s="24"/>
      <c r="E38" s="24"/>
      <c r="F38" s="24"/>
      <c r="G38" s="24"/>
      <c r="H38" s="24">
        <f>Financials!G38/('Evolutive SFP'!F14+'Evolutive SFP'!B14)/2</f>
        <v>1.0084316552331251E-2</v>
      </c>
      <c r="I38" s="24"/>
      <c r="J38" s="24"/>
      <c r="K38" s="24">
        <f>Financials!J38/('Evolutive SFP'!I14+'Evolutive SFP'!F14)/2</f>
        <v>1.7094537535207639E-2</v>
      </c>
      <c r="L38" s="24">
        <f>Financials!K38/('Evolutive SFP'!J14+'Evolutive SFP'!I14)/2</f>
        <v>1.945540295940882E-2</v>
      </c>
      <c r="M38" s="24">
        <f>Financials!L38/('Evolutive SFP'!K14+'Evolutive SFP'!J14)/2</f>
        <v>2.1885954869719015E-2</v>
      </c>
      <c r="N38" s="24">
        <f>Financials!M38/('Evolutive SFP'!L14+'Evolutive SFP'!K14)/2</f>
        <v>2.3359221370678761E-2</v>
      </c>
      <c r="O38" s="24">
        <f>Financials!N38/('Evolutive SFP'!M14+'Evolutive SFP'!L14)/2</f>
        <v>2.8090508102991664E-2</v>
      </c>
      <c r="P38" s="24">
        <f>Financials!O38/('Evolutive SFP'!N14+'Evolutive SFP'!M14)/2</f>
        <v>3.2399186765962561E-2</v>
      </c>
      <c r="Q38" s="24">
        <f>Financials!P38/('Evolutive SFP'!O14+'Evolutive SFP'!N14)/2</f>
        <v>3.3309679321434325E-2</v>
      </c>
      <c r="R38" s="24">
        <f>Financials!Q38/('Evolutive SFP'!P14+'Evolutive SFP'!O14)/2</f>
        <v>4.3078131394236926E-2</v>
      </c>
      <c r="S38" s="24">
        <f>Financials!R38/('Evolutive SFP'!Q14+'Evolutive SFP'!P14)/2</f>
        <v>2.9971339050335216E-3</v>
      </c>
      <c r="T38" s="24">
        <f>Financials!S38/('Evolutive SFP'!R14+'Evolutive SFP'!Q14)/2</f>
        <v>5.8935552985596466E-3</v>
      </c>
      <c r="U38" s="24">
        <f>Financials!T38/('Evolutive SFP'!S14+'Evolutive SFP'!R14)/2</f>
        <v>8.9789423996768526E-3</v>
      </c>
      <c r="V38" s="24">
        <f>Financials!U38/('Evolutive SFP'!T14+'Evolutive SFP'!S14)/2</f>
        <v>1.2535457533957085E-2</v>
      </c>
      <c r="W38" s="24">
        <f>Financials!V38/('Evolutive SFP'!U14+'Evolutive SFP'!T14)/2</f>
        <v>1.6222474623198074E-2</v>
      </c>
      <c r="X38" s="24">
        <f>Financials!W38/('Evolutive SFP'!V14+'Evolutive SFP'!U14)/2</f>
        <v>1.7722216358105496E-2</v>
      </c>
      <c r="Y38" s="24">
        <f>Financials!X38/('Evolutive SFP'!W14+'Evolutive SFP'!V14)/2</f>
        <v>2.5681704668883917E-2</v>
      </c>
      <c r="Z38" s="24">
        <f>Financials!Y38/('Evolutive SFP'!X14+'Evolutive SFP'!W14)/2</f>
        <v>2.8928034431378449E-2</v>
      </c>
      <c r="AA38" s="24">
        <f>Financials!Z38/('Evolutive SFP'!Y14+'Evolutive SFP'!X14)/2</f>
        <v>3.0553021188369098E-2</v>
      </c>
      <c r="AB38" s="24">
        <f>Financials!AA38/('Evolutive SFP'!Z14+'Evolutive SFP'!Y14)/2</f>
        <v>3.2292174428835418E-2</v>
      </c>
      <c r="AC38" s="24">
        <f>Financials!AB38/('Evolutive SFP'!AA14+'Evolutive SFP'!Z14)/2</f>
        <v>3.4494202088852788E-2</v>
      </c>
      <c r="AD38" s="24">
        <f>Financials!AC38/('Evolutive SFP'!AB14+'Evolutive SFP'!AA14)/2</f>
        <v>3.6949115530684445E-2</v>
      </c>
      <c r="AE38" s="24">
        <f>Financials!AD38/('Evolutive SFP'!AC14+'Evolutive SFP'!AB14)/2</f>
        <v>4.913962042486765E-2</v>
      </c>
      <c r="AF38" s="24">
        <f>Financials!AE38/('Evolutive SFP'!AD14+'Evolutive SFP'!AC14)/2</f>
        <v>4.2110776547768184E-3</v>
      </c>
      <c r="AG38" s="24">
        <f>Financials!AF38/('Evolutive SFP'!AE14+'Evolutive SFP'!AD14)/2</f>
        <v>7.2156621527934188E-3</v>
      </c>
      <c r="AH38" s="24">
        <f>Financials!AG38/('Evolutive SFP'!AF14+'Evolutive SFP'!AE14)/2</f>
        <v>1.1749731704138587E-2</v>
      </c>
      <c r="AI38" s="24">
        <f>Financials!AH38/('Evolutive SFP'!AG14+'Evolutive SFP'!AF14)/2</f>
        <v>1.4362114604160292E-2</v>
      </c>
      <c r="AJ38" s="24">
        <f>Financials!AI38/('Evolutive SFP'!AH14+'Evolutive SFP'!AG14)/2</f>
        <v>1.725550212710527E-2</v>
      </c>
      <c r="AK38" s="24">
        <f>Financials!AJ38/('Evolutive SFP'!AI14+'Evolutive SFP'!AH14)/2</f>
        <v>2.0818520587833018E-2</v>
      </c>
      <c r="AL38" s="24">
        <f>Financials!AK38/('Evolutive SFP'!AJ14+'Evolutive SFP'!AI14)/2</f>
        <v>0</v>
      </c>
      <c r="AM38" s="24" t="e">
        <f>Financials!AL38/('Evolutive SFP'!AK14+'Evolutive SFP'!AJ14)/2</f>
        <v>#DIV/0!</v>
      </c>
      <c r="AN38" s="24" t="e">
        <f>Financials!AM38/('Evolutive SFP'!AL14+'Evolutive SFP'!AK14)/2</f>
        <v>#DIV/0!</v>
      </c>
      <c r="AO38" s="24" t="e">
        <f>Financials!AN38/('Evolutive SFP'!AM14+'Evolutive SFP'!AL14)/2</f>
        <v>#DIV/0!</v>
      </c>
      <c r="AP38" s="24" t="e">
        <f>Financials!AO38/('Evolutive SFP'!AN14+'Evolutive SFP'!AM14)/2</f>
        <v>#DIV/0!</v>
      </c>
      <c r="AQ38" s="24" t="e">
        <f>Financials!AP38/('Evolutive SFP'!AO14+'Evolutive SFP'!AN14)/2</f>
        <v>#DIV/0!</v>
      </c>
      <c r="AR38" s="24" t="e">
        <f>Financials!AQ38/('Evolutive SFP'!AP14+'Evolutive SFP'!AO14)/2</f>
        <v>#DIV/0!</v>
      </c>
      <c r="AS38" s="24" t="e">
        <f>Financials!AR38/('Evolutive SFP'!AQ14+'Evolutive SFP'!AP14)/2</f>
        <v>#DIV/0!</v>
      </c>
      <c r="AT38" s="24" t="e">
        <f>Financials!AS38/('Evolutive SFP'!AR14+'Evolutive SFP'!AQ14)/2</f>
        <v>#DIV/0!</v>
      </c>
    </row>
    <row r="39" spans="1:46" x14ac:dyDescent="0.3">
      <c r="A39" s="61"/>
      <c r="B39" s="54" t="s">
        <v>215</v>
      </c>
      <c r="C39" s="2"/>
      <c r="D39" s="24"/>
      <c r="E39" s="24"/>
      <c r="F39" s="24"/>
      <c r="G39" s="24"/>
      <c r="H39" s="24">
        <f>Financials!G37/('Evolutive SFP'!F15+'Evolutive SFP'!B15)/2</f>
        <v>1.1860336752950184E-2</v>
      </c>
      <c r="I39" s="24"/>
      <c r="J39" s="24"/>
      <c r="K39" s="24">
        <f>Financials!J37/('Evolutive SFP'!I15+'Evolutive SFP'!F15)/2</f>
        <v>2.0224720528192706E-2</v>
      </c>
      <c r="L39" s="24">
        <f>Financials!K37/('Evolutive SFP'!J15+'Evolutive SFP'!I15)/2</f>
        <v>2.2632647671047577E-2</v>
      </c>
      <c r="M39" s="24">
        <f>Financials!L37/('Evolutive SFP'!K15+'Evolutive SFP'!J15)/2</f>
        <v>2.5067368203793683E-2</v>
      </c>
      <c r="N39" s="24">
        <f>Financials!M37/('Evolutive SFP'!L15+'Evolutive SFP'!K15)/2</f>
        <v>2.6647915053082102E-2</v>
      </c>
      <c r="O39" s="24">
        <f>Financials!N37/('Evolutive SFP'!M15+'Evolutive SFP'!L15)/2</f>
        <v>3.2086194462157915E-2</v>
      </c>
      <c r="P39" s="24">
        <f>Financials!O37/('Evolutive SFP'!N15+'Evolutive SFP'!M15)/2</f>
        <v>3.691123540795152E-2</v>
      </c>
      <c r="Q39" s="24">
        <f>Financials!P37/('Evolutive SFP'!O15+'Evolutive SFP'!N15)/2</f>
        <v>3.8267143696158232E-2</v>
      </c>
      <c r="R39" s="24">
        <f>Financials!Q37/('Evolutive SFP'!P15+'Evolutive SFP'!O15)/2</f>
        <v>4.0257250524132676E-2</v>
      </c>
      <c r="S39" s="24">
        <f>Financials!R37/('Evolutive SFP'!Q15+'Evolutive SFP'!P15)/2</f>
        <v>3.2534160085740927E-3</v>
      </c>
      <c r="T39" s="24">
        <f>Financials!S37/('Evolutive SFP'!R15+'Evolutive SFP'!Q15)/2</f>
        <v>6.3317514677905728E-3</v>
      </c>
      <c r="U39" s="24">
        <f>Financials!T37/('Evolutive SFP'!S15+'Evolutive SFP'!R15)/2</f>
        <v>9.7265650062993841E-3</v>
      </c>
      <c r="V39" s="24">
        <f>Financials!U37/('Evolutive SFP'!T15+'Evolutive SFP'!S15)/2</f>
        <v>1.3847650332235071E-2</v>
      </c>
      <c r="W39" s="24">
        <f>Financials!V37/('Evolutive SFP'!U15+'Evolutive SFP'!T15)/2</f>
        <v>1.7623430378633943E-2</v>
      </c>
      <c r="X39" s="24">
        <f>Financials!W37/('Evolutive SFP'!V15+'Evolutive SFP'!U15)/2</f>
        <v>1.9576263062436719E-2</v>
      </c>
      <c r="Y39" s="24">
        <f>Financials!X37/('Evolutive SFP'!W15+'Evolutive SFP'!V15)/2</f>
        <v>2.8237323613831113E-2</v>
      </c>
      <c r="Z39" s="24">
        <f>Financials!Y37/('Evolutive SFP'!X15+'Evolutive SFP'!W15)/2</f>
        <v>3.1703901716085101E-2</v>
      </c>
      <c r="AA39" s="24">
        <f>Financials!Z37/('Evolutive SFP'!Y15+'Evolutive SFP'!X15)/2</f>
        <v>3.3606917784609169E-2</v>
      </c>
      <c r="AB39" s="24">
        <f>Financials!AA37/('Evolutive SFP'!Z15+'Evolutive SFP'!Y15)/2</f>
        <v>3.5549026242680332E-2</v>
      </c>
      <c r="AC39" s="24">
        <f>Financials!AB37/('Evolutive SFP'!AA15+'Evolutive SFP'!Z15)/2</f>
        <v>3.769631826015183E-2</v>
      </c>
      <c r="AD39" s="24">
        <f>Financials!AC37/('Evolutive SFP'!AB15+'Evolutive SFP'!AA15)/2</f>
        <v>4.2062337185912034E-2</v>
      </c>
      <c r="AE39" s="24">
        <f>Financials!AD37/('Evolutive SFP'!AC15+'Evolutive SFP'!AB15)/2</f>
        <v>4.4822372071551458E-2</v>
      </c>
      <c r="AF39" s="24">
        <f>Financials!AE37/('Evolutive SFP'!AD15+'Evolutive SFP'!AC15)/2</f>
        <v>4.6179872877085753E-3</v>
      </c>
      <c r="AG39" s="24">
        <f>Financials!AF37/('Evolutive SFP'!AE15+'Evolutive SFP'!AD15)/2</f>
        <v>7.8624438060321215E-3</v>
      </c>
      <c r="AH39" s="24">
        <f>Financials!AG37/('Evolutive SFP'!AF15+'Evolutive SFP'!AE15)/2</f>
        <v>1.2046966099153875E-2</v>
      </c>
      <c r="AI39" s="24">
        <f>Financials!AH37/('Evolutive SFP'!AG15+'Evolutive SFP'!AF15)/2</f>
        <v>1.4715237127364356E-2</v>
      </c>
      <c r="AJ39" s="24">
        <f>Financials!AI37/('Evolutive SFP'!AH15+'Evolutive SFP'!AG15)/2</f>
        <v>1.7551884933108244E-2</v>
      </c>
      <c r="AK39" s="24">
        <f>Financials!AJ37/('Evolutive SFP'!AI15+'Evolutive SFP'!AH15)/2</f>
        <v>2.1061346691888021E-2</v>
      </c>
      <c r="AL39" s="24">
        <f>Financials!AK37/('Evolutive SFP'!AJ15+'Evolutive SFP'!AI15)/2</f>
        <v>0</v>
      </c>
      <c r="AM39" s="24" t="e">
        <f>Financials!AL37/('Evolutive SFP'!AK15+'Evolutive SFP'!AJ15)/2</f>
        <v>#DIV/0!</v>
      </c>
      <c r="AN39" s="24" t="e">
        <f>Financials!AM37/('Evolutive SFP'!AL15+'Evolutive SFP'!AK15)/2</f>
        <v>#DIV/0!</v>
      </c>
      <c r="AO39" s="24" t="e">
        <f>Financials!AN37/('Evolutive SFP'!AM15+'Evolutive SFP'!AL15)/2</f>
        <v>#DIV/0!</v>
      </c>
      <c r="AP39" s="24" t="e">
        <f>Financials!AO37/('Evolutive SFP'!AN15+'Evolutive SFP'!AM15)/2</f>
        <v>#DIV/0!</v>
      </c>
      <c r="AQ39" s="24" t="e">
        <f>Financials!AP37/('Evolutive SFP'!AO15+'Evolutive SFP'!AN15)/2</f>
        <v>#DIV/0!</v>
      </c>
      <c r="AR39" s="24" t="e">
        <f>Financials!AQ37/('Evolutive SFP'!AP15+'Evolutive SFP'!AO15)/2</f>
        <v>#DIV/0!</v>
      </c>
      <c r="AS39" s="24" t="e">
        <f>Financials!AR37/('Evolutive SFP'!AQ15+'Evolutive SFP'!AP15)/2</f>
        <v>#DIV/0!</v>
      </c>
      <c r="AT39" s="24" t="e">
        <f>Financials!AS37/('Evolutive SFP'!AR15+'Evolutive SFP'!AQ15)/2</f>
        <v>#DIV/0!</v>
      </c>
    </row>
    <row r="40" spans="1:46" x14ac:dyDescent="0.3">
      <c r="A40" s="6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 thickBot="1" x14ac:dyDescent="0.35">
      <c r="A41" s="63" t="s">
        <v>216</v>
      </c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honeticPr fontId="61" type="noConversion"/>
  <pageMargins left="0.7" right="0.7" top="0.75" bottom="0.75" header="0.3" footer="0.3"/>
  <pageSetup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47"/>
  <sheetViews>
    <sheetView topLeftCell="AB1" workbookViewId="0">
      <selection activeCell="AH13" sqref="AH13"/>
    </sheetView>
  </sheetViews>
  <sheetFormatPr defaultRowHeight="14.4" x14ac:dyDescent="0.3"/>
  <cols>
    <col min="2" max="2" width="35.5546875" bestFit="1" customWidth="1"/>
    <col min="3" max="16" width="14.33203125" hidden="1" customWidth="1"/>
    <col min="17" max="32" width="14.33203125" bestFit="1" customWidth="1"/>
    <col min="33" max="35" width="13.5546875" bestFit="1" customWidth="1"/>
  </cols>
  <sheetData>
    <row r="1" spans="1:43" x14ac:dyDescent="0.3">
      <c r="A1" s="38"/>
      <c r="B1" s="65" t="s">
        <v>217</v>
      </c>
      <c r="C1" s="126"/>
      <c r="D1" s="126"/>
      <c r="E1" s="126"/>
    </row>
    <row r="2" spans="1:43" x14ac:dyDescent="0.3">
      <c r="A2" s="38"/>
      <c r="B2" s="39" t="s">
        <v>218</v>
      </c>
      <c r="C2" s="67" t="s">
        <v>0</v>
      </c>
      <c r="D2" s="66" t="s">
        <v>1</v>
      </c>
      <c r="E2" s="163">
        <v>44197</v>
      </c>
      <c r="F2" s="163">
        <v>44229</v>
      </c>
      <c r="G2" s="163">
        <v>44258</v>
      </c>
      <c r="H2" s="163">
        <v>44290</v>
      </c>
      <c r="I2" s="163">
        <v>44321</v>
      </c>
      <c r="J2" s="163">
        <v>44353</v>
      </c>
      <c r="K2" s="163">
        <v>44384</v>
      </c>
      <c r="L2" s="163">
        <v>44416</v>
      </c>
      <c r="M2" s="163">
        <v>44448</v>
      </c>
      <c r="N2" s="163">
        <v>44479</v>
      </c>
      <c r="O2" s="163">
        <v>44511</v>
      </c>
      <c r="P2" s="163">
        <v>44542</v>
      </c>
      <c r="Q2" s="163" t="s">
        <v>2</v>
      </c>
      <c r="R2" s="163">
        <v>44562</v>
      </c>
      <c r="S2" s="163">
        <v>44593</v>
      </c>
      <c r="T2" s="163">
        <v>44621</v>
      </c>
      <c r="U2" s="163">
        <v>44652</v>
      </c>
      <c r="V2" s="163">
        <v>44682</v>
      </c>
      <c r="W2" s="163">
        <v>44713</v>
      </c>
      <c r="X2" s="163">
        <v>44743</v>
      </c>
      <c r="Y2" s="163">
        <v>44774</v>
      </c>
      <c r="Z2" s="163">
        <v>44805</v>
      </c>
      <c r="AA2" s="163">
        <v>44835</v>
      </c>
      <c r="AB2" s="163">
        <v>44866</v>
      </c>
      <c r="AC2" s="163">
        <v>44896</v>
      </c>
      <c r="AD2" s="163" t="s">
        <v>3</v>
      </c>
      <c r="AE2" s="163">
        <v>44927</v>
      </c>
      <c r="AF2" s="163">
        <v>44958</v>
      </c>
      <c r="AG2" s="163">
        <v>44986</v>
      </c>
      <c r="AH2" s="163">
        <v>45017</v>
      </c>
      <c r="AI2" s="163">
        <v>45047</v>
      </c>
      <c r="AJ2" s="163">
        <v>45078</v>
      </c>
      <c r="AK2" s="163">
        <v>45108</v>
      </c>
      <c r="AL2" s="163">
        <v>45139</v>
      </c>
      <c r="AM2" s="163">
        <v>45170</v>
      </c>
      <c r="AN2" s="163">
        <v>45200</v>
      </c>
      <c r="AO2" s="163">
        <v>45231</v>
      </c>
      <c r="AP2" s="163">
        <v>45261</v>
      </c>
      <c r="AQ2" s="163">
        <v>45292</v>
      </c>
    </row>
    <row r="3" spans="1:43" x14ac:dyDescent="0.3">
      <c r="A3" s="40">
        <v>1</v>
      </c>
      <c r="B3" s="40" t="s">
        <v>206</v>
      </c>
      <c r="C3" s="40"/>
      <c r="D3" s="40"/>
      <c r="E3" s="40"/>
      <c r="F3" s="75"/>
      <c r="G3" s="75"/>
      <c r="H3" s="75"/>
      <c r="I3" s="75"/>
      <c r="J3" s="7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3">
      <c r="A4" s="40">
        <v>2</v>
      </c>
      <c r="B4" s="40" t="s">
        <v>27</v>
      </c>
      <c r="C4" s="68">
        <f>'Evolutive SFP'!B27</f>
        <v>151015729</v>
      </c>
      <c r="D4" s="68">
        <f>'Evolutive SFP'!C27</f>
        <v>773058894</v>
      </c>
      <c r="E4" s="68">
        <f>'Evolutive SFP'!D27</f>
        <v>779557496</v>
      </c>
      <c r="F4" s="68">
        <f>'Evolutive SFP'!E27</f>
        <v>796286363</v>
      </c>
      <c r="G4" s="68">
        <f>'Evolutive SFP'!F27</f>
        <v>762959082</v>
      </c>
      <c r="H4" s="68">
        <f>'Evolutive SFP'!G27</f>
        <v>738601284</v>
      </c>
      <c r="I4" s="68">
        <f>'Evolutive SFP'!H27</f>
        <v>698059045</v>
      </c>
      <c r="J4" s="68">
        <f>'Evolutive SFP'!I27</f>
        <v>697109865.41999996</v>
      </c>
      <c r="K4" s="68">
        <f>'Evolutive SFP'!J27</f>
        <v>692119715</v>
      </c>
      <c r="L4" s="68">
        <f>'Evolutive SFP'!K27</f>
        <v>692854608</v>
      </c>
      <c r="M4" s="68">
        <f>'Evolutive SFP'!L27</f>
        <v>700925070</v>
      </c>
      <c r="N4" s="68">
        <f>'Evolutive SFP'!M27</f>
        <v>825596822</v>
      </c>
      <c r="O4" s="68">
        <f>'Evolutive SFP'!N27</f>
        <v>785363888</v>
      </c>
      <c r="P4" s="68">
        <f>'Evolutive SFP'!O27</f>
        <v>769434802</v>
      </c>
      <c r="Q4" s="68">
        <f>'Evolutive SFP'!P27</f>
        <v>768849005</v>
      </c>
      <c r="R4" s="68">
        <f>'Evolutive SFP'!Q27</f>
        <v>779428209</v>
      </c>
      <c r="S4" s="68">
        <f>'Evolutive SFP'!R27</f>
        <v>782374151</v>
      </c>
      <c r="T4" s="68">
        <f>'Evolutive SFP'!S27</f>
        <v>777663107</v>
      </c>
      <c r="U4" s="68">
        <f>'Evolutive SFP'!T27</f>
        <v>812140668</v>
      </c>
      <c r="V4" s="68">
        <f>'Evolutive SFP'!U27</f>
        <v>817383593</v>
      </c>
      <c r="W4" s="68">
        <f>'Evolutive SFP'!V27</f>
        <v>813020667</v>
      </c>
      <c r="X4" s="68">
        <f>'Evolutive SFP'!W27</f>
        <v>987395378</v>
      </c>
      <c r="Y4" s="68">
        <f>'Evolutive SFP'!X27</f>
        <v>954650525</v>
      </c>
      <c r="Z4" s="68">
        <f>'Evolutive SFP'!Y27</f>
        <v>922808351</v>
      </c>
      <c r="AA4" s="68">
        <f>'Evolutive SFP'!Z27</f>
        <v>908537119</v>
      </c>
      <c r="AB4" s="68">
        <f>'Evolutive SFP'!AA27</f>
        <v>901980260</v>
      </c>
      <c r="AC4" s="68">
        <f>'Evolutive SFP'!AB27</f>
        <v>895553220</v>
      </c>
      <c r="AD4" s="68">
        <f>'Evolutive SFP'!AC27</f>
        <v>902893814</v>
      </c>
      <c r="AE4" s="68">
        <f>'Evolutive SFP'!AD27</f>
        <v>904245257</v>
      </c>
      <c r="AF4" s="68">
        <f>'Evolutive SFP'!AE27</f>
        <v>909688422</v>
      </c>
      <c r="AG4" s="68">
        <f>'Evolutive SFP'!AF27</f>
        <v>919523421</v>
      </c>
      <c r="AH4" s="68">
        <f>'Evolutive SFP'!AG27</f>
        <v>902383045</v>
      </c>
      <c r="AI4" s="68">
        <f>'Evolutive SFP'!AH27</f>
        <v>912354948</v>
      </c>
      <c r="AJ4" s="68">
        <f>'Evolutive SFP'!AI27</f>
        <v>940638888</v>
      </c>
      <c r="AK4" s="68">
        <f>'Evolutive SFP'!AJ27</f>
        <v>0</v>
      </c>
      <c r="AL4" s="68">
        <f>'Evolutive SFP'!AK27</f>
        <v>0</v>
      </c>
      <c r="AM4" s="68">
        <f>'Evolutive SFP'!AL27</f>
        <v>0</v>
      </c>
      <c r="AN4" s="68">
        <f>'Evolutive SFP'!AM27</f>
        <v>0</v>
      </c>
      <c r="AO4" s="68">
        <f>'Evolutive SFP'!AN27</f>
        <v>0</v>
      </c>
      <c r="AP4" s="68">
        <f>'Evolutive SFP'!AO27</f>
        <v>0</v>
      </c>
      <c r="AQ4" s="68">
        <f>'Evolutive SFP'!AP27</f>
        <v>0</v>
      </c>
    </row>
    <row r="5" spans="1:43" x14ac:dyDescent="0.3">
      <c r="A5" s="40">
        <v>3</v>
      </c>
      <c r="B5" s="40" t="s">
        <v>131</v>
      </c>
      <c r="C5" s="68">
        <f>'Evolutive SFP'!B31</f>
        <v>128604214</v>
      </c>
      <c r="D5" s="68">
        <f>'Evolutive SFP'!C31</f>
        <v>417162829</v>
      </c>
      <c r="E5" s="68">
        <f>'Evolutive SFP'!D31</f>
        <v>441673465</v>
      </c>
      <c r="F5" s="68">
        <f>'Evolutive SFP'!E31</f>
        <v>449060862</v>
      </c>
      <c r="G5" s="68">
        <f>'Evolutive SFP'!F31</f>
        <v>397767081</v>
      </c>
      <c r="H5" s="68">
        <f>'Evolutive SFP'!G31</f>
        <v>344326629</v>
      </c>
      <c r="I5" s="68">
        <f>'Evolutive SFP'!H31</f>
        <v>315479643</v>
      </c>
      <c r="J5" s="68">
        <f>'Evolutive SFP'!I31</f>
        <v>312957758</v>
      </c>
      <c r="K5" s="68">
        <f>'Evolutive SFP'!J31</f>
        <v>306088442</v>
      </c>
      <c r="L5" s="68">
        <f>'Evolutive SFP'!K31</f>
        <v>311043338</v>
      </c>
      <c r="M5" s="68">
        <f>'Evolutive SFP'!L31</f>
        <v>307897528</v>
      </c>
      <c r="N5" s="68">
        <f>'Evolutive SFP'!M31</f>
        <v>409638706</v>
      </c>
      <c r="O5" s="68">
        <f>'Evolutive SFP'!N31</f>
        <v>372517753</v>
      </c>
      <c r="P5" s="68">
        <f>'Evolutive SFP'!O31</f>
        <v>360996431</v>
      </c>
      <c r="Q5" s="68">
        <f>'Evolutive SFP'!P31</f>
        <v>357230710</v>
      </c>
      <c r="R5" s="68">
        <f>'Evolutive SFP'!Q31</f>
        <v>359113332</v>
      </c>
      <c r="S5" s="68">
        <f>'Evolutive SFP'!R31</f>
        <v>358915268</v>
      </c>
      <c r="T5" s="68">
        <f>'Evolutive SFP'!S31</f>
        <v>352618865</v>
      </c>
      <c r="U5" s="68">
        <f>'Evolutive SFP'!T31</f>
        <v>372686297</v>
      </c>
      <c r="V5" s="68">
        <f>'Evolutive SFP'!U31</f>
        <v>364429764</v>
      </c>
      <c r="W5" s="68">
        <f>'Evolutive SFP'!V31</f>
        <v>360237815</v>
      </c>
      <c r="X5" s="68">
        <f>'Evolutive SFP'!W31</f>
        <v>509335228</v>
      </c>
      <c r="Y5" s="68">
        <f>'Evolutive SFP'!X31</f>
        <v>466689681</v>
      </c>
      <c r="Z5" s="68">
        <f>'Evolutive SFP'!Y31</f>
        <v>441843277</v>
      </c>
      <c r="AA5" s="68">
        <f>'Evolutive SFP'!Z31</f>
        <v>424809857</v>
      </c>
      <c r="AB5" s="68">
        <f>'Evolutive SFP'!AA31</f>
        <v>423899616</v>
      </c>
      <c r="AC5" s="68">
        <f>'Evolutive SFP'!AB31</f>
        <v>410180339</v>
      </c>
      <c r="AD5" s="68">
        <f>'Evolutive SFP'!AC31</f>
        <v>410191266</v>
      </c>
      <c r="AE5" s="68">
        <f>'Evolutive SFP'!AD31</f>
        <v>422259950</v>
      </c>
      <c r="AF5" s="68">
        <f>'Evolutive SFP'!AE31</f>
        <v>422176957</v>
      </c>
      <c r="AG5" s="68">
        <f>'Evolutive SFP'!AF31</f>
        <v>431815306</v>
      </c>
      <c r="AH5" s="68">
        <f>'Evolutive SFP'!AG31</f>
        <v>425396147</v>
      </c>
      <c r="AI5" s="68">
        <f>'Evolutive SFP'!AH31</f>
        <v>416087072</v>
      </c>
      <c r="AJ5" s="68">
        <f>'Evolutive SFP'!AI31</f>
        <v>423744135</v>
      </c>
      <c r="AK5" s="68">
        <f>'Evolutive SFP'!AJ31</f>
        <v>0</v>
      </c>
      <c r="AL5" s="68">
        <f>'Evolutive SFP'!AK31</f>
        <v>0</v>
      </c>
      <c r="AM5" s="68">
        <f>'Evolutive SFP'!AL31</f>
        <v>0</v>
      </c>
      <c r="AN5" s="68">
        <f>'Evolutive SFP'!AM31</f>
        <v>0</v>
      </c>
      <c r="AO5" s="68">
        <f>'Evolutive SFP'!AN31</f>
        <v>0</v>
      </c>
      <c r="AP5" s="68">
        <f>'Evolutive SFP'!AO31</f>
        <v>0</v>
      </c>
      <c r="AQ5" s="68">
        <f>'Evolutive SFP'!AP31</f>
        <v>0</v>
      </c>
    </row>
    <row r="6" spans="1:43" x14ac:dyDescent="0.3">
      <c r="A6" s="40">
        <v>3.1</v>
      </c>
      <c r="B6" s="41" t="s">
        <v>219</v>
      </c>
      <c r="C6" s="68">
        <f>'Evolutive SFP'!B30</f>
        <v>112140909</v>
      </c>
      <c r="D6" s="68">
        <f>'Evolutive SFP'!C30</f>
        <v>0</v>
      </c>
      <c r="E6" s="68">
        <f>'Evolutive SFP'!D30</f>
        <v>202175362</v>
      </c>
      <c r="F6" s="68">
        <f>'Evolutive SFP'!E30</f>
        <v>212892161</v>
      </c>
      <c r="G6" s="68">
        <f>'Evolutive SFP'!F30</f>
        <v>210439250</v>
      </c>
      <c r="H6" s="68">
        <f>'Evolutive SFP'!G30</f>
        <v>214664550</v>
      </c>
      <c r="I6" s="68">
        <f>'Evolutive SFP'!H30</f>
        <v>218244629</v>
      </c>
      <c r="J6" s="68">
        <f>'Evolutive SFP'!I30</f>
        <v>223052827</v>
      </c>
      <c r="K6" s="68">
        <f>'Evolutive SFP'!J30</f>
        <v>226286299</v>
      </c>
      <c r="L6" s="68">
        <f>'Evolutive SFP'!K30</f>
        <v>226395385</v>
      </c>
      <c r="M6" s="68">
        <f>'Evolutive SFP'!L30</f>
        <v>221262473</v>
      </c>
      <c r="N6" s="68">
        <f>'Evolutive SFP'!M30</f>
        <v>224452536</v>
      </c>
      <c r="O6" s="68">
        <f>'Evolutive SFP'!N30</f>
        <v>231484607</v>
      </c>
      <c r="P6" s="68">
        <f>'Evolutive SFP'!O30</f>
        <v>236671325</v>
      </c>
      <c r="Q6" s="68">
        <f>'Evolutive SFP'!P30</f>
        <v>236671325</v>
      </c>
      <c r="R6" s="68">
        <f>'Evolutive SFP'!Q30</f>
        <v>240688808</v>
      </c>
      <c r="S6" s="68">
        <f>'Evolutive SFP'!R30</f>
        <v>242681313</v>
      </c>
      <c r="T6" s="68">
        <f>'Evolutive SFP'!S30</f>
        <v>245274436</v>
      </c>
      <c r="U6" s="68">
        <f>'Evolutive SFP'!T30</f>
        <v>249945160</v>
      </c>
      <c r="V6" s="68">
        <f>'Evolutive SFP'!U30</f>
        <v>253770648</v>
      </c>
      <c r="W6" s="68">
        <f>'Evolutive SFP'!V30</f>
        <v>256399465</v>
      </c>
      <c r="X6" s="68">
        <f>'Evolutive SFP'!W30</f>
        <v>260667240</v>
      </c>
      <c r="Y6" s="68">
        <f>'Evolutive SFP'!X30</f>
        <v>263479539</v>
      </c>
      <c r="Z6" s="68">
        <f>'Evolutive SFP'!Y30</f>
        <v>266728664</v>
      </c>
      <c r="AA6" s="68">
        <f>'Evolutive SFP'!Z30</f>
        <v>268829096</v>
      </c>
      <c r="AB6" s="68">
        <f>'Evolutive SFP'!AA30</f>
        <v>271197041</v>
      </c>
      <c r="AC6" s="68">
        <f>'Evolutive SFP'!AB30</f>
        <v>274173279</v>
      </c>
      <c r="AD6" s="68">
        <f>'Evolutive SFP'!AC30</f>
        <v>274173279</v>
      </c>
      <c r="AE6" s="68">
        <f>'Evolutive SFP'!AD30</f>
        <v>279485749</v>
      </c>
      <c r="AF6" s="68">
        <f>'Evolutive SFP'!AE30</f>
        <v>283197560</v>
      </c>
      <c r="AG6" s="68">
        <f>'Evolutive SFP'!AF30</f>
        <v>286982955</v>
      </c>
      <c r="AH6" s="68">
        <f>'Evolutive SFP'!AG30</f>
        <v>289770963</v>
      </c>
      <c r="AI6" s="68">
        <f>'Evolutive SFP'!AH30</f>
        <v>289770963</v>
      </c>
      <c r="AJ6" s="68">
        <f>'Evolutive SFP'!AI30</f>
        <v>295543488</v>
      </c>
      <c r="AK6" s="68">
        <f>'Evolutive SFP'!AJ30</f>
        <v>0</v>
      </c>
      <c r="AL6" s="68">
        <f>'Evolutive SFP'!AK30</f>
        <v>0</v>
      </c>
      <c r="AM6" s="68">
        <f>'Evolutive SFP'!AL30</f>
        <v>0</v>
      </c>
      <c r="AN6" s="68">
        <f>'Evolutive SFP'!AM30</f>
        <v>0</v>
      </c>
      <c r="AO6" s="68">
        <f>'Evolutive SFP'!AN30</f>
        <v>0</v>
      </c>
      <c r="AP6" s="68">
        <f>'Evolutive SFP'!AO30</f>
        <v>0</v>
      </c>
      <c r="AQ6" s="68">
        <f>'Evolutive SFP'!AP30</f>
        <v>0</v>
      </c>
    </row>
    <row r="7" spans="1:43" x14ac:dyDescent="0.3">
      <c r="A7" s="40">
        <v>3.2</v>
      </c>
      <c r="B7" s="41" t="s">
        <v>220</v>
      </c>
      <c r="C7" s="68">
        <f>('Evolutive SFP'!B28+'Evolutive SFP'!B29)</f>
        <v>16463305</v>
      </c>
      <c r="D7" s="68">
        <f>('Evolutive SFP'!C28+'Evolutive SFP'!C29)</f>
        <v>417162829</v>
      </c>
      <c r="E7" s="68">
        <f>('Evolutive SFP'!D28+'Evolutive SFP'!D29)</f>
        <v>239498103</v>
      </c>
      <c r="F7" s="68">
        <f>('Evolutive SFP'!E28+'Evolutive SFP'!E29)</f>
        <v>236168701</v>
      </c>
      <c r="G7" s="68">
        <f>('Evolutive SFP'!F28+'Evolutive SFP'!F29)</f>
        <v>187327831</v>
      </c>
      <c r="H7" s="68">
        <f>('Evolutive SFP'!G28+'Evolutive SFP'!G29)</f>
        <v>129662079</v>
      </c>
      <c r="I7" s="68">
        <f>('Evolutive SFP'!H28+'Evolutive SFP'!H29)</f>
        <v>97235014</v>
      </c>
      <c r="J7" s="68">
        <f>('Evolutive SFP'!I28+'Evolutive SFP'!I29)</f>
        <v>89904931</v>
      </c>
      <c r="K7" s="68">
        <f>('Evolutive SFP'!J28+'Evolutive SFP'!J29)</f>
        <v>79802143</v>
      </c>
      <c r="L7" s="68">
        <f>('Evolutive SFP'!K28+'Evolutive SFP'!K29)</f>
        <v>84647953</v>
      </c>
      <c r="M7" s="68">
        <f>('Evolutive SFP'!L28+'Evolutive SFP'!L29)</f>
        <v>86635055</v>
      </c>
      <c r="N7" s="68">
        <f>('Evolutive SFP'!M28+'Evolutive SFP'!M29)</f>
        <v>185186170</v>
      </c>
      <c r="O7" s="68">
        <f>('Evolutive SFP'!N28+'Evolutive SFP'!N29)</f>
        <v>141033146</v>
      </c>
      <c r="P7" s="68">
        <f>('Evolutive SFP'!O28+'Evolutive SFP'!O29)</f>
        <v>124325106</v>
      </c>
      <c r="Q7" s="68">
        <f>('Evolutive SFP'!P28+'Evolutive SFP'!P29)</f>
        <v>120559385</v>
      </c>
      <c r="R7" s="68">
        <f>('Evolutive SFP'!Q28+'Evolutive SFP'!Q29)</f>
        <v>118424524</v>
      </c>
      <c r="S7" s="68">
        <f>('Evolutive SFP'!R28+'Evolutive SFP'!R29)</f>
        <v>116233955</v>
      </c>
      <c r="T7" s="68">
        <f>('Evolutive SFP'!S28+'Evolutive SFP'!S29)</f>
        <v>107344429</v>
      </c>
      <c r="U7" s="68">
        <f>('Evolutive SFP'!T28+'Evolutive SFP'!T29)</f>
        <v>122741137</v>
      </c>
      <c r="V7" s="68">
        <f>('Evolutive SFP'!U28+'Evolutive SFP'!U29)</f>
        <v>110659116</v>
      </c>
      <c r="W7" s="68">
        <f>('Evolutive SFP'!V28+'Evolutive SFP'!V29)</f>
        <v>103838350</v>
      </c>
      <c r="X7" s="68">
        <f>('Evolutive SFP'!W28+'Evolutive SFP'!W29)</f>
        <v>248667988</v>
      </c>
      <c r="Y7" s="68">
        <f>('Evolutive SFP'!X28+'Evolutive SFP'!X29)</f>
        <v>203210142</v>
      </c>
      <c r="Z7" s="68">
        <f>('Evolutive SFP'!Y28+'Evolutive SFP'!Y29)</f>
        <v>175114613</v>
      </c>
      <c r="AA7" s="68">
        <f>('Evolutive SFP'!Z28+'Evolutive SFP'!Z29)</f>
        <v>155980761</v>
      </c>
      <c r="AB7" s="68">
        <f>('Evolutive SFP'!AA28+'Evolutive SFP'!AA29)</f>
        <v>152702575</v>
      </c>
      <c r="AC7" s="68">
        <f>('Evolutive SFP'!AB28+'Evolutive SFP'!AB29)</f>
        <v>136007060</v>
      </c>
      <c r="AD7" s="68">
        <f>('Evolutive SFP'!AC28+'Evolutive SFP'!AC29)</f>
        <v>136017987</v>
      </c>
      <c r="AE7" s="68">
        <f>('Evolutive SFP'!AD28+'Evolutive SFP'!AD29)</f>
        <v>142774201</v>
      </c>
      <c r="AF7" s="68">
        <f>('Evolutive SFP'!AE28+'Evolutive SFP'!AE29)</f>
        <v>138979397</v>
      </c>
      <c r="AG7" s="68">
        <f>('Evolutive SFP'!AF28+'Evolutive SFP'!AF29)</f>
        <v>144832351</v>
      </c>
      <c r="AH7" s="68">
        <f>('Evolutive SFP'!AG28+'Evolutive SFP'!AG29)</f>
        <v>135625184</v>
      </c>
      <c r="AI7" s="68">
        <f>('Evolutive SFP'!AH28+'Evolutive SFP'!AH29)</f>
        <v>126316109</v>
      </c>
      <c r="AJ7" s="68">
        <f>('Evolutive SFP'!AI28+'Evolutive SFP'!AI29)</f>
        <v>128200647</v>
      </c>
      <c r="AK7" s="68">
        <f>('Evolutive SFP'!AJ28+'Evolutive SFP'!AJ29)</f>
        <v>0</v>
      </c>
      <c r="AL7" s="68">
        <f>('Evolutive SFP'!AK28+'Evolutive SFP'!AK29)</f>
        <v>0</v>
      </c>
      <c r="AM7" s="68">
        <f>('Evolutive SFP'!AL28+'Evolutive SFP'!AL29)</f>
        <v>0</v>
      </c>
      <c r="AN7" s="68">
        <f>('Evolutive SFP'!AM28+'Evolutive SFP'!AM29)</f>
        <v>0</v>
      </c>
      <c r="AO7" s="68">
        <f>('Evolutive SFP'!AN28+'Evolutive SFP'!AN29)</f>
        <v>0</v>
      </c>
      <c r="AP7" s="68">
        <f>('Evolutive SFP'!AO28+'Evolutive SFP'!AO29)</f>
        <v>0</v>
      </c>
      <c r="AQ7" s="68">
        <f>('Evolutive SFP'!AP28+'Evolutive SFP'!AP29)</f>
        <v>0</v>
      </c>
    </row>
    <row r="8" spans="1:43" x14ac:dyDescent="0.3">
      <c r="A8" s="40">
        <v>4</v>
      </c>
      <c r="B8" s="40" t="s">
        <v>140</v>
      </c>
      <c r="C8" s="68">
        <f>'Evolutive SFP'!B37</f>
        <v>2291669</v>
      </c>
      <c r="D8" s="68">
        <f>'Evolutive SFP'!C37</f>
        <v>0</v>
      </c>
      <c r="E8" s="68">
        <f>'Evolutive SFP'!D37</f>
        <v>0</v>
      </c>
      <c r="F8" s="68">
        <f>'Evolutive SFP'!E37</f>
        <v>0</v>
      </c>
      <c r="G8" s="68">
        <f>'Evolutive SFP'!F37</f>
        <v>0</v>
      </c>
      <c r="H8" s="68">
        <f>'Evolutive SFP'!G37</f>
        <v>0</v>
      </c>
      <c r="I8" s="68">
        <f>'Evolutive SFP'!H37</f>
        <v>0</v>
      </c>
      <c r="J8" s="68">
        <f>'Evolutive SFP'!I37</f>
        <v>0</v>
      </c>
      <c r="K8" s="68">
        <f>'Evolutive SFP'!J37</f>
        <v>0</v>
      </c>
      <c r="L8" s="68">
        <f>'Evolutive SFP'!K37</f>
        <v>0</v>
      </c>
      <c r="M8" s="68">
        <f>'Evolutive SFP'!L37</f>
        <v>0</v>
      </c>
      <c r="N8" s="68">
        <f>'Evolutive SFP'!M37</f>
        <v>0</v>
      </c>
      <c r="O8" s="68">
        <f>'Evolutive SFP'!N37</f>
        <v>0</v>
      </c>
      <c r="P8" s="68">
        <f>'Evolutive SFP'!O37</f>
        <v>0</v>
      </c>
      <c r="Q8" s="68">
        <f>'Evolutive SFP'!P37</f>
        <v>0</v>
      </c>
      <c r="R8" s="68">
        <f>'Evolutive SFP'!Q37</f>
        <v>0</v>
      </c>
      <c r="S8" s="68">
        <f>'Evolutive SFP'!R37</f>
        <v>0</v>
      </c>
      <c r="T8" s="68">
        <f>'Evolutive SFP'!S37</f>
        <v>0</v>
      </c>
      <c r="U8" s="68">
        <f>'Evolutive SFP'!T37</f>
        <v>0</v>
      </c>
      <c r="V8" s="68">
        <f>'Evolutive SFP'!U37</f>
        <v>0</v>
      </c>
      <c r="W8" s="68">
        <f>'Evolutive SFP'!V37</f>
        <v>0</v>
      </c>
      <c r="X8" s="68">
        <f>'Evolutive SFP'!W37</f>
        <v>0</v>
      </c>
      <c r="Y8" s="68">
        <f>'Evolutive SFP'!X37</f>
        <v>0</v>
      </c>
      <c r="Z8" s="68">
        <f>'Evolutive SFP'!Y37</f>
        <v>0</v>
      </c>
      <c r="AA8" s="68">
        <f>'Evolutive SFP'!Z37</f>
        <v>0</v>
      </c>
      <c r="AB8" s="68">
        <f>'Evolutive SFP'!AA37</f>
        <v>0</v>
      </c>
      <c r="AC8" s="68">
        <f>'Evolutive SFP'!AB37</f>
        <v>0</v>
      </c>
      <c r="AD8" s="68">
        <f>'Evolutive SFP'!AC37</f>
        <v>0</v>
      </c>
      <c r="AE8" s="68">
        <f>'Evolutive SFP'!AD37</f>
        <v>0</v>
      </c>
      <c r="AF8" s="68">
        <f>'Evolutive SFP'!AE37</f>
        <v>0</v>
      </c>
      <c r="AG8" s="68">
        <f>'Evolutive SFP'!AF37</f>
        <v>0</v>
      </c>
      <c r="AH8" s="68">
        <f>'Evolutive SFP'!AG37</f>
        <v>0</v>
      </c>
      <c r="AI8" s="68">
        <f>'Evolutive SFP'!AH37</f>
        <v>0</v>
      </c>
      <c r="AJ8" s="68">
        <f>'Evolutive SFP'!AI37</f>
        <v>0</v>
      </c>
      <c r="AK8" s="68">
        <f>'Evolutive SFP'!AJ37</f>
        <v>0</v>
      </c>
      <c r="AL8" s="68">
        <f>'Evolutive SFP'!AK37</f>
        <v>0</v>
      </c>
      <c r="AM8" s="68">
        <f>'Evolutive SFP'!AL37</f>
        <v>0</v>
      </c>
      <c r="AN8" s="68">
        <f>'Evolutive SFP'!AM37</f>
        <v>0</v>
      </c>
      <c r="AO8" s="68">
        <f>'Evolutive SFP'!AN37</f>
        <v>0</v>
      </c>
      <c r="AP8" s="68">
        <f>'Evolutive SFP'!AO37</f>
        <v>0</v>
      </c>
      <c r="AQ8" s="68">
        <f>'Evolutive SFP'!AP37</f>
        <v>0</v>
      </c>
    </row>
    <row r="9" spans="1:43" x14ac:dyDescent="0.3">
      <c r="A9" s="40"/>
      <c r="B9" s="40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</row>
    <row r="10" spans="1:43" x14ac:dyDescent="0.3">
      <c r="A10" s="42">
        <v>5</v>
      </c>
      <c r="B10" s="38" t="s">
        <v>221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</row>
    <row r="11" spans="1:43" s="33" customFormat="1" x14ac:dyDescent="0.3">
      <c r="A11" s="50">
        <v>5.0999999999999996</v>
      </c>
      <c r="B11" s="38" t="s">
        <v>133</v>
      </c>
      <c r="C11" s="69">
        <f t="shared" ref="C11:I11" si="0">C14-C22-C25</f>
        <v>14446887</v>
      </c>
      <c r="D11" s="69">
        <f t="shared" si="0"/>
        <v>322334806</v>
      </c>
      <c r="E11" s="69">
        <f t="shared" si="0"/>
        <v>301492301</v>
      </c>
      <c r="F11" s="69">
        <f t="shared" si="0"/>
        <v>300972514</v>
      </c>
      <c r="G11" s="69">
        <f t="shared" si="0"/>
        <v>305106759</v>
      </c>
      <c r="H11" s="69">
        <f t="shared" si="0"/>
        <v>317045521</v>
      </c>
      <c r="I11" s="69">
        <f t="shared" si="0"/>
        <v>260626528</v>
      </c>
      <c r="J11" s="69">
        <f t="shared" ref="J11:O11" si="1">J14-J22</f>
        <v>347775300.11000001</v>
      </c>
      <c r="K11" s="69">
        <f t="shared" si="1"/>
        <v>345645409</v>
      </c>
      <c r="L11" s="69">
        <f t="shared" si="1"/>
        <v>346425406</v>
      </c>
      <c r="M11" s="69">
        <f t="shared" si="1"/>
        <v>357467270</v>
      </c>
      <c r="N11" s="69">
        <f t="shared" si="1"/>
        <v>362251991</v>
      </c>
      <c r="O11" s="69">
        <f t="shared" si="1"/>
        <v>368250123</v>
      </c>
      <c r="P11" s="69">
        <f t="shared" ref="P11:Q11" si="2">P14-P22</f>
        <v>353559520</v>
      </c>
      <c r="Q11" s="69">
        <f t="shared" si="2"/>
        <v>353091533</v>
      </c>
      <c r="R11" s="69">
        <f t="shared" ref="R11:S11" si="3">R14-R22</f>
        <v>361185634</v>
      </c>
      <c r="S11" s="69">
        <f t="shared" si="3"/>
        <v>364978763</v>
      </c>
      <c r="T11" s="69">
        <f t="shared" ref="T11:X11" si="4">T14-T22</f>
        <v>370817108</v>
      </c>
      <c r="U11" s="69">
        <f t="shared" si="4"/>
        <v>379280859</v>
      </c>
      <c r="V11" s="69">
        <f t="shared" si="4"/>
        <v>388885318</v>
      </c>
      <c r="W11" s="69">
        <f t="shared" si="4"/>
        <v>397201210</v>
      </c>
      <c r="X11" s="69">
        <f t="shared" si="4"/>
        <v>416670622</v>
      </c>
      <c r="Y11" s="69">
        <f t="shared" ref="Y11:AA11" si="5">Y14-Y22</f>
        <v>412990005</v>
      </c>
      <c r="Z11" s="69">
        <f t="shared" si="5"/>
        <v>417074380</v>
      </c>
      <c r="AA11" s="69">
        <f t="shared" si="5"/>
        <v>418895040</v>
      </c>
      <c r="AB11" s="69">
        <f t="shared" ref="AB11:AC11" si="6">AB14-AB22</f>
        <v>413398777</v>
      </c>
      <c r="AC11" s="69">
        <f t="shared" si="6"/>
        <v>418718307</v>
      </c>
      <c r="AD11" s="69">
        <f t="shared" ref="AD11:AF11" si="7">AD14-AD22</f>
        <v>405970904</v>
      </c>
      <c r="AE11" s="69">
        <f t="shared" si="7"/>
        <v>417901152.04000002</v>
      </c>
      <c r="AF11" s="69">
        <f t="shared" si="7"/>
        <v>424662490</v>
      </c>
      <c r="AG11" s="69">
        <f t="shared" ref="AG11:AQ11" si="8">AG14-AG22</f>
        <v>424412918</v>
      </c>
      <c r="AH11" s="69">
        <f t="shared" si="8"/>
        <v>414954428</v>
      </c>
      <c r="AI11" s="69">
        <f t="shared" si="8"/>
        <v>424430739</v>
      </c>
      <c r="AJ11" s="69">
        <f t="shared" si="8"/>
        <v>438059366</v>
      </c>
      <c r="AK11" s="69">
        <f t="shared" si="8"/>
        <v>0</v>
      </c>
      <c r="AL11" s="69">
        <f t="shared" si="8"/>
        <v>0</v>
      </c>
      <c r="AM11" s="69">
        <f t="shared" si="8"/>
        <v>0</v>
      </c>
      <c r="AN11" s="69">
        <f t="shared" si="8"/>
        <v>0</v>
      </c>
      <c r="AO11" s="69">
        <f t="shared" si="8"/>
        <v>0</v>
      </c>
      <c r="AP11" s="69">
        <f t="shared" si="8"/>
        <v>0</v>
      </c>
      <c r="AQ11" s="69">
        <f t="shared" si="8"/>
        <v>0</v>
      </c>
    </row>
    <row r="12" spans="1:43" s="33" customFormat="1" x14ac:dyDescent="0.3">
      <c r="A12" s="50">
        <v>5.2</v>
      </c>
      <c r="B12" s="38" t="s">
        <v>222</v>
      </c>
      <c r="C12" s="69">
        <f>C11-C15</f>
        <v>3952190</v>
      </c>
      <c r="D12" s="69">
        <f>D11-D15</f>
        <v>235443728</v>
      </c>
      <c r="E12" s="69">
        <f>E11-E15</f>
        <v>214482006</v>
      </c>
      <c r="F12" s="69">
        <f>F11-F15</f>
        <v>213318644</v>
      </c>
      <c r="G12" s="69">
        <f t="shared" ref="G12:N12" si="9">G11-G15</f>
        <v>217121005</v>
      </c>
      <c r="H12" s="69">
        <f>H11-H15</f>
        <v>228714565</v>
      </c>
      <c r="I12" s="69">
        <f>I11-I15</f>
        <v>200302488</v>
      </c>
      <c r="J12" s="69">
        <f t="shared" si="9"/>
        <v>258641772.42000002</v>
      </c>
      <c r="K12" s="69">
        <f t="shared" si="9"/>
        <v>255392868</v>
      </c>
      <c r="L12" s="69">
        <f t="shared" si="9"/>
        <v>256172865</v>
      </c>
      <c r="M12" s="69">
        <f t="shared" si="9"/>
        <v>258647860</v>
      </c>
      <c r="N12" s="69">
        <f t="shared" si="9"/>
        <v>262536626</v>
      </c>
      <c r="O12" s="69">
        <f t="shared" ref="O12:Q12" si="10">O11-O15</f>
        <v>267553616</v>
      </c>
      <c r="P12" s="69">
        <f t="shared" si="10"/>
        <v>250456268</v>
      </c>
      <c r="Q12" s="69">
        <f t="shared" si="10"/>
        <v>249988281</v>
      </c>
      <c r="R12" s="69">
        <f t="shared" ref="R12:S12" si="11">R11-R15</f>
        <v>255325419</v>
      </c>
      <c r="S12" s="69">
        <f t="shared" si="11"/>
        <v>259118549</v>
      </c>
      <c r="T12" s="69">
        <f t="shared" ref="T12:X12" si="12">T11-T15</f>
        <v>264821651</v>
      </c>
      <c r="U12" s="69">
        <f t="shared" si="12"/>
        <v>270099078</v>
      </c>
      <c r="V12" s="69">
        <f t="shared" si="12"/>
        <v>277929675</v>
      </c>
      <c r="W12" s="69">
        <f t="shared" si="12"/>
        <v>284537990</v>
      </c>
      <c r="X12" s="69">
        <f t="shared" si="12"/>
        <v>299852944</v>
      </c>
      <c r="Y12" s="69">
        <f t="shared" ref="Y12:AA12" si="13">Y11-Y15</f>
        <v>294940654</v>
      </c>
      <c r="Z12" s="69">
        <f t="shared" si="13"/>
        <v>297661390</v>
      </c>
      <c r="AA12" s="69">
        <f t="shared" si="13"/>
        <v>298073349</v>
      </c>
      <c r="AB12" s="69">
        <f t="shared" ref="AB12:AC12" si="14">AB11-AB15</f>
        <v>291114033</v>
      </c>
      <c r="AC12" s="69">
        <f t="shared" si="14"/>
        <v>294791006</v>
      </c>
      <c r="AD12" s="69">
        <f t="shared" ref="AD12:AF12" si="15">AD11-AD15</f>
        <v>281419093</v>
      </c>
      <c r="AE12" s="69">
        <f t="shared" si="15"/>
        <v>292001389.04000002</v>
      </c>
      <c r="AF12" s="69">
        <f t="shared" si="15"/>
        <v>295752983</v>
      </c>
      <c r="AG12" s="69">
        <f t="shared" ref="AG12:AQ12" si="16">AG11-AG15</f>
        <v>292920634</v>
      </c>
      <c r="AH12" s="69">
        <f t="shared" si="16"/>
        <v>282061646</v>
      </c>
      <c r="AI12" s="69">
        <f t="shared" si="16"/>
        <v>289970958</v>
      </c>
      <c r="AJ12" s="69">
        <f t="shared" si="16"/>
        <v>301535504</v>
      </c>
      <c r="AK12" s="69">
        <f t="shared" si="16"/>
        <v>0</v>
      </c>
      <c r="AL12" s="69">
        <f t="shared" si="16"/>
        <v>0</v>
      </c>
      <c r="AM12" s="69">
        <f t="shared" si="16"/>
        <v>0</v>
      </c>
      <c r="AN12" s="69">
        <f t="shared" si="16"/>
        <v>0</v>
      </c>
      <c r="AO12" s="69">
        <f t="shared" si="16"/>
        <v>0</v>
      </c>
      <c r="AP12" s="69">
        <f t="shared" si="16"/>
        <v>0</v>
      </c>
      <c r="AQ12" s="69">
        <f t="shared" si="16"/>
        <v>0</v>
      </c>
    </row>
    <row r="13" spans="1:43" x14ac:dyDescent="0.3">
      <c r="A13" s="42"/>
      <c r="B13" s="3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</row>
    <row r="14" spans="1:43" s="33" customFormat="1" x14ac:dyDescent="0.3">
      <c r="A14" s="50">
        <v>5.3</v>
      </c>
      <c r="B14" s="38" t="s">
        <v>223</v>
      </c>
      <c r="C14" s="69">
        <f>C15+C16+C17+C18+C19+C20+C21</f>
        <v>14919147</v>
      </c>
      <c r="D14" s="69">
        <f>D15+D16+D17+D18+D19+D20+D21</f>
        <v>322384806</v>
      </c>
      <c r="E14" s="69">
        <f>E15+E16+E17+E18+E19+E20+E21</f>
        <v>320185901</v>
      </c>
      <c r="F14" s="69">
        <f>F15+F16+F17+F18+F19+F20+F21</f>
        <v>319666114</v>
      </c>
      <c r="G14" s="69">
        <f t="shared" ref="G14:N14" si="17">G15+G16+G17+G18+G19+G20+G21</f>
        <v>323800359</v>
      </c>
      <c r="H14" s="69">
        <f>H15+H16+H17+H18+H19+H20+H21</f>
        <v>335739121</v>
      </c>
      <c r="I14" s="69">
        <f>I15+I16+I17+I18+I19+I20+I21</f>
        <v>279320128</v>
      </c>
      <c r="J14" s="69">
        <f t="shared" si="17"/>
        <v>347775300.11000001</v>
      </c>
      <c r="K14" s="69">
        <f t="shared" si="17"/>
        <v>345645409</v>
      </c>
      <c r="L14" s="69">
        <f t="shared" si="17"/>
        <v>346425406</v>
      </c>
      <c r="M14" s="69">
        <f t="shared" si="17"/>
        <v>357467270</v>
      </c>
      <c r="N14" s="69">
        <f t="shared" si="17"/>
        <v>362251991</v>
      </c>
      <c r="O14" s="69">
        <f t="shared" ref="O14:Q14" si="18">O15+O16+O17+O18+O19+O20+O21</f>
        <v>368250123</v>
      </c>
      <c r="P14" s="69">
        <f t="shared" si="18"/>
        <v>353559520</v>
      </c>
      <c r="Q14" s="69">
        <f t="shared" si="18"/>
        <v>353091533</v>
      </c>
      <c r="R14" s="69">
        <f t="shared" ref="R14:S14" si="19">R15+R16+R17+R18+R19+R20+R21</f>
        <v>361185634</v>
      </c>
      <c r="S14" s="69">
        <f t="shared" si="19"/>
        <v>364978763</v>
      </c>
      <c r="T14" s="69">
        <f t="shared" ref="T14:X14" si="20">T15+T16+T17+T18+T19+T20+T21</f>
        <v>370817108</v>
      </c>
      <c r="U14" s="69">
        <f t="shared" si="20"/>
        <v>379280859</v>
      </c>
      <c r="V14" s="69">
        <f t="shared" si="20"/>
        <v>388885318</v>
      </c>
      <c r="W14" s="69">
        <f t="shared" si="20"/>
        <v>397201210</v>
      </c>
      <c r="X14" s="69">
        <f t="shared" si="20"/>
        <v>416670622</v>
      </c>
      <c r="Y14" s="69">
        <f t="shared" ref="Y14:AA14" si="21">Y15+Y16+Y17+Y18+Y19+Y20+Y21</f>
        <v>412990005</v>
      </c>
      <c r="Z14" s="69">
        <f t="shared" si="21"/>
        <v>417074380</v>
      </c>
      <c r="AA14" s="69">
        <f t="shared" si="21"/>
        <v>418895040</v>
      </c>
      <c r="AB14" s="69">
        <f t="shared" ref="AB14:AC14" si="22">AB15+AB16+AB17+AB18+AB19+AB20+AB21</f>
        <v>413398777</v>
      </c>
      <c r="AC14" s="69">
        <f t="shared" si="22"/>
        <v>418718307</v>
      </c>
      <c r="AD14" s="69">
        <f t="shared" ref="AD14:AF14" si="23">AD15+AD16+AD17+AD18+AD19+AD20+AD21</f>
        <v>405970904</v>
      </c>
      <c r="AE14" s="69">
        <f t="shared" si="23"/>
        <v>417901152.04000002</v>
      </c>
      <c r="AF14" s="69">
        <f t="shared" si="23"/>
        <v>424662490</v>
      </c>
      <c r="AG14" s="69">
        <f t="shared" ref="AG14:AQ14" si="24">AG15+AG16+AG17+AG18+AG19+AG20+AG21</f>
        <v>424412918</v>
      </c>
      <c r="AH14" s="69">
        <f t="shared" si="24"/>
        <v>414954428</v>
      </c>
      <c r="AI14" s="69">
        <f t="shared" si="24"/>
        <v>424430739</v>
      </c>
      <c r="AJ14" s="69">
        <f t="shared" si="24"/>
        <v>438059366</v>
      </c>
      <c r="AK14" s="69">
        <f t="shared" si="24"/>
        <v>0</v>
      </c>
      <c r="AL14" s="69">
        <f t="shared" si="24"/>
        <v>0</v>
      </c>
      <c r="AM14" s="69">
        <f t="shared" si="24"/>
        <v>0</v>
      </c>
      <c r="AN14" s="69">
        <f t="shared" si="24"/>
        <v>0</v>
      </c>
      <c r="AO14" s="69">
        <f t="shared" si="24"/>
        <v>0</v>
      </c>
      <c r="AP14" s="69">
        <f t="shared" si="24"/>
        <v>0</v>
      </c>
      <c r="AQ14" s="69">
        <f t="shared" si="24"/>
        <v>0</v>
      </c>
    </row>
    <row r="15" spans="1:43" x14ac:dyDescent="0.3">
      <c r="A15" s="42" t="s">
        <v>224</v>
      </c>
      <c r="B15" s="43" t="s">
        <v>225</v>
      </c>
      <c r="C15" s="68">
        <f>'Evolutive SFP'!B39</f>
        <v>10494697</v>
      </c>
      <c r="D15" s="68">
        <f>'Evolutive SFP'!C39</f>
        <v>86891078</v>
      </c>
      <c r="E15" s="68">
        <f>'Evolutive SFP'!D39</f>
        <v>87010295</v>
      </c>
      <c r="F15" s="68">
        <f>'Evolutive SFP'!E39</f>
        <v>87653870</v>
      </c>
      <c r="G15" s="68">
        <f>'Evolutive SFP'!F39</f>
        <v>87985754</v>
      </c>
      <c r="H15" s="68">
        <f>'Evolutive SFP'!G39</f>
        <v>88330956</v>
      </c>
      <c r="I15" s="68">
        <f>'Evolutive SFP'!H39</f>
        <v>60324040</v>
      </c>
      <c r="J15" s="68">
        <f>'Evolutive SFP'!I39</f>
        <v>89133527.689999998</v>
      </c>
      <c r="K15" s="68">
        <f>'Evolutive SFP'!J39</f>
        <v>90252541</v>
      </c>
      <c r="L15" s="68">
        <f>'Evolutive SFP'!K39</f>
        <v>90252541</v>
      </c>
      <c r="M15" s="68">
        <f>'Evolutive SFP'!L39</f>
        <v>98819410</v>
      </c>
      <c r="N15" s="68">
        <f>'Evolutive SFP'!M39</f>
        <v>99715365</v>
      </c>
      <c r="O15" s="68">
        <f>'Evolutive SFP'!N39</f>
        <v>100696507</v>
      </c>
      <c r="P15" s="68">
        <f>'Evolutive SFP'!O39</f>
        <v>103103252</v>
      </c>
      <c r="Q15" s="68">
        <f>'Evolutive SFP'!P39</f>
        <v>103103252</v>
      </c>
      <c r="R15" s="68">
        <f>'Evolutive SFP'!Q39</f>
        <v>105860215</v>
      </c>
      <c r="S15" s="68">
        <f>'Evolutive SFP'!R39</f>
        <v>105860214</v>
      </c>
      <c r="T15" s="68">
        <f>'Evolutive SFP'!S39</f>
        <v>105995457</v>
      </c>
      <c r="U15" s="68">
        <f>'Evolutive SFP'!T39</f>
        <v>109181781</v>
      </c>
      <c r="V15" s="68">
        <f>'Evolutive SFP'!U39</f>
        <v>110955643</v>
      </c>
      <c r="W15" s="68">
        <f>'Evolutive SFP'!V39</f>
        <v>112663220</v>
      </c>
      <c r="X15" s="68">
        <f>'Evolutive SFP'!W39</f>
        <v>116817678</v>
      </c>
      <c r="Y15" s="68">
        <f>'Evolutive SFP'!X39</f>
        <v>118049351</v>
      </c>
      <c r="Z15" s="68">
        <f>'Evolutive SFP'!Y39</f>
        <v>119412990</v>
      </c>
      <c r="AA15" s="68">
        <f>'Evolutive SFP'!Z39</f>
        <v>120821691</v>
      </c>
      <c r="AB15" s="68">
        <f>'Evolutive SFP'!AA39</f>
        <v>122284744</v>
      </c>
      <c r="AC15" s="68">
        <f>'Evolutive SFP'!AB39</f>
        <v>123927301</v>
      </c>
      <c r="AD15" s="68">
        <f>'Evolutive SFP'!AC39</f>
        <v>124551811</v>
      </c>
      <c r="AE15" s="68">
        <f>'Evolutive SFP'!AD39</f>
        <v>125899763</v>
      </c>
      <c r="AF15" s="68">
        <f>'Evolutive SFP'!AE39</f>
        <v>128909507</v>
      </c>
      <c r="AG15" s="68">
        <f>'Evolutive SFP'!AF39</f>
        <v>131492284</v>
      </c>
      <c r="AH15" s="68">
        <f>'Evolutive SFP'!AG39</f>
        <v>132892782</v>
      </c>
      <c r="AI15" s="68">
        <f>'Evolutive SFP'!AH39</f>
        <v>134459781</v>
      </c>
      <c r="AJ15" s="68">
        <f>'Evolutive SFP'!AI39</f>
        <v>136523862</v>
      </c>
      <c r="AK15" s="68">
        <f>'Evolutive SFP'!AJ39</f>
        <v>0</v>
      </c>
      <c r="AL15" s="68">
        <f>'Evolutive SFP'!AK39</f>
        <v>0</v>
      </c>
      <c r="AM15" s="68">
        <f>'Evolutive SFP'!AL39</f>
        <v>0</v>
      </c>
      <c r="AN15" s="68">
        <f>'Evolutive SFP'!AM39</f>
        <v>0</v>
      </c>
      <c r="AO15" s="68">
        <f>'Evolutive SFP'!AN39</f>
        <v>0</v>
      </c>
      <c r="AP15" s="68">
        <f>'Evolutive SFP'!AO39</f>
        <v>0</v>
      </c>
      <c r="AQ15" s="68">
        <f>'Evolutive SFP'!AP39</f>
        <v>0</v>
      </c>
    </row>
    <row r="16" spans="1:43" x14ac:dyDescent="0.3">
      <c r="A16" s="42" t="s">
        <v>226</v>
      </c>
      <c r="B16" s="44" t="s">
        <v>227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</row>
    <row r="17" spans="1:43" x14ac:dyDescent="0.3">
      <c r="A17" s="42" t="s">
        <v>228</v>
      </c>
      <c r="B17" s="41" t="s">
        <v>229</v>
      </c>
      <c r="C17" s="68">
        <f>'Evolutive SFP'!B41</f>
        <v>351220</v>
      </c>
      <c r="D17" s="68">
        <f>'Evolutive SFP'!C41</f>
        <v>149736730</v>
      </c>
      <c r="E17" s="68">
        <f>'Evolutive SFP'!D41</f>
        <v>168025282</v>
      </c>
      <c r="F17" s="68">
        <f>'Evolutive SFP'!E41</f>
        <v>168025282</v>
      </c>
      <c r="G17" s="68">
        <f>'Evolutive SFP'!F41</f>
        <v>167455625</v>
      </c>
      <c r="H17" s="68">
        <f>'Evolutive SFP'!G41</f>
        <v>175717378</v>
      </c>
      <c r="I17" s="68">
        <f>'Evolutive SFP'!H41</f>
        <v>149736730</v>
      </c>
      <c r="J17" s="68">
        <f>'Evolutive SFP'!I41</f>
        <v>175717378</v>
      </c>
      <c r="K17" s="68">
        <f>'Evolutive SFP'!J41</f>
        <v>175717378</v>
      </c>
      <c r="L17" s="68">
        <f>'Evolutive SFP'!K41</f>
        <v>175717378</v>
      </c>
      <c r="M17" s="68">
        <f>'Evolutive SFP'!L41</f>
        <v>175717378</v>
      </c>
      <c r="N17" s="68">
        <f>'Evolutive SFP'!M41</f>
        <v>175717378</v>
      </c>
      <c r="O17" s="68">
        <f>'Evolutive SFP'!N41</f>
        <v>175717378</v>
      </c>
      <c r="P17" s="68">
        <f>'Evolutive SFP'!O41</f>
        <v>175717378</v>
      </c>
      <c r="Q17" s="68">
        <f>'Evolutive SFP'!P41</f>
        <v>175717378</v>
      </c>
      <c r="R17" s="68">
        <f>'Evolutive SFP'!Q41</f>
        <v>186259393</v>
      </c>
      <c r="S17" s="68">
        <f>'Evolutive SFP'!R41</f>
        <v>186301045</v>
      </c>
      <c r="T17" s="68">
        <f>'Evolutive SFP'!S41</f>
        <v>186301045</v>
      </c>
      <c r="U17" s="68">
        <f>'Evolutive SFP'!T41</f>
        <v>186301045</v>
      </c>
      <c r="V17" s="68">
        <f>'Evolutive SFP'!U41</f>
        <v>186301045</v>
      </c>
      <c r="W17" s="68">
        <f>'Evolutive SFP'!V41</f>
        <v>186301045</v>
      </c>
      <c r="X17" s="68">
        <f>'Evolutive SFP'!W41</f>
        <v>186301045</v>
      </c>
      <c r="Y17" s="68">
        <f>'Evolutive SFP'!X41</f>
        <v>186301045</v>
      </c>
      <c r="Z17" s="68">
        <f>'Evolutive SFP'!Y41</f>
        <v>186301045</v>
      </c>
      <c r="AA17" s="68">
        <f>'Evolutive SFP'!Z41</f>
        <v>186301045</v>
      </c>
      <c r="AB17" s="68">
        <f>'Evolutive SFP'!AA41</f>
        <v>186301045</v>
      </c>
      <c r="AC17" s="68">
        <f>'Evolutive SFP'!AB41</f>
        <v>186301045</v>
      </c>
      <c r="AD17" s="68">
        <f>'Evolutive SFP'!AC41</f>
        <v>186301045</v>
      </c>
      <c r="AE17" s="68">
        <f>'Evolutive SFP'!AD41</f>
        <v>208992711.83000001</v>
      </c>
      <c r="AF17" s="68">
        <f>'Evolutive SFP'!AE41</f>
        <v>208992712</v>
      </c>
      <c r="AG17" s="68">
        <f>'Evolutive SFP'!AF41</f>
        <v>209795207</v>
      </c>
      <c r="AH17" s="68">
        <f>'Evolutive SFP'!AG41</f>
        <v>208992712</v>
      </c>
      <c r="AI17" s="68">
        <f>'Evolutive SFP'!AH41</f>
        <v>208992712</v>
      </c>
      <c r="AJ17" s="68">
        <f>'Evolutive SFP'!AI41</f>
        <v>209795207</v>
      </c>
      <c r="AK17" s="68">
        <f>'Evolutive SFP'!AJ41</f>
        <v>0</v>
      </c>
      <c r="AL17" s="68">
        <f>'Evolutive SFP'!AK41</f>
        <v>0</v>
      </c>
      <c r="AM17" s="68">
        <f>'Evolutive SFP'!AL41</f>
        <v>0</v>
      </c>
      <c r="AN17" s="68">
        <f>'Evolutive SFP'!AM41</f>
        <v>0</v>
      </c>
      <c r="AO17" s="68">
        <f>'Evolutive SFP'!AN41</f>
        <v>0</v>
      </c>
      <c r="AP17" s="68">
        <f>'Evolutive SFP'!AO41</f>
        <v>0</v>
      </c>
      <c r="AQ17" s="68">
        <f>'Evolutive SFP'!AP41</f>
        <v>0</v>
      </c>
    </row>
    <row r="18" spans="1:43" x14ac:dyDescent="0.3">
      <c r="A18" s="42" t="s">
        <v>230</v>
      </c>
      <c r="B18" s="41" t="s">
        <v>231</v>
      </c>
      <c r="C18" s="68">
        <f>'Evolutive SFP'!B42</f>
        <v>3541956</v>
      </c>
      <c r="D18" s="68">
        <f>'Evolutive SFP'!C42</f>
        <v>25980648</v>
      </c>
      <c r="E18" s="68">
        <f>'Evolutive SFP'!D42</f>
        <v>5865490</v>
      </c>
      <c r="F18" s="68">
        <f>'Evolutive SFP'!E42</f>
        <v>4702128</v>
      </c>
      <c r="G18" s="68">
        <f>'Evolutive SFP'!F42</f>
        <v>9216560</v>
      </c>
      <c r="H18" s="68">
        <f>'Evolutive SFP'!G42</f>
        <v>11914437</v>
      </c>
      <c r="I18" s="68">
        <f>'Evolutive SFP'!H42</f>
        <v>16818170</v>
      </c>
      <c r="J18" s="68">
        <f>'Evolutive SFP'!I42</f>
        <v>23148044.420000002</v>
      </c>
      <c r="K18" s="68">
        <f>'Evolutive SFP'!J42</f>
        <v>19899140</v>
      </c>
      <c r="L18" s="68">
        <f>'Evolutive SFP'!K42</f>
        <v>20679137</v>
      </c>
      <c r="M18" s="68">
        <f>'Evolutive SFP'!L42</f>
        <v>23154132</v>
      </c>
      <c r="N18" s="68">
        <f>'Evolutive SFP'!M42</f>
        <v>27042898</v>
      </c>
      <c r="O18" s="68">
        <f>'Evolutive SFP'!N42</f>
        <v>32059888</v>
      </c>
      <c r="P18" s="68">
        <f>'Evolutive SFP'!O42</f>
        <v>14962540</v>
      </c>
      <c r="Q18" s="68">
        <f>'Evolutive SFP'!P42</f>
        <v>10583667</v>
      </c>
      <c r="R18" s="68">
        <f>'Evolutive SFP'!Q42</f>
        <v>5344203</v>
      </c>
      <c r="S18" s="68">
        <f>'Evolutive SFP'!R42</f>
        <v>9130268</v>
      </c>
      <c r="T18" s="68">
        <f>'Evolutive SFP'!S42</f>
        <v>14833370</v>
      </c>
      <c r="U18" s="68">
        <f>'Evolutive SFP'!T42</f>
        <v>20110797</v>
      </c>
      <c r="V18" s="68">
        <f>'Evolutive SFP'!U42</f>
        <v>27941394</v>
      </c>
      <c r="W18" s="68">
        <f>'Evolutive SFP'!V42</f>
        <v>34549709</v>
      </c>
      <c r="X18" s="68">
        <f>'Evolutive SFP'!W42</f>
        <v>49864663</v>
      </c>
      <c r="Y18" s="68">
        <f>'Evolutive SFP'!X42</f>
        <v>44952373</v>
      </c>
      <c r="Z18" s="68">
        <f>'Evolutive SFP'!Y42</f>
        <v>47673109</v>
      </c>
      <c r="AA18" s="68">
        <f>'Evolutive SFP'!Z42</f>
        <v>48085068</v>
      </c>
      <c r="AB18" s="68">
        <f>'Evolutive SFP'!AA42</f>
        <v>41125752</v>
      </c>
      <c r="AC18" s="68">
        <f>'Evolutive SFP'!AB42</f>
        <v>44802725</v>
      </c>
      <c r="AD18" s="68">
        <f>'Evolutive SFP'!AC42</f>
        <v>23494162</v>
      </c>
      <c r="AE18" s="68">
        <f>'Evolutive SFP'!AD42</f>
        <v>11631964</v>
      </c>
      <c r="AF18" s="68">
        <f>'Evolutive SFP'!AE42</f>
        <v>15383558</v>
      </c>
      <c r="AG18" s="68">
        <f>'Evolutive SFP'!AF42</f>
        <v>11501541</v>
      </c>
      <c r="AH18" s="68">
        <f>'Evolutive SFP'!AG42</f>
        <v>1692221</v>
      </c>
      <c r="AI18" s="68">
        <f>'Evolutive SFP'!AH42</f>
        <v>9601533</v>
      </c>
      <c r="AJ18" s="68">
        <f>'Evolutive SFP'!AI42</f>
        <v>20116411</v>
      </c>
      <c r="AK18" s="68">
        <f>'Evolutive SFP'!AJ42</f>
        <v>0</v>
      </c>
      <c r="AL18" s="68">
        <f>'Evolutive SFP'!AK42</f>
        <v>0</v>
      </c>
      <c r="AM18" s="68">
        <f>'Evolutive SFP'!AL42</f>
        <v>0</v>
      </c>
      <c r="AN18" s="68">
        <f>'Evolutive SFP'!AM42</f>
        <v>0</v>
      </c>
      <c r="AO18" s="68">
        <f>'Evolutive SFP'!AN42</f>
        <v>0</v>
      </c>
      <c r="AP18" s="68">
        <f>'Evolutive SFP'!AO42</f>
        <v>0</v>
      </c>
      <c r="AQ18" s="68">
        <f>'Evolutive SFP'!AP42</f>
        <v>0</v>
      </c>
    </row>
    <row r="19" spans="1:43" x14ac:dyDescent="0.3">
      <c r="A19" s="42" t="s">
        <v>232</v>
      </c>
      <c r="B19" s="41" t="s">
        <v>43</v>
      </c>
      <c r="C19" s="68">
        <f>'Evolutive SFP'!B43</f>
        <v>531274</v>
      </c>
      <c r="D19" s="68">
        <f>'Evolutive SFP'!C43</f>
        <v>59776350</v>
      </c>
      <c r="E19" s="68">
        <f>'Evolutive SFP'!D43</f>
        <v>59284834</v>
      </c>
      <c r="F19" s="68">
        <f>'Evolutive SFP'!E43</f>
        <v>59284834</v>
      </c>
      <c r="G19" s="68">
        <f>'Evolutive SFP'!F43</f>
        <v>59142420</v>
      </c>
      <c r="H19" s="68">
        <f>'Evolutive SFP'!G43</f>
        <v>59776350</v>
      </c>
      <c r="I19" s="68">
        <f>'Evolutive SFP'!H43</f>
        <v>52441188</v>
      </c>
      <c r="J19" s="68">
        <f>'Evolutive SFP'!I43</f>
        <v>59776350</v>
      </c>
      <c r="K19" s="68">
        <f>'Evolutive SFP'!J43</f>
        <v>59776350</v>
      </c>
      <c r="L19" s="68">
        <f>'Evolutive SFP'!K43</f>
        <v>59776350</v>
      </c>
      <c r="M19" s="68">
        <f>'Evolutive SFP'!L43</f>
        <v>59776350</v>
      </c>
      <c r="N19" s="68">
        <f>'Evolutive SFP'!M43</f>
        <v>59776350</v>
      </c>
      <c r="O19" s="68">
        <f>'Evolutive SFP'!N43</f>
        <v>59776350</v>
      </c>
      <c r="P19" s="68">
        <f>'Evolutive SFP'!O43</f>
        <v>59776350</v>
      </c>
      <c r="Q19" s="68">
        <f>'Evolutive SFP'!P43</f>
        <v>63687236</v>
      </c>
      <c r="R19" s="68">
        <f>'Evolutive SFP'!Q43</f>
        <v>63721823</v>
      </c>
      <c r="S19" s="68">
        <f>'Evolutive SFP'!R43</f>
        <v>63687236</v>
      </c>
      <c r="T19" s="68">
        <f>'Evolutive SFP'!S43</f>
        <v>63687236</v>
      </c>
      <c r="U19" s="68">
        <f>'Evolutive SFP'!T43</f>
        <v>63687236</v>
      </c>
      <c r="V19" s="68">
        <f>'Evolutive SFP'!U43</f>
        <v>63687236</v>
      </c>
      <c r="W19" s="68">
        <f>'Evolutive SFP'!V43</f>
        <v>63687236</v>
      </c>
      <c r="X19" s="68">
        <f>'Evolutive SFP'!W43</f>
        <v>63687236</v>
      </c>
      <c r="Y19" s="68">
        <f>'Evolutive SFP'!X43</f>
        <v>63687236</v>
      </c>
      <c r="Z19" s="68">
        <f>'Evolutive SFP'!Y43</f>
        <v>63687236</v>
      </c>
      <c r="AA19" s="68">
        <f>'Evolutive SFP'!Z43</f>
        <v>63687236</v>
      </c>
      <c r="AB19" s="68">
        <f>'Evolutive SFP'!AA43</f>
        <v>63687236</v>
      </c>
      <c r="AC19" s="68">
        <f>'Evolutive SFP'!AB43</f>
        <v>63687236</v>
      </c>
      <c r="AD19" s="68">
        <f>'Evolutive SFP'!AC43</f>
        <v>71623886</v>
      </c>
      <c r="AE19" s="68">
        <f>'Evolutive SFP'!AD43</f>
        <v>71376713.209999993</v>
      </c>
      <c r="AF19" s="68">
        <f>'Evolutive SFP'!AE43</f>
        <v>71376713</v>
      </c>
      <c r="AG19" s="68">
        <f>'Evolutive SFP'!AF43</f>
        <v>71623886</v>
      </c>
      <c r="AH19" s="68">
        <f>'Evolutive SFP'!AG43</f>
        <v>71376713</v>
      </c>
      <c r="AI19" s="68">
        <f>'Evolutive SFP'!AH43</f>
        <v>71376713</v>
      </c>
      <c r="AJ19" s="68">
        <f>'Evolutive SFP'!AI43</f>
        <v>71623886</v>
      </c>
      <c r="AK19" s="68">
        <f>'Evolutive SFP'!AJ43</f>
        <v>0</v>
      </c>
      <c r="AL19" s="68">
        <f>'Evolutive SFP'!AK43</f>
        <v>0</v>
      </c>
      <c r="AM19" s="68">
        <f>'Evolutive SFP'!AL43</f>
        <v>0</v>
      </c>
      <c r="AN19" s="68">
        <f>'Evolutive SFP'!AM43</f>
        <v>0</v>
      </c>
      <c r="AO19" s="68">
        <f>'Evolutive SFP'!AN43</f>
        <v>0</v>
      </c>
      <c r="AP19" s="68">
        <f>'Evolutive SFP'!AO43</f>
        <v>0</v>
      </c>
      <c r="AQ19" s="68">
        <f>'Evolutive SFP'!AP43</f>
        <v>0</v>
      </c>
    </row>
    <row r="20" spans="1:43" x14ac:dyDescent="0.3">
      <c r="A20" s="42" t="s">
        <v>233</v>
      </c>
      <c r="B20" s="41" t="s">
        <v>234</v>
      </c>
      <c r="C20" s="68">
        <f>('Evolutive SFP'!B44)</f>
        <v>0</v>
      </c>
      <c r="D20" s="68">
        <f>('Evolutive SFP'!C44)</f>
        <v>0</v>
      </c>
      <c r="E20" s="68">
        <f>('Evolutive SFP'!D44)</f>
        <v>0</v>
      </c>
      <c r="F20" s="68">
        <f>('Evolutive SFP'!E44)</f>
        <v>0</v>
      </c>
      <c r="G20" s="68">
        <f>('Evolutive SFP'!F44)</f>
        <v>0</v>
      </c>
      <c r="H20" s="68">
        <f>('Evolutive SFP'!G44)</f>
        <v>0</v>
      </c>
      <c r="I20" s="68">
        <f>('Evolutive SFP'!H44)</f>
        <v>0</v>
      </c>
      <c r="J20" s="68">
        <f>('Evolutive SFP'!I44)</f>
        <v>0</v>
      </c>
      <c r="K20" s="68">
        <f>('Evolutive SFP'!J44)</f>
        <v>0</v>
      </c>
      <c r="L20" s="68">
        <f>('Evolutive SFP'!K44)</f>
        <v>0</v>
      </c>
      <c r="M20" s="68">
        <f>('Evolutive SFP'!L44)</f>
        <v>0</v>
      </c>
      <c r="N20" s="68">
        <f>('Evolutive SFP'!M44)</f>
        <v>0</v>
      </c>
      <c r="O20" s="68">
        <f>('Evolutive SFP'!N44)</f>
        <v>0</v>
      </c>
      <c r="P20" s="68">
        <f>('Evolutive SFP'!O44)</f>
        <v>0</v>
      </c>
      <c r="Q20" s="68">
        <f>('Evolutive SFP'!P44)</f>
        <v>0</v>
      </c>
      <c r="R20" s="68">
        <f>('Evolutive SFP'!Q44)</f>
        <v>0</v>
      </c>
      <c r="S20" s="68">
        <f>('Evolutive SFP'!R44)</f>
        <v>0</v>
      </c>
      <c r="T20" s="68">
        <f>('Evolutive SFP'!S44)</f>
        <v>0</v>
      </c>
      <c r="U20" s="68">
        <f>('Evolutive SFP'!T44)</f>
        <v>0</v>
      </c>
      <c r="V20" s="68">
        <f>('Evolutive SFP'!U44)</f>
        <v>0</v>
      </c>
      <c r="W20" s="68">
        <f>('Evolutive SFP'!V44)</f>
        <v>0</v>
      </c>
      <c r="X20" s="68">
        <f>('Evolutive SFP'!W44)</f>
        <v>0</v>
      </c>
      <c r="Y20" s="68">
        <f>('Evolutive SFP'!X44)</f>
        <v>0</v>
      </c>
      <c r="Z20" s="68">
        <f>('Evolutive SFP'!Y44)</f>
        <v>0</v>
      </c>
      <c r="AA20" s="68">
        <f>('Evolutive SFP'!Z44)</f>
        <v>0</v>
      </c>
      <c r="AB20" s="68">
        <f>('Evolutive SFP'!AA44)</f>
        <v>0</v>
      </c>
      <c r="AC20" s="68">
        <f>('Evolutive SFP'!AB44)</f>
        <v>0</v>
      </c>
      <c r="AD20" s="68">
        <f>('Evolutive SFP'!AC44)</f>
        <v>0</v>
      </c>
      <c r="AE20" s="68">
        <f>('Evolutive SFP'!AD44)</f>
        <v>0</v>
      </c>
      <c r="AF20" s="68">
        <f>('Evolutive SFP'!AE44)</f>
        <v>0</v>
      </c>
      <c r="AG20" s="68">
        <f>('Evolutive SFP'!AF44)</f>
        <v>0</v>
      </c>
      <c r="AH20" s="68">
        <f>('Evolutive SFP'!AG44)</f>
        <v>0</v>
      </c>
      <c r="AI20" s="68">
        <f>('Evolutive SFP'!AH44)</f>
        <v>0</v>
      </c>
      <c r="AJ20" s="68">
        <f>('Evolutive SFP'!AI44)</f>
        <v>0</v>
      </c>
      <c r="AK20" s="68">
        <f>('Evolutive SFP'!AJ44)</f>
        <v>0</v>
      </c>
      <c r="AL20" s="68">
        <f>('Evolutive SFP'!AK44)</f>
        <v>0</v>
      </c>
      <c r="AM20" s="68">
        <f>('Evolutive SFP'!AL44)</f>
        <v>0</v>
      </c>
      <c r="AN20" s="68">
        <f>('Evolutive SFP'!AM44)</f>
        <v>0</v>
      </c>
      <c r="AO20" s="68">
        <f>('Evolutive SFP'!AN44)</f>
        <v>0</v>
      </c>
      <c r="AP20" s="68">
        <f>('Evolutive SFP'!AO44)</f>
        <v>0</v>
      </c>
      <c r="AQ20" s="68">
        <f>('Evolutive SFP'!AP44)</f>
        <v>0</v>
      </c>
    </row>
    <row r="21" spans="1:43" x14ac:dyDescent="0.3">
      <c r="A21" s="42" t="s">
        <v>235</v>
      </c>
      <c r="B21" s="45" t="s">
        <v>236</v>
      </c>
      <c r="C21" s="68">
        <f>C22+C23</f>
        <v>0</v>
      </c>
      <c r="D21" s="68">
        <f>D22+D23</f>
        <v>0</v>
      </c>
      <c r="E21" s="68">
        <f>E22+E23</f>
        <v>0</v>
      </c>
      <c r="F21" s="68">
        <f>F22+F23</f>
        <v>0</v>
      </c>
      <c r="G21" s="68">
        <f t="shared" ref="G21:N21" si="25">G22+G23</f>
        <v>0</v>
      </c>
      <c r="H21" s="68">
        <f>H22+H23</f>
        <v>0</v>
      </c>
      <c r="I21" s="68">
        <f>I22+I23</f>
        <v>0</v>
      </c>
      <c r="J21" s="68">
        <f t="shared" si="25"/>
        <v>0</v>
      </c>
      <c r="K21" s="68">
        <f t="shared" si="25"/>
        <v>0</v>
      </c>
      <c r="L21" s="68">
        <f t="shared" si="25"/>
        <v>0</v>
      </c>
      <c r="M21" s="68">
        <f t="shared" si="25"/>
        <v>0</v>
      </c>
      <c r="N21" s="68">
        <f t="shared" si="25"/>
        <v>0</v>
      </c>
      <c r="O21" s="68">
        <f t="shared" ref="O21:Q21" si="26">O22+O23</f>
        <v>0</v>
      </c>
      <c r="P21" s="68">
        <f t="shared" si="26"/>
        <v>0</v>
      </c>
      <c r="Q21" s="68">
        <f t="shared" si="26"/>
        <v>0</v>
      </c>
      <c r="R21" s="68">
        <f t="shared" ref="R21:S21" si="27">R22+R23</f>
        <v>0</v>
      </c>
      <c r="S21" s="68">
        <f t="shared" si="27"/>
        <v>0</v>
      </c>
      <c r="T21" s="68">
        <f t="shared" ref="T21:X21" si="28">T22+T23</f>
        <v>0</v>
      </c>
      <c r="U21" s="68">
        <f t="shared" si="28"/>
        <v>0</v>
      </c>
      <c r="V21" s="68">
        <f t="shared" si="28"/>
        <v>0</v>
      </c>
      <c r="W21" s="68">
        <f t="shared" si="28"/>
        <v>0</v>
      </c>
      <c r="X21" s="68">
        <f t="shared" si="28"/>
        <v>0</v>
      </c>
      <c r="Y21" s="68">
        <f t="shared" ref="Y21:AA21" si="29">Y22+Y23</f>
        <v>0</v>
      </c>
      <c r="Z21" s="68">
        <f t="shared" si="29"/>
        <v>0</v>
      </c>
      <c r="AA21" s="68">
        <f t="shared" si="29"/>
        <v>0</v>
      </c>
      <c r="AB21" s="68">
        <f t="shared" ref="AB21:AC21" si="30">AB22+AB23</f>
        <v>0</v>
      </c>
      <c r="AC21" s="68">
        <f t="shared" si="30"/>
        <v>0</v>
      </c>
      <c r="AD21" s="68">
        <f t="shared" ref="AD21:AF21" si="31">AD22+AD23</f>
        <v>0</v>
      </c>
      <c r="AE21" s="68">
        <f t="shared" si="31"/>
        <v>0</v>
      </c>
      <c r="AF21" s="68">
        <f t="shared" si="31"/>
        <v>0</v>
      </c>
      <c r="AG21" s="68">
        <f t="shared" ref="AG21:AQ21" si="32">AG22+AG23</f>
        <v>0</v>
      </c>
      <c r="AH21" s="68">
        <f t="shared" si="32"/>
        <v>0</v>
      </c>
      <c r="AI21" s="68">
        <f t="shared" si="32"/>
        <v>0</v>
      </c>
      <c r="AJ21" s="68">
        <f t="shared" si="32"/>
        <v>0</v>
      </c>
      <c r="AK21" s="68">
        <f t="shared" si="32"/>
        <v>0</v>
      </c>
      <c r="AL21" s="68">
        <f t="shared" si="32"/>
        <v>0</v>
      </c>
      <c r="AM21" s="68">
        <f t="shared" si="32"/>
        <v>0</v>
      </c>
      <c r="AN21" s="68">
        <f t="shared" si="32"/>
        <v>0</v>
      </c>
      <c r="AO21" s="68">
        <f t="shared" si="32"/>
        <v>0</v>
      </c>
      <c r="AP21" s="68">
        <f t="shared" si="32"/>
        <v>0</v>
      </c>
      <c r="AQ21" s="68">
        <f t="shared" si="32"/>
        <v>0</v>
      </c>
    </row>
    <row r="22" spans="1:43" x14ac:dyDescent="0.3">
      <c r="A22" s="46" t="s">
        <v>237</v>
      </c>
      <c r="B22" s="41" t="s">
        <v>46</v>
      </c>
      <c r="C22" s="68">
        <f>'Evolutive SFP'!B46</f>
        <v>0</v>
      </c>
      <c r="D22" s="68">
        <f>'Evolutive SFP'!C46</f>
        <v>0</v>
      </c>
      <c r="E22" s="68">
        <f>'Evolutive SFP'!D46</f>
        <v>0</v>
      </c>
      <c r="F22" s="68">
        <f>'Evolutive SFP'!E46</f>
        <v>0</v>
      </c>
      <c r="G22" s="68">
        <f>'Evolutive SFP'!F46</f>
        <v>0</v>
      </c>
      <c r="H22" s="68">
        <f>'Evolutive SFP'!G46</f>
        <v>0</v>
      </c>
      <c r="I22" s="68">
        <f>'Evolutive SFP'!H46</f>
        <v>0</v>
      </c>
      <c r="J22" s="68">
        <f>'Evolutive SFP'!I46</f>
        <v>0</v>
      </c>
      <c r="K22" s="68">
        <f>'Evolutive SFP'!J46</f>
        <v>0</v>
      </c>
      <c r="L22" s="68">
        <f>'Evolutive SFP'!K46</f>
        <v>0</v>
      </c>
      <c r="M22" s="68">
        <f>'Evolutive SFP'!L46</f>
        <v>0</v>
      </c>
      <c r="N22" s="68">
        <f>'Evolutive SFP'!M46</f>
        <v>0</v>
      </c>
      <c r="O22" s="68">
        <f>'Evolutive SFP'!N46</f>
        <v>0</v>
      </c>
      <c r="P22" s="68">
        <f>'Evolutive SFP'!O46</f>
        <v>0</v>
      </c>
      <c r="Q22" s="68">
        <f>'Evolutive SFP'!P46</f>
        <v>0</v>
      </c>
      <c r="R22" s="68">
        <f>'Evolutive SFP'!Q46</f>
        <v>0</v>
      </c>
      <c r="S22" s="68">
        <f>'Evolutive SFP'!R46</f>
        <v>0</v>
      </c>
      <c r="T22" s="68">
        <f>'Evolutive SFP'!S46</f>
        <v>0</v>
      </c>
      <c r="U22" s="68">
        <f>'Evolutive SFP'!T46</f>
        <v>0</v>
      </c>
      <c r="V22" s="68">
        <f>'Evolutive SFP'!U46</f>
        <v>0</v>
      </c>
      <c r="W22" s="68">
        <f>'Evolutive SFP'!V46</f>
        <v>0</v>
      </c>
      <c r="X22" s="68">
        <f>'Evolutive SFP'!W46</f>
        <v>0</v>
      </c>
      <c r="Y22" s="68">
        <f>'Evolutive SFP'!X46</f>
        <v>0</v>
      </c>
      <c r="Z22" s="68">
        <f>'Evolutive SFP'!Y46</f>
        <v>0</v>
      </c>
      <c r="AA22" s="68">
        <f>'Evolutive SFP'!Z46</f>
        <v>0</v>
      </c>
      <c r="AB22" s="68">
        <f>'Evolutive SFP'!AA46</f>
        <v>0</v>
      </c>
      <c r="AC22" s="68">
        <f>'Evolutive SFP'!AB46</f>
        <v>0</v>
      </c>
      <c r="AD22" s="68">
        <f>'Evolutive SFP'!AC46</f>
        <v>0</v>
      </c>
      <c r="AE22" s="68">
        <f>'Evolutive SFP'!AD46</f>
        <v>0</v>
      </c>
      <c r="AF22" s="68">
        <f>'Evolutive SFP'!AE46</f>
        <v>0</v>
      </c>
      <c r="AG22" s="68">
        <f>'Evolutive SFP'!AF46</f>
        <v>0</v>
      </c>
      <c r="AH22" s="68">
        <f>'Evolutive SFP'!AG46</f>
        <v>0</v>
      </c>
      <c r="AI22" s="68">
        <f>'Evolutive SFP'!AH46</f>
        <v>0</v>
      </c>
      <c r="AJ22" s="68">
        <f>'Evolutive SFP'!AI46</f>
        <v>0</v>
      </c>
      <c r="AK22" s="68">
        <f>'Evolutive SFP'!AJ46</f>
        <v>0</v>
      </c>
      <c r="AL22" s="68">
        <f>'Evolutive SFP'!AK46</f>
        <v>0</v>
      </c>
      <c r="AM22" s="68">
        <f>'Evolutive SFP'!AL46</f>
        <v>0</v>
      </c>
      <c r="AN22" s="68">
        <f>'Evolutive SFP'!AM46</f>
        <v>0</v>
      </c>
      <c r="AO22" s="68">
        <f>'Evolutive SFP'!AN46</f>
        <v>0</v>
      </c>
      <c r="AP22" s="68">
        <f>'Evolutive SFP'!AO46</f>
        <v>0</v>
      </c>
      <c r="AQ22" s="68">
        <f>'Evolutive SFP'!AP46</f>
        <v>0</v>
      </c>
    </row>
    <row r="23" spans="1:43" x14ac:dyDescent="0.3">
      <c r="A23" s="46" t="s">
        <v>238</v>
      </c>
      <c r="B23" s="41" t="s">
        <v>239</v>
      </c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</row>
    <row r="24" spans="1:43" x14ac:dyDescent="0.3">
      <c r="A24" s="40"/>
      <c r="B24" s="47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</row>
    <row r="25" spans="1:43" s="33" customFormat="1" x14ac:dyDescent="0.3">
      <c r="A25" s="50">
        <v>6</v>
      </c>
      <c r="B25" s="45" t="s">
        <v>240</v>
      </c>
      <c r="C25" s="69">
        <f>C26+C27+C28</f>
        <v>472260</v>
      </c>
      <c r="D25" s="69">
        <f>D26+D27+D28</f>
        <v>50000</v>
      </c>
      <c r="E25" s="69">
        <f>E26+E27+E28</f>
        <v>18693600</v>
      </c>
      <c r="F25" s="69">
        <f>F26+F27+F28</f>
        <v>18693600</v>
      </c>
      <c r="G25" s="69">
        <f t="shared" ref="G25:N25" si="33">G26+G27+G28</f>
        <v>18693600</v>
      </c>
      <c r="H25" s="69">
        <f>H26+H27+H28</f>
        <v>18693600</v>
      </c>
      <c r="I25" s="69">
        <f>I26+I27+I28</f>
        <v>18693600</v>
      </c>
      <c r="J25" s="69">
        <f t="shared" si="33"/>
        <v>18693600</v>
      </c>
      <c r="K25" s="69">
        <f t="shared" si="33"/>
        <v>18693600</v>
      </c>
      <c r="L25" s="69">
        <f t="shared" si="33"/>
        <v>18693600</v>
      </c>
      <c r="M25" s="69">
        <f t="shared" si="33"/>
        <v>18693600</v>
      </c>
      <c r="N25" s="69">
        <f t="shared" si="33"/>
        <v>18693600</v>
      </c>
      <c r="O25" s="69">
        <f t="shared" ref="O25:Q25" si="34">O26+O27+O28</f>
        <v>18693600</v>
      </c>
      <c r="P25" s="69">
        <f t="shared" si="34"/>
        <v>19780983</v>
      </c>
      <c r="Q25" s="69">
        <f t="shared" si="34"/>
        <v>50000</v>
      </c>
      <c r="R25" s="69">
        <f t="shared" ref="R25:S25" si="35">R26+R27+R28</f>
        <v>18180983</v>
      </c>
      <c r="S25" s="69">
        <f t="shared" si="35"/>
        <v>18180983</v>
      </c>
      <c r="T25" s="69">
        <f t="shared" ref="T25:X25" si="36">T26+T27+T28</f>
        <v>18180983</v>
      </c>
      <c r="U25" s="69">
        <f t="shared" si="36"/>
        <v>18180983</v>
      </c>
      <c r="V25" s="69">
        <f t="shared" si="36"/>
        <v>18180983</v>
      </c>
      <c r="W25" s="69">
        <f t="shared" si="36"/>
        <v>18180983</v>
      </c>
      <c r="X25" s="69">
        <f t="shared" si="36"/>
        <v>18180983</v>
      </c>
      <c r="Y25" s="69">
        <f t="shared" ref="Y25:AA25" si="37">Y26+Y27+Y28</f>
        <v>18180983</v>
      </c>
      <c r="Z25" s="69">
        <f t="shared" si="37"/>
        <v>18180983</v>
      </c>
      <c r="AA25" s="69">
        <f t="shared" si="37"/>
        <v>18180983</v>
      </c>
      <c r="AB25" s="69">
        <f t="shared" ref="AB25:AC25" si="38">AB26+AB27+AB28</f>
        <v>18180983</v>
      </c>
      <c r="AC25" s="69">
        <f t="shared" si="38"/>
        <v>18180983</v>
      </c>
      <c r="AD25" s="69">
        <f t="shared" ref="AD25:AF25" si="39">AD26+AD27+AD28</f>
        <v>50000</v>
      </c>
      <c r="AE25" s="69">
        <f t="shared" si="39"/>
        <v>16341406</v>
      </c>
      <c r="AF25" s="69">
        <f t="shared" si="39"/>
        <v>16341406</v>
      </c>
      <c r="AG25" s="69">
        <f t="shared" ref="AG25:AQ25" si="40">AG26+AG27+AG28</f>
        <v>16341406</v>
      </c>
      <c r="AH25" s="69">
        <f t="shared" si="40"/>
        <v>21094256</v>
      </c>
      <c r="AI25" s="69">
        <f t="shared" si="40"/>
        <v>22571526</v>
      </c>
      <c r="AJ25" s="69">
        <f t="shared" si="40"/>
        <v>16341406</v>
      </c>
      <c r="AK25" s="69">
        <f t="shared" si="40"/>
        <v>0</v>
      </c>
      <c r="AL25" s="69">
        <f t="shared" si="40"/>
        <v>0</v>
      </c>
      <c r="AM25" s="69">
        <f t="shared" si="40"/>
        <v>0</v>
      </c>
      <c r="AN25" s="69">
        <f t="shared" si="40"/>
        <v>0</v>
      </c>
      <c r="AO25" s="69">
        <f t="shared" si="40"/>
        <v>0</v>
      </c>
      <c r="AP25" s="69">
        <f t="shared" si="40"/>
        <v>0</v>
      </c>
      <c r="AQ25" s="69">
        <f t="shared" si="40"/>
        <v>0</v>
      </c>
    </row>
    <row r="26" spans="1:43" x14ac:dyDescent="0.3">
      <c r="A26" s="42">
        <v>6.1</v>
      </c>
      <c r="B26" s="41" t="s">
        <v>241</v>
      </c>
      <c r="C26" s="68">
        <f>'Evolutive SFP'!B13</f>
        <v>472260</v>
      </c>
      <c r="D26" s="68">
        <f>'Evolutive SFP'!C13</f>
        <v>50000</v>
      </c>
      <c r="E26" s="68">
        <f>'Evolutive SFP'!D13</f>
        <v>4919167</v>
      </c>
      <c r="F26" s="68">
        <f>'Evolutive SFP'!E13</f>
        <v>4919167</v>
      </c>
      <c r="G26" s="68">
        <f>'Evolutive SFP'!F13</f>
        <v>4919167</v>
      </c>
      <c r="H26" s="68">
        <f>'Evolutive SFP'!G13</f>
        <v>4919167</v>
      </c>
      <c r="I26" s="68">
        <f>'Evolutive SFP'!H13</f>
        <v>4919167</v>
      </c>
      <c r="J26" s="68">
        <f>'Evolutive SFP'!I13</f>
        <v>4919167</v>
      </c>
      <c r="K26" s="68">
        <f>'Evolutive SFP'!J13</f>
        <v>4919167</v>
      </c>
      <c r="L26" s="68">
        <f>'Evolutive SFP'!K13</f>
        <v>4919167</v>
      </c>
      <c r="M26" s="68">
        <f>'Evolutive SFP'!L13</f>
        <v>4919167</v>
      </c>
      <c r="N26" s="68">
        <f>'Evolutive SFP'!M13</f>
        <v>4919167</v>
      </c>
      <c r="O26" s="68">
        <f>'Evolutive SFP'!N13</f>
        <v>4919167</v>
      </c>
      <c r="P26" s="68">
        <f>'Evolutive SFP'!O13</f>
        <v>6006550</v>
      </c>
      <c r="Q26" s="68">
        <f>'Evolutive SFP'!P13</f>
        <v>50000</v>
      </c>
      <c r="R26" s="68">
        <f>'Evolutive SFP'!Q13</f>
        <v>4406550</v>
      </c>
      <c r="S26" s="68">
        <f>'Evolutive SFP'!R13</f>
        <v>4406550</v>
      </c>
      <c r="T26" s="68">
        <f>'Evolutive SFP'!S13</f>
        <v>4406550</v>
      </c>
      <c r="U26" s="68">
        <f>'Evolutive SFP'!T13</f>
        <v>4406550</v>
      </c>
      <c r="V26" s="68">
        <f>'Evolutive SFP'!U13</f>
        <v>4406550</v>
      </c>
      <c r="W26" s="68">
        <f>'Evolutive SFP'!V13</f>
        <v>4406550</v>
      </c>
      <c r="X26" s="68">
        <f>'Evolutive SFP'!W13</f>
        <v>4406550</v>
      </c>
      <c r="Y26" s="68">
        <f>'Evolutive SFP'!X13</f>
        <v>4406550</v>
      </c>
      <c r="Z26" s="68">
        <f>'Evolutive SFP'!Y13</f>
        <v>4406550</v>
      </c>
      <c r="AA26" s="68">
        <f>'Evolutive SFP'!Z13</f>
        <v>4406550</v>
      </c>
      <c r="AB26" s="68">
        <f>'Evolutive SFP'!AA13</f>
        <v>4406550</v>
      </c>
      <c r="AC26" s="68">
        <f>'Evolutive SFP'!AB13</f>
        <v>4406550</v>
      </c>
      <c r="AD26" s="68">
        <f>'Evolutive SFP'!AC13</f>
        <v>50000</v>
      </c>
      <c r="AE26" s="68">
        <f>'Evolutive SFP'!AD13</f>
        <v>0</v>
      </c>
      <c r="AF26" s="68">
        <f>'Evolutive SFP'!AE13</f>
        <v>0</v>
      </c>
      <c r="AG26" s="68">
        <f>'Evolutive SFP'!AF13</f>
        <v>0</v>
      </c>
      <c r="AH26" s="68">
        <f>'Evolutive SFP'!AG13</f>
        <v>4752850</v>
      </c>
      <c r="AI26" s="68">
        <f>'Evolutive SFP'!AH13</f>
        <v>4752850</v>
      </c>
      <c r="AJ26" s="68">
        <f>'Evolutive SFP'!AI13</f>
        <v>0</v>
      </c>
      <c r="AK26" s="68">
        <f>'Evolutive SFP'!AJ13</f>
        <v>0</v>
      </c>
      <c r="AL26" s="68">
        <f>'Evolutive SFP'!AK13</f>
        <v>0</v>
      </c>
      <c r="AM26" s="68">
        <f>'Evolutive SFP'!AL13</f>
        <v>0</v>
      </c>
      <c r="AN26" s="68">
        <f>'Evolutive SFP'!AM13</f>
        <v>0</v>
      </c>
      <c r="AO26" s="68">
        <f>'Evolutive SFP'!AN13</f>
        <v>0</v>
      </c>
      <c r="AP26" s="68">
        <f>'Evolutive SFP'!AO13</f>
        <v>0</v>
      </c>
      <c r="AQ26" s="68">
        <f>'Evolutive SFP'!AP13</f>
        <v>0</v>
      </c>
    </row>
    <row r="27" spans="1:43" x14ac:dyDescent="0.3">
      <c r="A27" s="42">
        <v>6.2</v>
      </c>
      <c r="B27" s="41" t="s">
        <v>242</v>
      </c>
      <c r="C27" s="68">
        <f>'Evolutive SFP'!B10</f>
        <v>0</v>
      </c>
      <c r="D27" s="68">
        <f>'Evolutive SFP'!C10</f>
        <v>0</v>
      </c>
      <c r="E27" s="68">
        <f>'Evolutive SFP'!D10</f>
        <v>0</v>
      </c>
      <c r="F27" s="68">
        <f>'Evolutive SFP'!E10</f>
        <v>0</v>
      </c>
      <c r="G27" s="68">
        <f>'Evolutive SFP'!F10</f>
        <v>0</v>
      </c>
      <c r="H27" s="68">
        <f>'Evolutive SFP'!G10</f>
        <v>0</v>
      </c>
      <c r="I27" s="68">
        <f>'Evolutive SFP'!H10</f>
        <v>0</v>
      </c>
      <c r="J27" s="68">
        <f>'Evolutive SFP'!I10</f>
        <v>0</v>
      </c>
      <c r="K27" s="68">
        <f>'Evolutive SFP'!J10</f>
        <v>0</v>
      </c>
      <c r="L27" s="68">
        <f>'Evolutive SFP'!K10</f>
        <v>0</v>
      </c>
      <c r="M27" s="68">
        <f>'Evolutive SFP'!L10</f>
        <v>0</v>
      </c>
      <c r="N27" s="68">
        <f>'Evolutive SFP'!M10</f>
        <v>0</v>
      </c>
      <c r="O27" s="68">
        <f>'Evolutive SFP'!N10</f>
        <v>0</v>
      </c>
      <c r="P27" s="68">
        <f>'Evolutive SFP'!O10</f>
        <v>0</v>
      </c>
      <c r="Q27" s="68">
        <f>'Evolutive SFP'!P10</f>
        <v>0</v>
      </c>
      <c r="R27" s="68">
        <f>'Evolutive SFP'!Q10</f>
        <v>0</v>
      </c>
      <c r="S27" s="68">
        <f>'Evolutive SFP'!R10</f>
        <v>0</v>
      </c>
      <c r="T27" s="68">
        <f>'Evolutive SFP'!S10</f>
        <v>0</v>
      </c>
      <c r="U27" s="68">
        <f>'Evolutive SFP'!T10</f>
        <v>0</v>
      </c>
      <c r="V27" s="68">
        <f>'Evolutive SFP'!U10</f>
        <v>0</v>
      </c>
      <c r="W27" s="68">
        <f>'Evolutive SFP'!V10</f>
        <v>0</v>
      </c>
      <c r="X27" s="68">
        <f>'Evolutive SFP'!W10</f>
        <v>0</v>
      </c>
      <c r="Y27" s="68">
        <f>'Evolutive SFP'!X10</f>
        <v>0</v>
      </c>
      <c r="Z27" s="68">
        <f>'Evolutive SFP'!Y10</f>
        <v>0</v>
      </c>
      <c r="AA27" s="68">
        <f>'Evolutive SFP'!Z10</f>
        <v>0</v>
      </c>
      <c r="AB27" s="68">
        <f>'Evolutive SFP'!AA10</f>
        <v>0</v>
      </c>
      <c r="AC27" s="68">
        <f>'Evolutive SFP'!AB10</f>
        <v>0</v>
      </c>
      <c r="AD27" s="68">
        <f>'Evolutive SFP'!AC10</f>
        <v>0</v>
      </c>
      <c r="AE27" s="68">
        <f>'Evolutive SFP'!AD10</f>
        <v>0</v>
      </c>
      <c r="AF27" s="68">
        <f>'Evolutive SFP'!AE10</f>
        <v>0</v>
      </c>
      <c r="AG27" s="68">
        <f>'Evolutive SFP'!AF10</f>
        <v>0</v>
      </c>
      <c r="AH27" s="68">
        <f>'Evolutive SFP'!AG10</f>
        <v>0</v>
      </c>
      <c r="AI27" s="68">
        <f>'Evolutive SFP'!AH10</f>
        <v>0</v>
      </c>
      <c r="AJ27" s="68">
        <f>'Evolutive SFP'!AI10</f>
        <v>0</v>
      </c>
      <c r="AK27" s="68">
        <f>'Evolutive SFP'!AJ10</f>
        <v>0</v>
      </c>
      <c r="AL27" s="68">
        <f>'Evolutive SFP'!AK10</f>
        <v>0</v>
      </c>
      <c r="AM27" s="68">
        <f>'Evolutive SFP'!AL10</f>
        <v>0</v>
      </c>
      <c r="AN27" s="68">
        <f>'Evolutive SFP'!AM10</f>
        <v>0</v>
      </c>
      <c r="AO27" s="68">
        <f>'Evolutive SFP'!AN10</f>
        <v>0</v>
      </c>
      <c r="AP27" s="68">
        <f>'Evolutive SFP'!AO10</f>
        <v>0</v>
      </c>
      <c r="AQ27" s="68">
        <f>'Evolutive SFP'!AP10</f>
        <v>0</v>
      </c>
    </row>
    <row r="28" spans="1:43" x14ac:dyDescent="0.3">
      <c r="A28" s="42">
        <v>6.3</v>
      </c>
      <c r="B28" s="41" t="s">
        <v>243</v>
      </c>
      <c r="C28" s="68">
        <f>'Evolutive SFP'!B11</f>
        <v>0</v>
      </c>
      <c r="D28" s="68">
        <f>'Evolutive SFP'!C11</f>
        <v>0</v>
      </c>
      <c r="E28" s="68">
        <f>'Evolutive SFP'!D11</f>
        <v>13774433</v>
      </c>
      <c r="F28" s="68">
        <f>'Evolutive SFP'!E11</f>
        <v>13774433</v>
      </c>
      <c r="G28" s="68">
        <f>'Evolutive SFP'!F11</f>
        <v>13774433</v>
      </c>
      <c r="H28" s="68">
        <f>'Evolutive SFP'!G11</f>
        <v>13774433</v>
      </c>
      <c r="I28" s="68">
        <f>'Evolutive SFP'!H11</f>
        <v>13774433</v>
      </c>
      <c r="J28" s="68">
        <f>'Evolutive SFP'!I11</f>
        <v>13774433</v>
      </c>
      <c r="K28" s="68">
        <f>'Evolutive SFP'!J11</f>
        <v>13774433</v>
      </c>
      <c r="L28" s="68">
        <f>'Evolutive SFP'!K11</f>
        <v>13774433</v>
      </c>
      <c r="M28" s="68">
        <f>'Evolutive SFP'!L11</f>
        <v>13774433</v>
      </c>
      <c r="N28" s="68">
        <f>'Evolutive SFP'!M11</f>
        <v>13774433</v>
      </c>
      <c r="O28" s="68">
        <f>'Evolutive SFP'!N11</f>
        <v>13774433</v>
      </c>
      <c r="P28" s="68">
        <f>'Evolutive SFP'!O11</f>
        <v>13774433</v>
      </c>
      <c r="Q28" s="68">
        <f>'Evolutive SFP'!P11</f>
        <v>0</v>
      </c>
      <c r="R28" s="68">
        <f>'Evolutive SFP'!Q11</f>
        <v>13774433</v>
      </c>
      <c r="S28" s="68">
        <f>'Evolutive SFP'!R11</f>
        <v>13774433</v>
      </c>
      <c r="T28" s="68">
        <f>'Evolutive SFP'!S11</f>
        <v>13774433</v>
      </c>
      <c r="U28" s="68">
        <f>'Evolutive SFP'!T11</f>
        <v>13774433</v>
      </c>
      <c r="V28" s="68">
        <f>'Evolutive SFP'!U11</f>
        <v>13774433</v>
      </c>
      <c r="W28" s="68">
        <f>'Evolutive SFP'!V11</f>
        <v>13774433</v>
      </c>
      <c r="X28" s="68">
        <f>'Evolutive SFP'!W11</f>
        <v>13774433</v>
      </c>
      <c r="Y28" s="68">
        <f>'Evolutive SFP'!X11</f>
        <v>13774433</v>
      </c>
      <c r="Z28" s="68">
        <f>'Evolutive SFP'!Y11</f>
        <v>13774433</v>
      </c>
      <c r="AA28" s="68">
        <f>'Evolutive SFP'!Z11</f>
        <v>13774433</v>
      </c>
      <c r="AB28" s="68">
        <f>'Evolutive SFP'!AA11</f>
        <v>13774433</v>
      </c>
      <c r="AC28" s="68">
        <f>'Evolutive SFP'!AB11</f>
        <v>13774433</v>
      </c>
      <c r="AD28" s="68">
        <f>'Evolutive SFP'!AC11</f>
        <v>0</v>
      </c>
      <c r="AE28" s="68">
        <f>'Evolutive SFP'!AD11</f>
        <v>16341406</v>
      </c>
      <c r="AF28" s="68">
        <f>'Evolutive SFP'!AE11</f>
        <v>16341406</v>
      </c>
      <c r="AG28" s="68">
        <f>'Evolutive SFP'!AF11</f>
        <v>16341406</v>
      </c>
      <c r="AH28" s="68">
        <f>'Evolutive SFP'!AG11</f>
        <v>16341406</v>
      </c>
      <c r="AI28" s="68">
        <f>'Evolutive SFP'!AH11</f>
        <v>17818676</v>
      </c>
      <c r="AJ28" s="68">
        <f>'Evolutive SFP'!AI11</f>
        <v>16341406</v>
      </c>
      <c r="AK28" s="68">
        <f>'Evolutive SFP'!AJ11</f>
        <v>0</v>
      </c>
      <c r="AL28" s="68">
        <f>'Evolutive SFP'!AK11</f>
        <v>0</v>
      </c>
      <c r="AM28" s="68">
        <f>'Evolutive SFP'!AL11</f>
        <v>0</v>
      </c>
      <c r="AN28" s="68">
        <f>'Evolutive SFP'!AM11</f>
        <v>0</v>
      </c>
      <c r="AO28" s="68">
        <f>'Evolutive SFP'!AN11</f>
        <v>0</v>
      </c>
      <c r="AP28" s="68">
        <f>'Evolutive SFP'!AO11</f>
        <v>0</v>
      </c>
      <c r="AQ28" s="68">
        <f>'Evolutive SFP'!AP11</f>
        <v>0</v>
      </c>
    </row>
    <row r="29" spans="1:43" x14ac:dyDescent="0.3">
      <c r="A29" s="40"/>
      <c r="B29" s="41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</row>
    <row r="30" spans="1:43" x14ac:dyDescent="0.3">
      <c r="A30" s="42">
        <v>7</v>
      </c>
      <c r="B30" s="40" t="s">
        <v>244</v>
      </c>
      <c r="C30" s="68">
        <f>'Evolutive SFP'!B14</f>
        <v>112905266</v>
      </c>
      <c r="D30" s="68">
        <f>'Evolutive SFP'!C14</f>
        <v>560836016</v>
      </c>
      <c r="E30" s="68">
        <f>'Evolutive SFP'!D14</f>
        <v>600020729</v>
      </c>
      <c r="F30" s="68">
        <f>'Evolutive SFP'!E14</f>
        <v>596739329</v>
      </c>
      <c r="G30" s="68">
        <f>'Evolutive SFP'!F14</f>
        <v>576874598</v>
      </c>
      <c r="H30" s="68">
        <f>'Evolutive SFP'!G14</f>
        <v>579838637</v>
      </c>
      <c r="I30" s="68">
        <f>'Evolutive SFP'!H14</f>
        <v>557595581</v>
      </c>
      <c r="J30" s="68">
        <f>'Evolutive SFP'!I14</f>
        <v>605819520.41999996</v>
      </c>
      <c r="K30" s="68">
        <f>'Evolutive SFP'!J14</f>
        <v>615827420</v>
      </c>
      <c r="L30" s="68">
        <f>'Evolutive SFP'!K14</f>
        <v>628866182</v>
      </c>
      <c r="M30" s="68">
        <f>'Evolutive SFP'!L14</f>
        <v>672732682</v>
      </c>
      <c r="N30" s="68">
        <f>'Evolutive SFP'!M14</f>
        <v>570124082</v>
      </c>
      <c r="O30" s="68">
        <f>'Evolutive SFP'!N14</f>
        <v>623544598</v>
      </c>
      <c r="P30" s="68">
        <f>'Evolutive SFP'!O14</f>
        <v>639019238</v>
      </c>
      <c r="Q30" s="68">
        <f>'Evolutive SFP'!P14</f>
        <v>639021260</v>
      </c>
      <c r="R30" s="68">
        <f>'Evolutive SFP'!Q14</f>
        <v>658402253</v>
      </c>
      <c r="S30" s="68">
        <f>'Evolutive SFP'!R14</f>
        <v>666604573</v>
      </c>
      <c r="T30" s="68">
        <f>'Evolutive SFP'!S14</f>
        <v>679648968</v>
      </c>
      <c r="U30" s="68">
        <f>'Evolutive SFP'!T14</f>
        <v>685808372</v>
      </c>
      <c r="V30" s="68">
        <f>'Evolutive SFP'!U14</f>
        <v>712202599</v>
      </c>
      <c r="W30" s="68">
        <f>'Evolutive SFP'!V14</f>
        <v>729721480</v>
      </c>
      <c r="X30" s="68">
        <f>'Evolutive SFP'!W14</f>
        <v>590114097</v>
      </c>
      <c r="Y30" s="68">
        <f>'Evolutive SFP'!X14</f>
        <v>620458871</v>
      </c>
      <c r="Z30" s="68">
        <f>'Evolutive SFP'!Y14</f>
        <v>648161563</v>
      </c>
      <c r="AA30" s="68">
        <f>'Evolutive SFP'!Z14</f>
        <v>672775514</v>
      </c>
      <c r="AB30" s="68">
        <f>'Evolutive SFP'!AA14</f>
        <v>687450833</v>
      </c>
      <c r="AC30" s="68">
        <f>'Evolutive SFP'!AB14</f>
        <v>699504518</v>
      </c>
      <c r="AD30" s="68">
        <f>'Evolutive SFP'!AC14</f>
        <v>699504518</v>
      </c>
      <c r="AE30" s="68">
        <f>'Evolutive SFP'!AD14</f>
        <v>695190019</v>
      </c>
      <c r="AF30" s="68">
        <f>'Evolutive SFP'!AE14</f>
        <v>753585044</v>
      </c>
      <c r="AG30" s="68">
        <f>'Evolutive SFP'!AF14</f>
        <v>773495910</v>
      </c>
      <c r="AH30" s="68">
        <f>'Evolutive SFP'!AG14</f>
        <v>776253240</v>
      </c>
      <c r="AI30" s="68">
        <f>'Evolutive SFP'!AH14</f>
        <v>803806314</v>
      </c>
      <c r="AJ30" s="68">
        <f>'Evolutive SFP'!AI14</f>
        <v>810054308</v>
      </c>
      <c r="AK30" s="68">
        <f>'Evolutive SFP'!AJ14</f>
        <v>0</v>
      </c>
      <c r="AL30" s="68">
        <f>'Evolutive SFP'!AK14</f>
        <v>0</v>
      </c>
      <c r="AM30" s="68">
        <f>'Evolutive SFP'!AL14</f>
        <v>0</v>
      </c>
      <c r="AN30" s="68">
        <f>'Evolutive SFP'!AM14</f>
        <v>0</v>
      </c>
      <c r="AO30" s="68">
        <f>'Evolutive SFP'!AN14</f>
        <v>0</v>
      </c>
      <c r="AP30" s="68">
        <f>'Evolutive SFP'!AO14</f>
        <v>0</v>
      </c>
      <c r="AQ30" s="68">
        <f>'Evolutive SFP'!AP14</f>
        <v>0</v>
      </c>
    </row>
    <row r="31" spans="1:43" x14ac:dyDescent="0.3">
      <c r="A31" s="42">
        <v>7.1</v>
      </c>
      <c r="B31" s="40" t="s">
        <v>245</v>
      </c>
      <c r="C31" s="68">
        <f>'Evolutive SFP'!B15</f>
        <v>112905266</v>
      </c>
      <c r="D31" s="68">
        <f>'Evolutive SFP'!C15</f>
        <v>664592356</v>
      </c>
      <c r="E31" s="68">
        <f>'Evolutive SFP'!D15</f>
        <v>703777069</v>
      </c>
      <c r="F31" s="68">
        <f>'Evolutive SFP'!E15</f>
        <v>701542064</v>
      </c>
      <c r="G31" s="68">
        <f>'Evolutive SFP'!F15</f>
        <v>682074733</v>
      </c>
      <c r="H31" s="68">
        <f>'Evolutive SFP'!G15</f>
        <v>695038772</v>
      </c>
      <c r="I31" s="68">
        <f>'Evolutive SFP'!H15</f>
        <v>674348122</v>
      </c>
      <c r="J31" s="68">
        <f>'Evolutive SFP'!I15</f>
        <v>723335812</v>
      </c>
      <c r="K31" s="68">
        <f>'Evolutive SFP'!J15</f>
        <v>743868312</v>
      </c>
      <c r="L31" s="68">
        <f>'Evolutive SFP'!K15</f>
        <v>762934145</v>
      </c>
      <c r="M31" s="68">
        <f>'Evolutive SFP'!L15</f>
        <v>810800645</v>
      </c>
      <c r="N31" s="68">
        <f>'Evolutive SFP'!M15</f>
        <v>707054084</v>
      </c>
      <c r="O31" s="68">
        <f>'Evolutive SFP'!N15</f>
        <v>764974931</v>
      </c>
      <c r="P31" s="68">
        <f>'Evolutive SFP'!O15</f>
        <v>792587190</v>
      </c>
      <c r="Q31" s="68">
        <f>'Evolutive SFP'!P15</f>
        <v>792589211</v>
      </c>
      <c r="R31" s="68">
        <f>'Evolutive SFP'!Q15</f>
        <v>813471307</v>
      </c>
      <c r="S31" s="68">
        <f>'Evolutive SFP'!R15</f>
        <v>825025727</v>
      </c>
      <c r="T31" s="68">
        <f>'Evolutive SFP'!S15</f>
        <v>839202702</v>
      </c>
      <c r="U31" s="68">
        <f>'Evolutive SFP'!T15</f>
        <v>850862106</v>
      </c>
      <c r="V31" s="68">
        <f>'Evolutive SFP'!U15</f>
        <v>880182835</v>
      </c>
      <c r="W31" s="68">
        <f>'Evolutive SFP'!V15</f>
        <v>896587782</v>
      </c>
      <c r="X31" s="68">
        <f>'Evolutive SFP'!W15</f>
        <v>762077134</v>
      </c>
      <c r="Y31" s="68">
        <f>'Evolutive SFP'!X15</f>
        <v>797954008</v>
      </c>
      <c r="Z31" s="68">
        <f>'Evolutive SFP'!Y15</f>
        <v>830850911</v>
      </c>
      <c r="AA31" s="68">
        <f>'Evolutive SFP'!Z15</f>
        <v>862590172</v>
      </c>
      <c r="AB31" s="68">
        <f>'Evolutive SFP'!AA15</f>
        <v>888516741</v>
      </c>
      <c r="AC31" s="68">
        <f>'Evolutive SFP'!AB15</f>
        <v>910801986</v>
      </c>
      <c r="AD31" s="68">
        <f>'Evolutive SFP'!AC15</f>
        <v>910801986</v>
      </c>
      <c r="AE31" s="68">
        <f>'Evolutive SFP'!AD15</f>
        <v>907335219</v>
      </c>
      <c r="AF31" s="68">
        <f>'Evolutive SFP'!AE15</f>
        <v>969521479</v>
      </c>
      <c r="AG31" s="68">
        <f>'Evolutive SFP'!AF15</f>
        <v>1005641110</v>
      </c>
      <c r="AH31" s="68">
        <f>'Evolutive SFP'!AG15</f>
        <v>1026968565</v>
      </c>
      <c r="AI31" s="68">
        <f>'Evolutive SFP'!AH15</f>
        <v>1054521639</v>
      </c>
      <c r="AJ31" s="68">
        <f>'Evolutive SFP'!AI15</f>
        <v>1061569759</v>
      </c>
      <c r="AK31" s="68">
        <f>'Evolutive SFP'!AJ15</f>
        <v>0</v>
      </c>
      <c r="AL31" s="68">
        <f>'Evolutive SFP'!AK15</f>
        <v>0</v>
      </c>
      <c r="AM31" s="68">
        <f>'Evolutive SFP'!AL15</f>
        <v>0</v>
      </c>
      <c r="AN31" s="68">
        <f>'Evolutive SFP'!AM15</f>
        <v>0</v>
      </c>
      <c r="AO31" s="68">
        <f>'Evolutive SFP'!AN15</f>
        <v>0</v>
      </c>
      <c r="AP31" s="68">
        <f>'Evolutive SFP'!AO15</f>
        <v>0</v>
      </c>
      <c r="AQ31" s="68">
        <f>'Evolutive SFP'!AP15</f>
        <v>0</v>
      </c>
    </row>
    <row r="32" spans="1:43" x14ac:dyDescent="0.3">
      <c r="A32" s="42">
        <v>7.2</v>
      </c>
      <c r="B32" s="40" t="s">
        <v>246</v>
      </c>
      <c r="C32" s="68">
        <f>'Evolutive SFP'!B16</f>
        <v>0</v>
      </c>
      <c r="D32" s="68">
        <f>'Evolutive SFP'!C16</f>
        <v>103756340</v>
      </c>
      <c r="E32" s="68">
        <f>'Evolutive SFP'!D16</f>
        <v>103756340</v>
      </c>
      <c r="F32" s="68">
        <f>'Evolutive SFP'!E16</f>
        <v>104802735</v>
      </c>
      <c r="G32" s="68">
        <f>'Evolutive SFP'!F16</f>
        <v>105200135</v>
      </c>
      <c r="H32" s="68">
        <f>'Evolutive SFP'!G16</f>
        <v>115200135</v>
      </c>
      <c r="I32" s="68">
        <f>'Evolutive SFP'!H16</f>
        <v>116752541</v>
      </c>
      <c r="J32" s="68">
        <f>'Evolutive SFP'!I16</f>
        <v>117516291.58</v>
      </c>
      <c r="K32" s="68">
        <f>'Evolutive SFP'!J16</f>
        <v>128040892</v>
      </c>
      <c r="L32" s="68">
        <f>'Evolutive SFP'!K16</f>
        <v>134067963</v>
      </c>
      <c r="M32" s="68">
        <f>'Evolutive SFP'!L16</f>
        <v>138067963</v>
      </c>
      <c r="N32" s="68">
        <f>'Evolutive SFP'!M16</f>
        <v>136930002</v>
      </c>
      <c r="O32" s="68">
        <f>'Evolutive SFP'!N16</f>
        <v>141430333</v>
      </c>
      <c r="P32" s="68">
        <f>'Evolutive SFP'!O16</f>
        <v>153567952</v>
      </c>
      <c r="Q32" s="68">
        <f>'Evolutive SFP'!P16</f>
        <v>153567951</v>
      </c>
      <c r="R32" s="68">
        <f>'Evolutive SFP'!Q16</f>
        <v>155069054</v>
      </c>
      <c r="S32" s="68">
        <f>'Evolutive SFP'!R16</f>
        <v>158421154</v>
      </c>
      <c r="T32" s="68">
        <f>'Evolutive SFP'!S16</f>
        <v>159553734</v>
      </c>
      <c r="U32" s="68">
        <f>'Evolutive SFP'!T16</f>
        <v>165053734</v>
      </c>
      <c r="V32" s="68">
        <f>'Evolutive SFP'!U16</f>
        <v>167980236</v>
      </c>
      <c r="W32" s="68">
        <f>'Evolutive SFP'!V16</f>
        <v>166866302</v>
      </c>
      <c r="X32" s="68">
        <f>'Evolutive SFP'!W16</f>
        <v>171963037</v>
      </c>
      <c r="Y32" s="68">
        <f>'Evolutive SFP'!X16</f>
        <v>177495137</v>
      </c>
      <c r="Z32" s="68">
        <f>'Evolutive SFP'!Y16</f>
        <v>182689348</v>
      </c>
      <c r="AA32" s="68">
        <f>'Evolutive SFP'!Z16</f>
        <v>189814658</v>
      </c>
      <c r="AB32" s="68">
        <f>'Evolutive SFP'!AA16</f>
        <v>201065908</v>
      </c>
      <c r="AC32" s="68">
        <f>'Evolutive SFP'!AB16</f>
        <v>211297468</v>
      </c>
      <c r="AD32" s="68">
        <f>'Evolutive SFP'!AC16</f>
        <v>211297468</v>
      </c>
      <c r="AE32" s="68">
        <f>'Evolutive SFP'!AD16</f>
        <v>212145200</v>
      </c>
      <c r="AF32" s="68">
        <f>'Evolutive SFP'!AE16</f>
        <v>215936435</v>
      </c>
      <c r="AG32" s="68">
        <f>'Evolutive SFP'!AF16</f>
        <v>232145200</v>
      </c>
      <c r="AH32" s="68">
        <f>'Evolutive SFP'!AG16</f>
        <v>250715325</v>
      </c>
      <c r="AI32" s="68">
        <f>'Evolutive SFP'!AH16</f>
        <v>250715325</v>
      </c>
      <c r="AJ32" s="68">
        <f>'Evolutive SFP'!AI16</f>
        <v>251515451</v>
      </c>
      <c r="AK32" s="68">
        <f>'Evolutive SFP'!AJ16</f>
        <v>0</v>
      </c>
      <c r="AL32" s="68">
        <f>'Evolutive SFP'!AK16</f>
        <v>0</v>
      </c>
      <c r="AM32" s="68">
        <f>'Evolutive SFP'!AL16</f>
        <v>0</v>
      </c>
      <c r="AN32" s="68">
        <f>'Evolutive SFP'!AM16</f>
        <v>0</v>
      </c>
      <c r="AO32" s="68">
        <f>'Evolutive SFP'!AN16</f>
        <v>0</v>
      </c>
      <c r="AP32" s="68">
        <f>'Evolutive SFP'!AO16</f>
        <v>0</v>
      </c>
      <c r="AQ32" s="68">
        <f>'Evolutive SFP'!AP16</f>
        <v>0</v>
      </c>
    </row>
    <row r="33" spans="1:43" x14ac:dyDescent="0.3">
      <c r="A33" s="40"/>
      <c r="B33" s="40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</row>
    <row r="34" spans="1:43" x14ac:dyDescent="0.3">
      <c r="A34" s="42">
        <v>8</v>
      </c>
      <c r="B34" s="40" t="s">
        <v>105</v>
      </c>
      <c r="C34" s="68">
        <f>'Evolutive SFP'!B21+'Evolutive SFP'!B7</f>
        <v>18274979</v>
      </c>
      <c r="D34" s="68">
        <f>'Evolutive SFP'!C21+'Evolutive SFP'!C7</f>
        <v>14341369</v>
      </c>
      <c r="E34" s="68">
        <f>'Evolutive SFP'!D21+'Evolutive SFP'!D7</f>
        <v>16586304</v>
      </c>
      <c r="F34" s="68">
        <f>'Evolutive SFP'!E21+'Evolutive SFP'!E7</f>
        <v>15545404</v>
      </c>
      <c r="G34" s="68">
        <f>'Evolutive SFP'!F21+'Evolutive SFP'!F7</f>
        <v>16915536</v>
      </c>
      <c r="H34" s="68">
        <f>'Evolutive SFP'!G21+'Evolutive SFP'!G7</f>
        <v>15915536</v>
      </c>
      <c r="I34" s="68">
        <f>'Evolutive SFP'!H21+'Evolutive SFP'!H7</f>
        <v>17664687</v>
      </c>
      <c r="J34" s="68">
        <f>'Evolutive SFP'!I21+'Evolutive SFP'!I7</f>
        <v>17664687</v>
      </c>
      <c r="K34" s="68">
        <f>'Evolutive SFP'!J21+'Evolutive SFP'!J7</f>
        <v>19606447</v>
      </c>
      <c r="L34" s="68">
        <f>'Evolutive SFP'!K21+'Evolutive SFP'!K7</f>
        <v>22017296</v>
      </c>
      <c r="M34" s="68">
        <f>'Evolutive SFP'!L21+'Evolutive SFP'!L7</f>
        <v>19036779</v>
      </c>
      <c r="N34" s="68">
        <f>'Evolutive SFP'!M21+'Evolutive SFP'!M7</f>
        <v>21026370</v>
      </c>
      <c r="O34" s="68">
        <f>'Evolutive SFP'!N21+'Evolutive SFP'!N7</f>
        <v>31577814</v>
      </c>
      <c r="P34" s="68">
        <f>'Evolutive SFP'!O21+'Evolutive SFP'!O7</f>
        <v>13812113</v>
      </c>
      <c r="Q34" s="68">
        <f>'Evolutive SFP'!P21+'Evolutive SFP'!P7</f>
        <v>13812113</v>
      </c>
      <c r="R34" s="68">
        <f>'Evolutive SFP'!Q21+'Evolutive SFP'!Q7</f>
        <v>18481225</v>
      </c>
      <c r="S34" s="68">
        <f>'Evolutive SFP'!R21+'Evolutive SFP'!R7</f>
        <v>17898449</v>
      </c>
      <c r="T34" s="68">
        <f>'Evolutive SFP'!S21+'Evolutive SFP'!S7</f>
        <v>30478639</v>
      </c>
      <c r="U34" s="68">
        <f>'Evolutive SFP'!T21+'Evolutive SFP'!T7</f>
        <v>30478639</v>
      </c>
      <c r="V34" s="68">
        <f>'Evolutive SFP'!U21+'Evolutive SFP'!U7</f>
        <v>33026408</v>
      </c>
      <c r="W34" s="68">
        <f>'Evolutive SFP'!V21+'Evolutive SFP'!V7</f>
        <v>23835393</v>
      </c>
      <c r="X34" s="68">
        <f>'Evolutive SFP'!W21+'Evolutive SFP'!W7</f>
        <v>33272404</v>
      </c>
      <c r="Y34" s="68">
        <f>'Evolutive SFP'!X21+'Evolutive SFP'!X7</f>
        <v>33272403</v>
      </c>
      <c r="Z34" s="68">
        <f>'Evolutive SFP'!Y21+'Evolutive SFP'!Y7</f>
        <v>24285695</v>
      </c>
      <c r="AA34" s="68">
        <f>'Evolutive SFP'!Z21+'Evolutive SFP'!Z7</f>
        <v>24285695</v>
      </c>
      <c r="AB34" s="68">
        <f>'Evolutive SFP'!AA21+'Evolutive SFP'!AA7</f>
        <v>24285695</v>
      </c>
      <c r="AC34" s="68">
        <f>'Evolutive SFP'!AB21+'Evolutive SFP'!AB7</f>
        <v>22181954</v>
      </c>
      <c r="AD34" s="68">
        <f>'Evolutive SFP'!AC21+'Evolutive SFP'!AC7</f>
        <v>23317292</v>
      </c>
      <c r="AE34" s="68">
        <f>'Evolutive SFP'!AD21+'Evolutive SFP'!AD7</f>
        <v>46232495</v>
      </c>
      <c r="AF34" s="68">
        <f>'Evolutive SFP'!AE21+'Evolutive SFP'!AE7</f>
        <v>46232495</v>
      </c>
      <c r="AG34" s="68">
        <f>'Evolutive SFP'!AF21+'Evolutive SFP'!AF7</f>
        <v>34397685</v>
      </c>
      <c r="AH34" s="68">
        <f>'Evolutive SFP'!AG21+'Evolutive SFP'!AG7</f>
        <v>46232495</v>
      </c>
      <c r="AI34" s="68">
        <f>'Evolutive SFP'!AH21+'Evolutive SFP'!AH7</f>
        <v>46232495</v>
      </c>
      <c r="AJ34" s="68">
        <f>'Evolutive SFP'!AI21+'Evolutive SFP'!AI7</f>
        <v>23143686</v>
      </c>
      <c r="AK34" s="68">
        <f>'Evolutive SFP'!AJ21+'Evolutive SFP'!AJ7</f>
        <v>0</v>
      </c>
      <c r="AL34" s="68">
        <f>'Evolutive SFP'!AK21+'Evolutive SFP'!AK7</f>
        <v>0</v>
      </c>
      <c r="AM34" s="68">
        <f>'Evolutive SFP'!AL21+'Evolutive SFP'!AL7</f>
        <v>0</v>
      </c>
      <c r="AN34" s="68">
        <f>'Evolutive SFP'!AM21+'Evolutive SFP'!AM7</f>
        <v>0</v>
      </c>
      <c r="AO34" s="68">
        <f>'Evolutive SFP'!AN21+'Evolutive SFP'!AN7</f>
        <v>0</v>
      </c>
      <c r="AP34" s="68">
        <f>'Evolutive SFP'!AO21+'Evolutive SFP'!AO7</f>
        <v>0</v>
      </c>
      <c r="AQ34" s="68">
        <f>'Evolutive SFP'!AP21+'Evolutive SFP'!AP7</f>
        <v>0</v>
      </c>
    </row>
    <row r="35" spans="1:43" x14ac:dyDescent="0.3">
      <c r="A35" s="42">
        <v>8.1</v>
      </c>
      <c r="B35" s="40" t="s">
        <v>23</v>
      </c>
      <c r="C35" s="68">
        <f>'Evolutive SFP'!B23</f>
        <v>4123114</v>
      </c>
      <c r="D35" s="68">
        <f>'Evolutive SFP'!C23</f>
        <v>13929886</v>
      </c>
      <c r="E35" s="68">
        <f>'Evolutive SFP'!D23</f>
        <v>13929887</v>
      </c>
      <c r="F35" s="68">
        <f>'Evolutive SFP'!E23</f>
        <v>13929887</v>
      </c>
      <c r="G35" s="68">
        <f>'Evolutive SFP'!F23</f>
        <v>13929887</v>
      </c>
      <c r="H35" s="68">
        <f>'Evolutive SFP'!G23</f>
        <v>13929887</v>
      </c>
      <c r="I35" s="68">
        <f>'Evolutive SFP'!H23</f>
        <v>13929887</v>
      </c>
      <c r="J35" s="68">
        <f>'Evolutive SFP'!I23</f>
        <v>13929887</v>
      </c>
      <c r="K35" s="68">
        <f>'Evolutive SFP'!J23</f>
        <v>13929887</v>
      </c>
      <c r="L35" s="68">
        <f>'Evolutive SFP'!K23</f>
        <v>13929887</v>
      </c>
      <c r="M35" s="68">
        <f>'Evolutive SFP'!L23</f>
        <v>13929887</v>
      </c>
      <c r="N35" s="68">
        <f>'Evolutive SFP'!M23</f>
        <v>13929887</v>
      </c>
      <c r="O35" s="68">
        <f>'Evolutive SFP'!N23</f>
        <v>13929887</v>
      </c>
      <c r="P35" s="68">
        <f>'Evolutive SFP'!O23</f>
        <v>13342075</v>
      </c>
      <c r="Q35" s="68">
        <f>'Evolutive SFP'!P23</f>
        <v>13342075</v>
      </c>
      <c r="R35" s="68">
        <f>'Evolutive SFP'!Q23</f>
        <v>13342074</v>
      </c>
      <c r="S35" s="68">
        <f>'Evolutive SFP'!R23</f>
        <v>13342075</v>
      </c>
      <c r="T35" s="68">
        <f>'Evolutive SFP'!S23</f>
        <v>13342074</v>
      </c>
      <c r="U35" s="68">
        <f>'Evolutive SFP'!T23</f>
        <v>13342074</v>
      </c>
      <c r="V35" s="68">
        <f>'Evolutive SFP'!U23</f>
        <v>13342074</v>
      </c>
      <c r="W35" s="68">
        <f>'Evolutive SFP'!V23</f>
        <v>13342074</v>
      </c>
      <c r="X35" s="68">
        <f>'Evolutive SFP'!W23</f>
        <v>13342075</v>
      </c>
      <c r="Y35" s="68">
        <f>'Evolutive SFP'!X23</f>
        <v>13342074</v>
      </c>
      <c r="Z35" s="68">
        <f>'Evolutive SFP'!Y23</f>
        <v>13342074</v>
      </c>
      <c r="AA35" s="68">
        <f>'Evolutive SFP'!Z23</f>
        <v>13342074</v>
      </c>
      <c r="AB35" s="68">
        <f>'Evolutive SFP'!AA23</f>
        <v>13342074</v>
      </c>
      <c r="AC35" s="68">
        <f>'Evolutive SFP'!AB23</f>
        <v>14463787</v>
      </c>
      <c r="AD35" s="68">
        <f>'Evolutive SFP'!AC23</f>
        <v>18183924</v>
      </c>
      <c r="AE35" s="68">
        <f>'Evolutive SFP'!AD23</f>
        <v>18183924</v>
      </c>
      <c r="AF35" s="68">
        <f>'Evolutive SFP'!AE23</f>
        <v>18183924</v>
      </c>
      <c r="AG35" s="68">
        <f>'Evolutive SFP'!AF23</f>
        <v>18183924</v>
      </c>
      <c r="AH35" s="68">
        <f>'Evolutive SFP'!AG23</f>
        <v>18183924</v>
      </c>
      <c r="AI35" s="68">
        <f>'Evolutive SFP'!AH23</f>
        <v>18183924</v>
      </c>
      <c r="AJ35" s="68">
        <f>'Evolutive SFP'!AI23</f>
        <v>18183924</v>
      </c>
      <c r="AK35" s="68">
        <f>'Evolutive SFP'!AJ23</f>
        <v>0</v>
      </c>
      <c r="AL35" s="68">
        <f>'Evolutive SFP'!AK23</f>
        <v>0</v>
      </c>
      <c r="AM35" s="68">
        <f>'Evolutive SFP'!AL23</f>
        <v>0</v>
      </c>
      <c r="AN35" s="68">
        <f>'Evolutive SFP'!AM23</f>
        <v>0</v>
      </c>
      <c r="AO35" s="68">
        <f>'Evolutive SFP'!AN23</f>
        <v>0</v>
      </c>
      <c r="AP35" s="68">
        <f>'Evolutive SFP'!AO23</f>
        <v>0</v>
      </c>
      <c r="AQ35" s="68">
        <f>'Evolutive SFP'!AP23</f>
        <v>0</v>
      </c>
    </row>
    <row r="36" spans="1:43" x14ac:dyDescent="0.3">
      <c r="A36" s="38"/>
      <c r="B36" s="40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</row>
    <row r="37" spans="1:43" x14ac:dyDescent="0.3">
      <c r="A37" s="42">
        <v>9</v>
      </c>
      <c r="B37" s="40" t="s">
        <v>205</v>
      </c>
      <c r="C37" s="68">
        <f>C38+C39+C40+C41</f>
        <v>14599.247546899</v>
      </c>
      <c r="D37" s="68">
        <f>D38+D39+D40+D41</f>
        <v>89988820.399999991</v>
      </c>
      <c r="E37" s="68">
        <f>E38+E39+E40+E41</f>
        <v>30585996</v>
      </c>
      <c r="F37" s="68">
        <f>F38+F39+F40+F41</f>
        <v>18854461</v>
      </c>
      <c r="G37" s="68">
        <f t="shared" ref="G37:O37" si="41">G38+G39+G40+G41</f>
        <v>18857461</v>
      </c>
      <c r="H37" s="68">
        <f>H38+H39+H40+H41</f>
        <v>38776809</v>
      </c>
      <c r="I37" s="68">
        <f>I38+I39+I40+I41</f>
        <v>49832011</v>
      </c>
      <c r="J37" s="68">
        <f t="shared" si="41"/>
        <v>56848071</v>
      </c>
      <c r="K37" s="68">
        <f t="shared" si="41"/>
        <v>66413428</v>
      </c>
      <c r="L37" s="68">
        <f t="shared" si="41"/>
        <v>75543144</v>
      </c>
      <c r="M37" s="68">
        <f t="shared" si="41"/>
        <v>83873502</v>
      </c>
      <c r="N37" s="68">
        <f t="shared" si="41"/>
        <v>97404364</v>
      </c>
      <c r="O37" s="68">
        <f t="shared" si="41"/>
        <v>108668819</v>
      </c>
      <c r="P37" s="68">
        <f t="shared" ref="P37:Q37" si="42">P38+P39+P40+P41</f>
        <v>119206907</v>
      </c>
      <c r="Q37" s="68">
        <f t="shared" si="42"/>
        <v>127629687</v>
      </c>
      <c r="R37" s="68">
        <f t="shared" ref="R37:S37" si="43">R38+R39+R40+R41</f>
        <v>10450366</v>
      </c>
      <c r="S37" s="68">
        <f t="shared" si="43"/>
        <v>20749112</v>
      </c>
      <c r="T37" s="68">
        <f t="shared" ref="T37:X37" si="44">T38+T39+T40+T41</f>
        <v>32374452</v>
      </c>
      <c r="U37" s="68">
        <f t="shared" si="44"/>
        <v>46806853</v>
      </c>
      <c r="V37" s="68">
        <f t="shared" si="44"/>
        <v>61013900</v>
      </c>
      <c r="W37" s="68">
        <f t="shared" si="44"/>
        <v>69565058</v>
      </c>
      <c r="X37" s="68">
        <f t="shared" si="44"/>
        <v>93672516</v>
      </c>
      <c r="Y37" s="68">
        <f t="shared" ref="Y37:AA37" si="45">Y38+Y39+Y40+Y41</f>
        <v>98918148</v>
      </c>
      <c r="Z37" s="68">
        <f t="shared" si="45"/>
        <v>109478226</v>
      </c>
      <c r="AA37" s="68">
        <f t="shared" si="45"/>
        <v>120400363</v>
      </c>
      <c r="AB37" s="68">
        <f t="shared" ref="AB37:AC37" si="46">AB38+AB39+AB40+AB41</f>
        <v>132020567</v>
      </c>
      <c r="AC37" s="68">
        <f t="shared" si="46"/>
        <v>151367102</v>
      </c>
      <c r="AD37" s="68">
        <f t="shared" ref="AD37:AF37" si="47">AD38+AD39+AD40+AD41</f>
        <v>163297222</v>
      </c>
      <c r="AE37" s="68">
        <f t="shared" si="47"/>
        <v>16792269</v>
      </c>
      <c r="AF37" s="68">
        <f t="shared" si="47"/>
        <v>29513360.640000001</v>
      </c>
      <c r="AG37" s="68">
        <f t="shared" ref="AG37:AQ37" si="48">AG38+AG39+AG40+AG41</f>
        <v>47589433.5</v>
      </c>
      <c r="AH37" s="68">
        <f t="shared" si="48"/>
        <v>59820666.709999993</v>
      </c>
      <c r="AI37" s="68">
        <f t="shared" si="48"/>
        <v>73068153.100000009</v>
      </c>
      <c r="AJ37" s="68">
        <f t="shared" si="48"/>
        <v>89135469.129999995</v>
      </c>
      <c r="AK37" s="68">
        <f t="shared" si="48"/>
        <v>0</v>
      </c>
      <c r="AL37" s="68">
        <f t="shared" si="48"/>
        <v>0</v>
      </c>
      <c r="AM37" s="68">
        <f t="shared" si="48"/>
        <v>0</v>
      </c>
      <c r="AN37" s="68">
        <f t="shared" si="48"/>
        <v>0</v>
      </c>
      <c r="AO37" s="68">
        <f t="shared" si="48"/>
        <v>0</v>
      </c>
      <c r="AP37" s="68">
        <f t="shared" si="48"/>
        <v>0</v>
      </c>
      <c r="AQ37" s="68">
        <f t="shared" si="48"/>
        <v>0</v>
      </c>
    </row>
    <row r="38" spans="1:43" x14ac:dyDescent="0.3">
      <c r="A38" s="40">
        <v>9.1</v>
      </c>
      <c r="B38" s="40" t="s">
        <v>247</v>
      </c>
      <c r="C38" s="68">
        <f>'Evolutitve SCI'!B5</f>
        <v>11945.43491</v>
      </c>
      <c r="D38" s="68">
        <f>'Evolutitve SCI'!C5</f>
        <v>52206140</v>
      </c>
      <c r="E38" s="68">
        <f>'Evolutitve SCI'!D5</f>
        <v>20400486</v>
      </c>
      <c r="F38" s="68">
        <f>'Evolutitve SCI'!E5</f>
        <v>13911917</v>
      </c>
      <c r="G38" s="68">
        <f>'Evolutitve SCI'!F5</f>
        <v>13911917</v>
      </c>
      <c r="H38" s="68">
        <f>'Evolutitve SCI'!G5</f>
        <v>27136249</v>
      </c>
      <c r="I38" s="68">
        <f>'Evolutitve SCI'!H5</f>
        <v>35808173</v>
      </c>
      <c r="J38" s="68">
        <f>'Evolutitve SCI'!I5</f>
        <v>40435218</v>
      </c>
      <c r="K38" s="68">
        <f>'Evolutitve SCI'!J5</f>
        <v>47535267</v>
      </c>
      <c r="L38" s="68">
        <f>'Evolutitve SCI'!K5</f>
        <v>54482616</v>
      </c>
      <c r="M38" s="68">
        <f>'Evolutitve SCI'!L5</f>
        <v>60808672</v>
      </c>
      <c r="N38" s="68">
        <f>'Evolutitve SCI'!M5</f>
        <v>69824956</v>
      </c>
      <c r="O38" s="68">
        <f>'Evolutitve SCI'!N5</f>
        <v>77347789</v>
      </c>
      <c r="P38" s="68">
        <f>'Evolutitve SCI'!O5</f>
        <v>84111193</v>
      </c>
      <c r="Q38" s="68">
        <f>'Evolutitve SCI'!P5</f>
        <v>110111193</v>
      </c>
      <c r="R38" s="68">
        <f>'Evolutitve SCI'!Q5</f>
        <v>7777104</v>
      </c>
      <c r="S38" s="68">
        <f>'Evolutitve SCI'!R5</f>
        <v>15618002</v>
      </c>
      <c r="T38" s="68">
        <f>'Evolutitve SCI'!S5</f>
        <v>24175866</v>
      </c>
      <c r="U38" s="68">
        <f>'Evolutitve SCI'!T5</f>
        <v>34233265</v>
      </c>
      <c r="V38" s="68">
        <f>'Evolutitve SCI'!U5</f>
        <v>45358395</v>
      </c>
      <c r="W38" s="68">
        <f>'Evolutitve SCI'!V5</f>
        <v>51108181</v>
      </c>
      <c r="X38" s="68">
        <f>'Evolutitve SCI'!W5</f>
        <v>67791255</v>
      </c>
      <c r="Y38" s="68">
        <f>'Evolutitve SCI'!X5</f>
        <v>70038993</v>
      </c>
      <c r="Z38" s="68">
        <f>'Evolutitve SCI'!Y5</f>
        <v>77520374</v>
      </c>
      <c r="AA38" s="68">
        <f>'Evolutitve SCI'!Z5</f>
        <v>85311861</v>
      </c>
      <c r="AB38" s="68">
        <f>'Evolutitve SCI'!AA5</f>
        <v>93839845</v>
      </c>
      <c r="AC38" s="68">
        <f>'Evolutitve SCI'!AB5</f>
        <v>102493547</v>
      </c>
      <c r="AD38" s="68">
        <f>'Evolutitve SCI'!AC5</f>
        <v>137493546</v>
      </c>
      <c r="AE38" s="68">
        <f>'Evolutitve SCI'!AD5</f>
        <v>11746334</v>
      </c>
      <c r="AF38" s="68">
        <f>'Evolutitve SCI'!AE5</f>
        <v>20907742.780000001</v>
      </c>
      <c r="AG38" s="68">
        <f>'Evolutitve SCI'!AF5</f>
        <v>35885583</v>
      </c>
      <c r="AH38" s="68">
        <f>'Evolutitve SCI'!AG5</f>
        <v>44515349.799999997</v>
      </c>
      <c r="AI38" s="68">
        <f>'Evolutitve SCI'!AH5</f>
        <v>54529441.990000002</v>
      </c>
      <c r="AJ38" s="68">
        <f>'Evolutitve SCI'!AI5</f>
        <v>67196381.170000002</v>
      </c>
      <c r="AK38" s="68">
        <f>'Evolutitve SCI'!AJ5</f>
        <v>0</v>
      </c>
      <c r="AL38" s="68">
        <f>'Evolutitve SCI'!AK5</f>
        <v>0</v>
      </c>
      <c r="AM38" s="68">
        <f>'Evolutitve SCI'!AL5</f>
        <v>0</v>
      </c>
      <c r="AN38" s="68">
        <f>'Evolutitve SCI'!AM5</f>
        <v>0</v>
      </c>
      <c r="AO38" s="68">
        <f>'Evolutitve SCI'!AN5</f>
        <v>0</v>
      </c>
      <c r="AP38" s="68">
        <f>'Evolutitve SCI'!AO5</f>
        <v>0</v>
      </c>
      <c r="AQ38" s="68">
        <f>'Evolutitve SCI'!AP5</f>
        <v>0</v>
      </c>
    </row>
    <row r="39" spans="1:43" x14ac:dyDescent="0.3">
      <c r="A39" s="40">
        <v>9.1999999999999993</v>
      </c>
      <c r="B39" s="40" t="s">
        <v>248</v>
      </c>
      <c r="C39" s="68">
        <f>'Evolutitve SCI'!B7</f>
        <v>1743.4416368990005</v>
      </c>
      <c r="D39" s="68">
        <f>'Evolutitve SCI'!C7</f>
        <v>32272653.009999998</v>
      </c>
      <c r="E39" s="68">
        <f>'Evolutitve SCI'!D7</f>
        <v>8583683</v>
      </c>
      <c r="F39" s="68">
        <f>'Evolutitve SCI'!E7</f>
        <v>3751250</v>
      </c>
      <c r="G39" s="68">
        <f>'Evolutitve SCI'!F7</f>
        <v>3751250</v>
      </c>
      <c r="H39" s="68">
        <f>'Evolutitve SCI'!G7</f>
        <v>9460999</v>
      </c>
      <c r="I39" s="68">
        <f>'Evolutitve SCI'!H7</f>
        <v>11388714</v>
      </c>
      <c r="J39" s="68">
        <f>'Evolutitve SCI'!I7</f>
        <v>13363729</v>
      </c>
      <c r="K39" s="68">
        <f>'Evolutitve SCI'!J7</f>
        <v>15382324</v>
      </c>
      <c r="L39" s="68">
        <f>'Evolutitve SCI'!K7</f>
        <v>17263764</v>
      </c>
      <c r="M39" s="68">
        <f>'Evolutitve SCI'!L7</f>
        <v>19070209</v>
      </c>
      <c r="N39" s="68">
        <f>'Evolutitve SCI'!M7</f>
        <v>23567864</v>
      </c>
      <c r="O39" s="68">
        <f>'Evolutitve SCI'!N7</f>
        <v>26126719</v>
      </c>
      <c r="P39" s="68">
        <f>'Evolutitve SCI'!O7</f>
        <v>28080670</v>
      </c>
      <c r="Q39" s="68">
        <f>'Evolutitve SCI'!P7</f>
        <v>10503450</v>
      </c>
      <c r="R39" s="68">
        <f>'Evolutitve SCI'!Q7</f>
        <v>2251350</v>
      </c>
      <c r="S39" s="68">
        <f>'Evolutitve SCI'!R7</f>
        <v>4317215</v>
      </c>
      <c r="T39" s="68">
        <f>'Evolutitve SCI'!S7</f>
        <v>6958690</v>
      </c>
      <c r="U39" s="68">
        <f>'Evolutitve SCI'!T7</f>
        <v>10663825</v>
      </c>
      <c r="V39" s="68">
        <f>'Evolutitve SCI'!U7</f>
        <v>13122485</v>
      </c>
      <c r="W39" s="68">
        <f>'Evolutitve SCI'!V7</f>
        <v>15604760</v>
      </c>
      <c r="X39" s="68">
        <f>'Evolutitve SCI'!W7</f>
        <v>21980985</v>
      </c>
      <c r="Y39" s="68">
        <f>'Evolutitve SCI'!X7</f>
        <v>24271975</v>
      </c>
      <c r="Z39" s="68">
        <f>'Evolutitve SCI'!Y7</f>
        <v>26695535</v>
      </c>
      <c r="AA39" s="68">
        <f>'Evolutitve SCI'!Z7</f>
        <v>29264605</v>
      </c>
      <c r="AB39" s="68">
        <f>'Evolutitve SCI'!AA7</f>
        <v>31803810</v>
      </c>
      <c r="AC39" s="68">
        <f>'Evolutitve SCI'!AB7</f>
        <v>41990823</v>
      </c>
      <c r="AD39" s="68">
        <f>'Evolutitve SCI'!AC7</f>
        <v>17509895</v>
      </c>
      <c r="AE39" s="68">
        <f>'Evolutitve SCI'!AD7</f>
        <v>4226215</v>
      </c>
      <c r="AF39" s="68">
        <f>'Evolutitve SCI'!AE7</f>
        <v>7114394.5</v>
      </c>
      <c r="AG39" s="68">
        <f>'Evolutitve SCI'!AF7</f>
        <v>9609612.5</v>
      </c>
      <c r="AH39" s="68">
        <f>'Evolutitve SCI'!AG7</f>
        <v>12739323</v>
      </c>
      <c r="AI39" s="68">
        <f>'Evolutitve SCI'!AH7</f>
        <v>15310299.5</v>
      </c>
      <c r="AJ39" s="68">
        <f>'Evolutitve SCI'!AI7</f>
        <v>18297556</v>
      </c>
      <c r="AK39" s="68">
        <f>'Evolutitve SCI'!AJ7</f>
        <v>0</v>
      </c>
      <c r="AL39" s="68">
        <f>'Evolutitve SCI'!AK7</f>
        <v>0</v>
      </c>
      <c r="AM39" s="68">
        <f>'Evolutitve SCI'!AL7</f>
        <v>0</v>
      </c>
      <c r="AN39" s="68">
        <f>'Evolutitve SCI'!AM7</f>
        <v>0</v>
      </c>
      <c r="AO39" s="68">
        <f>'Evolutitve SCI'!AN7</f>
        <v>0</v>
      </c>
      <c r="AP39" s="68">
        <f>'Evolutitve SCI'!AO7</f>
        <v>0</v>
      </c>
      <c r="AQ39" s="68">
        <f>'Evolutitve SCI'!AP7</f>
        <v>0</v>
      </c>
    </row>
    <row r="40" spans="1:43" x14ac:dyDescent="0.3">
      <c r="A40" s="40">
        <v>9.3000000000000007</v>
      </c>
      <c r="B40" s="40" t="s">
        <v>249</v>
      </c>
      <c r="C40" s="68">
        <f>'Evolutitve SCI'!B6</f>
        <v>910.37099999999998</v>
      </c>
      <c r="D40" s="68">
        <f>'Evolutitve SCI'!C6</f>
        <v>5510027.3899999997</v>
      </c>
      <c r="E40" s="68">
        <f>'Evolutitve SCI'!D6</f>
        <v>1601827</v>
      </c>
      <c r="F40" s="68">
        <f>'Evolutitve SCI'!E6</f>
        <v>1191294</v>
      </c>
      <c r="G40" s="68">
        <f>'Evolutitve SCI'!F6</f>
        <v>1194294</v>
      </c>
      <c r="H40" s="68">
        <f>'Evolutitve SCI'!G6</f>
        <v>2179561</v>
      </c>
      <c r="I40" s="68">
        <f>'Evolutitve SCI'!H6</f>
        <v>2635124</v>
      </c>
      <c r="J40" s="68">
        <f>'Evolutitve SCI'!I6</f>
        <v>3049124</v>
      </c>
      <c r="K40" s="68">
        <f>'Evolutitve SCI'!J6</f>
        <v>3495837</v>
      </c>
      <c r="L40" s="68">
        <f>'Evolutitve SCI'!K6</f>
        <v>3796764</v>
      </c>
      <c r="M40" s="68">
        <f>'Evolutitve SCI'!L6</f>
        <v>3994621</v>
      </c>
      <c r="N40" s="68">
        <f>'Evolutitve SCI'!M6</f>
        <v>4011544</v>
      </c>
      <c r="O40" s="68">
        <f>'Evolutitve SCI'!N6</f>
        <v>5194311</v>
      </c>
      <c r="P40" s="68">
        <f>'Evolutitve SCI'!O6</f>
        <v>7015044</v>
      </c>
      <c r="Q40" s="68">
        <f>'Evolutitve SCI'!P6</f>
        <v>7015044</v>
      </c>
      <c r="R40" s="68">
        <f>'Evolutitve SCI'!Q6</f>
        <v>421912</v>
      </c>
      <c r="S40" s="68">
        <f>'Evolutitve SCI'!R6</f>
        <v>813895</v>
      </c>
      <c r="T40" s="68">
        <f>'Evolutitve SCI'!S6</f>
        <v>1239896</v>
      </c>
      <c r="U40" s="68">
        <f>'Evolutitve SCI'!T6</f>
        <v>1909763</v>
      </c>
      <c r="V40" s="68">
        <f>'Evolutitve SCI'!U6</f>
        <v>2533020</v>
      </c>
      <c r="W40" s="68">
        <f>'Evolutitve SCI'!V6</f>
        <v>2852117</v>
      </c>
      <c r="X40" s="68">
        <f>'Evolutitve SCI'!W6</f>
        <v>3900276</v>
      </c>
      <c r="Y40" s="68">
        <f>'Evolutitve SCI'!X6</f>
        <v>4607180</v>
      </c>
      <c r="Z40" s="68">
        <f>'Evolutitve SCI'!Y6</f>
        <v>5262317</v>
      </c>
      <c r="AA40" s="68">
        <f>'Evolutitve SCI'!Z6</f>
        <v>5823897</v>
      </c>
      <c r="AB40" s="68">
        <f>'Evolutitve SCI'!AA6</f>
        <v>6376912</v>
      </c>
      <c r="AC40" s="68">
        <f>'Evolutitve SCI'!AB6</f>
        <v>6882732</v>
      </c>
      <c r="AD40" s="68">
        <f>'Evolutitve SCI'!AC6</f>
        <v>8293781</v>
      </c>
      <c r="AE40" s="68">
        <f>'Evolutitve SCI'!AD6</f>
        <v>819720</v>
      </c>
      <c r="AF40" s="68">
        <f>'Evolutitve SCI'!AE6</f>
        <v>1491223.36</v>
      </c>
      <c r="AG40" s="68">
        <f>'Evolutitve SCI'!AF6</f>
        <v>2094238</v>
      </c>
      <c r="AH40" s="68">
        <f>'Evolutitve SCI'!AG6</f>
        <v>2565993.91</v>
      </c>
      <c r="AI40" s="68">
        <f>'Evolutitve SCI'!AH6</f>
        <v>3228411.61</v>
      </c>
      <c r="AJ40" s="68">
        <f>'Evolutitve SCI'!AI6</f>
        <v>3641531.96</v>
      </c>
      <c r="AK40" s="68">
        <f>'Evolutitve SCI'!AJ6</f>
        <v>0</v>
      </c>
      <c r="AL40" s="68">
        <f>'Evolutitve SCI'!AK6</f>
        <v>0</v>
      </c>
      <c r="AM40" s="68">
        <f>'Evolutitve SCI'!AL6</f>
        <v>0</v>
      </c>
      <c r="AN40" s="68">
        <f>'Evolutitve SCI'!AM6</f>
        <v>0</v>
      </c>
      <c r="AO40" s="68">
        <f>'Evolutitve SCI'!AN6</f>
        <v>0</v>
      </c>
      <c r="AP40" s="68">
        <f>'Evolutitve SCI'!AO6</f>
        <v>0</v>
      </c>
      <c r="AQ40" s="68">
        <f>'Evolutitve SCI'!AP6</f>
        <v>0</v>
      </c>
    </row>
    <row r="41" spans="1:43" x14ac:dyDescent="0.3">
      <c r="A41" s="40">
        <v>9.4</v>
      </c>
      <c r="B41" s="40" t="s">
        <v>250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</row>
    <row r="42" spans="1:43" x14ac:dyDescent="0.3">
      <c r="A42" s="40"/>
      <c r="B42" s="40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</row>
    <row r="43" spans="1:43" x14ac:dyDescent="0.3">
      <c r="A43" s="42">
        <v>10</v>
      </c>
      <c r="B43" s="48" t="s">
        <v>251</v>
      </c>
      <c r="C43" s="69">
        <f>SUM(C44:C47)</f>
        <v>11568.464599999999</v>
      </c>
      <c r="D43" s="69">
        <f>SUM(D44:D47)</f>
        <v>45969829.07</v>
      </c>
      <c r="E43" s="69">
        <f>SUM(E44:E47)</f>
        <v>12092816</v>
      </c>
      <c r="F43" s="69">
        <f>SUM(F44:F47)</f>
        <v>12981694</v>
      </c>
      <c r="G43" s="69">
        <f t="shared" ref="G43:N43" si="49">SUM(G44:G47)</f>
        <v>7628767</v>
      </c>
      <c r="H43" s="69">
        <f>SUM(H44:H47)</f>
        <v>15278994.300000001</v>
      </c>
      <c r="I43" s="69">
        <f>SUM(I44:I47)</f>
        <v>17425328</v>
      </c>
      <c r="J43" s="69">
        <f t="shared" si="49"/>
        <v>19580517</v>
      </c>
      <c r="K43" s="69">
        <f t="shared" si="49"/>
        <v>21688247</v>
      </c>
      <c r="L43" s="69">
        <f t="shared" si="49"/>
        <v>23820769</v>
      </c>
      <c r="M43" s="69">
        <f t="shared" si="49"/>
        <v>25484878</v>
      </c>
      <c r="N43" s="69">
        <f t="shared" si="49"/>
        <v>36206237</v>
      </c>
      <c r="O43" s="69">
        <f t="shared" ref="O43:Q43" si="50">SUM(O44:O47)</f>
        <v>38519595</v>
      </c>
      <c r="P43" s="69">
        <f t="shared" si="50"/>
        <v>53258036</v>
      </c>
      <c r="Q43" s="69">
        <f t="shared" si="50"/>
        <v>53756081</v>
      </c>
      <c r="R43" s="69">
        <f t="shared" ref="R43:S43" si="51">SUM(R44:R47)</f>
        <v>3501495</v>
      </c>
      <c r="S43" s="69">
        <f t="shared" si="51"/>
        <v>6538712</v>
      </c>
      <c r="T43" s="69">
        <f t="shared" ref="T43:X43" si="52">SUM(T44:T47)</f>
        <v>10135521</v>
      </c>
      <c r="U43" s="69">
        <f t="shared" si="52"/>
        <v>13866160</v>
      </c>
      <c r="V43" s="69">
        <f t="shared" si="52"/>
        <v>17305986</v>
      </c>
      <c r="W43" s="69">
        <f t="shared" si="52"/>
        <v>20895248</v>
      </c>
      <c r="X43" s="69">
        <f t="shared" si="52"/>
        <v>24609852</v>
      </c>
      <c r="Y43" s="69">
        <f t="shared" ref="Y43:AA43" si="53">SUM(Y44:Y47)</f>
        <v>29520178</v>
      </c>
      <c r="Z43" s="69">
        <f t="shared" si="53"/>
        <v>33059735</v>
      </c>
      <c r="AA43" s="69">
        <f t="shared" si="53"/>
        <v>36515684</v>
      </c>
      <c r="AB43" s="69">
        <f t="shared" ref="AB43:AC43" si="54">SUM(AB44:AB47)</f>
        <v>42310388</v>
      </c>
      <c r="AC43" s="69">
        <f t="shared" si="54"/>
        <v>47690511</v>
      </c>
      <c r="AD43" s="69">
        <f t="shared" ref="AD43:AF43" si="55">SUM(AD44:AD47)</f>
        <v>58476837.75</v>
      </c>
      <c r="AE43" s="69">
        <f t="shared" si="55"/>
        <v>4551156</v>
      </c>
      <c r="AF43" s="69">
        <f t="shared" si="55"/>
        <v>9883926.0099999998</v>
      </c>
      <c r="AG43" s="69">
        <f t="shared" ref="AG43:AQ43" si="56">SUM(AG44:AG47)</f>
        <v>15599260</v>
      </c>
      <c r="AH43" s="69">
        <f t="shared" si="56"/>
        <v>19608086.689999998</v>
      </c>
      <c r="AI43" s="69">
        <f t="shared" si="56"/>
        <v>25069339.560000002</v>
      </c>
      <c r="AJ43" s="69">
        <f t="shared" si="56"/>
        <v>30051136.960000001</v>
      </c>
      <c r="AK43" s="69">
        <f t="shared" si="56"/>
        <v>0</v>
      </c>
      <c r="AL43" s="69">
        <f t="shared" si="56"/>
        <v>0</v>
      </c>
      <c r="AM43" s="69">
        <f t="shared" si="56"/>
        <v>0</v>
      </c>
      <c r="AN43" s="69">
        <f t="shared" si="56"/>
        <v>0</v>
      </c>
      <c r="AO43" s="69">
        <f t="shared" si="56"/>
        <v>0</v>
      </c>
      <c r="AP43" s="69">
        <f t="shared" si="56"/>
        <v>0</v>
      </c>
      <c r="AQ43" s="69">
        <f t="shared" si="56"/>
        <v>0</v>
      </c>
    </row>
    <row r="44" spans="1:43" x14ac:dyDescent="0.3">
      <c r="A44" s="40">
        <v>10.1</v>
      </c>
      <c r="B44" s="40" t="s">
        <v>252</v>
      </c>
      <c r="C44" s="68">
        <f>'Evolutitve SCI'!B13+'Evolutitve SCI'!B16</f>
        <v>185.36</v>
      </c>
      <c r="D44" s="68">
        <f>'Evolutitve SCI'!C13+'Evolutitve SCI'!C16</f>
        <v>4015405</v>
      </c>
      <c r="E44" s="68">
        <f>'Evolutitve SCI'!D13+'Evolutitve SCI'!D16</f>
        <v>824611</v>
      </c>
      <c r="F44" s="68">
        <f>'Evolutitve SCI'!E13+'Evolutitve SCI'!E16</f>
        <v>237766</v>
      </c>
      <c r="G44" s="68">
        <f>'Evolutitve SCI'!F13+'Evolutitve SCI'!F16</f>
        <v>425275</v>
      </c>
      <c r="H44" s="68">
        <f>'Evolutitve SCI'!G13+'Evolutitve SCI'!G16</f>
        <v>508091</v>
      </c>
      <c r="I44" s="68">
        <f>'Evolutitve SCI'!H13+'Evolutitve SCI'!H16</f>
        <v>625690</v>
      </c>
      <c r="J44" s="68">
        <f>'Evolutitve SCI'!I13+'Evolutitve SCI'!I16</f>
        <v>737824</v>
      </c>
      <c r="K44" s="68">
        <f>'Evolutitve SCI'!J13+'Evolutitve SCI'!J16</f>
        <v>737824</v>
      </c>
      <c r="L44" s="68">
        <f>'Evolutitve SCI'!K13+'Evolutitve SCI'!K16</f>
        <v>962092</v>
      </c>
      <c r="M44" s="68">
        <f>'Evolutitve SCI'!L13+'Evolutitve SCI'!L16</f>
        <v>1110216</v>
      </c>
      <c r="N44" s="68">
        <f>'Evolutitve SCI'!M13+'Evolutitve SCI'!M16</f>
        <v>1222350</v>
      </c>
      <c r="O44" s="68">
        <f>'Evolutitve SCI'!N13+'Evolutitve SCI'!N16</f>
        <v>1427844</v>
      </c>
      <c r="P44" s="68">
        <f>'Evolutitve SCI'!O13+'Evolutitve SCI'!O16</f>
        <v>9351157</v>
      </c>
      <c r="Q44" s="68">
        <f>'Evolutitve SCI'!P13+'Evolutitve SCI'!P16</f>
        <v>6368527</v>
      </c>
      <c r="R44" s="68">
        <f>'Evolutitve SCI'!Q13+'Evolutitve SCI'!Q16</f>
        <v>151334</v>
      </c>
      <c r="S44" s="68">
        <f>'Evolutitve SCI'!R13+'Evolutitve SCI'!R16</f>
        <v>250694</v>
      </c>
      <c r="T44" s="68">
        <f>'Evolutitve SCI'!S13+'Evolutitve SCI'!S16</f>
        <v>411602</v>
      </c>
      <c r="U44" s="68">
        <f>'Evolutitve SCI'!T13+'Evolutitve SCI'!T16</f>
        <v>523736</v>
      </c>
      <c r="V44" s="68">
        <f>'Evolutitve SCI'!U13+'Evolutitve SCI'!U16</f>
        <v>635870</v>
      </c>
      <c r="W44" s="68">
        <f>'Evolutitve SCI'!V13+'Evolutitve SCI'!V16</f>
        <v>751004</v>
      </c>
      <c r="X44" s="68">
        <f>'Evolutitve SCI'!W13+'Evolutitve SCI'!W16</f>
        <v>866138</v>
      </c>
      <c r="Y44" s="68">
        <f>'Evolutitve SCI'!X13+'Evolutitve SCI'!X16</f>
        <v>981272</v>
      </c>
      <c r="Z44" s="68">
        <f>'Evolutitve SCI'!Y13+'Evolutitve SCI'!Y16</f>
        <v>1096406</v>
      </c>
      <c r="AA44" s="68">
        <f>'Evolutitve SCI'!Z13+'Evolutitve SCI'!Z16</f>
        <v>1220405</v>
      </c>
      <c r="AB44" s="68">
        <f>'Evolutitve SCI'!AA13+'Evolutitve SCI'!AA16</f>
        <v>1335539</v>
      </c>
      <c r="AC44" s="68">
        <f>'Evolutitve SCI'!AB13+'Evolutitve SCI'!AB16</f>
        <v>1565807</v>
      </c>
      <c r="AD44" s="68">
        <f>'Evolutitve SCI'!AC13+'Evolutitve SCI'!AC16</f>
        <v>7829871.75</v>
      </c>
      <c r="AE44" s="68">
        <f>'Evolutitve SCI'!AD13+'Evolutitve SCI'!AD16</f>
        <v>108225</v>
      </c>
      <c r="AF44" s="68">
        <f>'Evolutitve SCI'!AE13+'Evolutitve SCI'!AE16</f>
        <v>132255</v>
      </c>
      <c r="AG44" s="68">
        <f>'Evolutitve SCI'!AF13+'Evolutitve SCI'!AF16</f>
        <v>484566</v>
      </c>
      <c r="AH44" s="68">
        <f>'Evolutitve SCI'!AG13+'Evolutitve SCI'!AG16</f>
        <v>477657</v>
      </c>
      <c r="AI44" s="68">
        <f>'Evolutitve SCI'!AH13+'Evolutitve SCI'!AH16</f>
        <v>592791</v>
      </c>
      <c r="AJ44" s="68">
        <f>'Evolutitve SCI'!AI13+'Evolutitve SCI'!AI16</f>
        <v>707925</v>
      </c>
      <c r="AK44" s="68">
        <f>'Evolutitve SCI'!AJ13+'Evolutitve SCI'!AJ16</f>
        <v>0</v>
      </c>
      <c r="AL44" s="68">
        <f>'Evolutitve SCI'!AK13+'Evolutitve SCI'!AK16</f>
        <v>0</v>
      </c>
      <c r="AM44" s="68">
        <f>'Evolutitve SCI'!AL13+'Evolutitve SCI'!AL16</f>
        <v>0</v>
      </c>
      <c r="AN44" s="68">
        <f>'Evolutitve SCI'!AM13+'Evolutitve SCI'!AM16</f>
        <v>0</v>
      </c>
      <c r="AO44" s="68">
        <f>'Evolutitve SCI'!AN13+'Evolutitve SCI'!AN16</f>
        <v>0</v>
      </c>
      <c r="AP44" s="68">
        <f>'Evolutitve SCI'!AO13+'Evolutitve SCI'!AO16</f>
        <v>0</v>
      </c>
      <c r="AQ44" s="68">
        <f>'Evolutitve SCI'!AP13+'Evolutitve SCI'!AP16</f>
        <v>0</v>
      </c>
    </row>
    <row r="45" spans="1:43" x14ac:dyDescent="0.3">
      <c r="A45" s="40">
        <v>10.199999999999999</v>
      </c>
      <c r="B45" s="40" t="s">
        <v>253</v>
      </c>
      <c r="C45" s="68">
        <f>'Evolutitve SCI'!B15</f>
        <v>0</v>
      </c>
      <c r="D45" s="68">
        <f>'Evolutitve SCI'!C15</f>
        <v>0</v>
      </c>
      <c r="E45" s="68">
        <f>'Evolutitve SCI'!D15</f>
        <v>0</v>
      </c>
      <c r="F45" s="68">
        <f>'Evolutitve SCI'!E15</f>
        <v>0</v>
      </c>
      <c r="G45" s="68">
        <f>'Evolutitve SCI'!F15</f>
        <v>0</v>
      </c>
      <c r="H45" s="68">
        <f>'Evolutitve SCI'!G15</f>
        <v>0</v>
      </c>
      <c r="I45" s="68">
        <f>'Evolutitve SCI'!H15</f>
        <v>0</v>
      </c>
      <c r="J45" s="68">
        <f>'Evolutitve SCI'!I15</f>
        <v>0</v>
      </c>
      <c r="K45" s="68">
        <f>'Evolutitve SCI'!J15</f>
        <v>0</v>
      </c>
      <c r="L45" s="68">
        <f>'Evolutitve SCI'!K15</f>
        <v>0</v>
      </c>
      <c r="M45" s="68">
        <f>'Evolutitve SCI'!L15</f>
        <v>0</v>
      </c>
      <c r="N45" s="68">
        <f>'Evolutitve SCI'!M15</f>
        <v>0</v>
      </c>
      <c r="O45" s="68">
        <f>'Evolutitve SCI'!N15</f>
        <v>0</v>
      </c>
      <c r="P45" s="68">
        <f>'Evolutitve SCI'!O15</f>
        <v>0</v>
      </c>
      <c r="Q45" s="68">
        <f>'Evolutitve SCI'!P15</f>
        <v>0</v>
      </c>
      <c r="R45" s="68">
        <f>'Evolutitve SCI'!Q15</f>
        <v>0</v>
      </c>
      <c r="S45" s="68">
        <f>'Evolutitve SCI'!R15</f>
        <v>0</v>
      </c>
      <c r="T45" s="68">
        <f>'Evolutitve SCI'!S15</f>
        <v>0</v>
      </c>
      <c r="U45" s="68">
        <f>'Evolutitve SCI'!T15</f>
        <v>0</v>
      </c>
      <c r="V45" s="68">
        <f>'Evolutitve SCI'!U15</f>
        <v>0</v>
      </c>
      <c r="W45" s="68">
        <f>'Evolutitve SCI'!V15</f>
        <v>0</v>
      </c>
      <c r="X45" s="68">
        <f>'Evolutitve SCI'!W15</f>
        <v>0</v>
      </c>
      <c r="Y45" s="68">
        <f>'Evolutitve SCI'!X15</f>
        <v>0</v>
      </c>
      <c r="Z45" s="68">
        <f>'Evolutitve SCI'!Y15</f>
        <v>0</v>
      </c>
      <c r="AA45" s="68">
        <f>'Evolutitve SCI'!Z15</f>
        <v>0</v>
      </c>
      <c r="AB45" s="68">
        <f>'Evolutitve SCI'!AA15</f>
        <v>0</v>
      </c>
      <c r="AC45" s="68">
        <f>'Evolutitve SCI'!AB15</f>
        <v>0</v>
      </c>
      <c r="AD45" s="68">
        <f>'Evolutitve SCI'!AC15</f>
        <v>0</v>
      </c>
      <c r="AE45" s="68">
        <f>'Evolutitve SCI'!AD15</f>
        <v>0</v>
      </c>
      <c r="AF45" s="68">
        <f>'Evolutitve SCI'!AE15</f>
        <v>0</v>
      </c>
      <c r="AG45" s="68">
        <f>'Evolutitve SCI'!AF15</f>
        <v>0</v>
      </c>
      <c r="AH45" s="68">
        <f>'Evolutitve SCI'!AG15</f>
        <v>0</v>
      </c>
      <c r="AI45" s="68">
        <f>'Evolutitve SCI'!AH15</f>
        <v>0</v>
      </c>
      <c r="AJ45" s="68">
        <f>'Evolutitve SCI'!AI15</f>
        <v>0</v>
      </c>
      <c r="AK45" s="68">
        <f>'Evolutitve SCI'!AJ15</f>
        <v>0</v>
      </c>
      <c r="AL45" s="68">
        <f>'Evolutitve SCI'!AK15</f>
        <v>0</v>
      </c>
      <c r="AM45" s="68">
        <f>'Evolutitve SCI'!AL15</f>
        <v>0</v>
      </c>
      <c r="AN45" s="68">
        <f>'Evolutitve SCI'!AM15</f>
        <v>0</v>
      </c>
      <c r="AO45" s="68">
        <f>'Evolutitve SCI'!AN15</f>
        <v>0</v>
      </c>
      <c r="AP45" s="68">
        <f>'Evolutitve SCI'!AO15</f>
        <v>0</v>
      </c>
      <c r="AQ45" s="68">
        <f>'Evolutitve SCI'!AP15</f>
        <v>0</v>
      </c>
    </row>
    <row r="46" spans="1:43" x14ac:dyDescent="0.3">
      <c r="A46" s="40">
        <v>10.3</v>
      </c>
      <c r="B46" s="40" t="s">
        <v>254</v>
      </c>
      <c r="C46" s="68">
        <f>'Evolutitve SCI'!B14</f>
        <v>363.72469999999998</v>
      </c>
      <c r="D46" s="68">
        <f>'Evolutitve SCI'!C14</f>
        <v>0</v>
      </c>
      <c r="E46" s="68">
        <f>'Evolutitve SCI'!D14</f>
        <v>0</v>
      </c>
      <c r="F46" s="68">
        <f>'Evolutitve SCI'!E14</f>
        <v>0</v>
      </c>
      <c r="G46" s="68">
        <f>'Evolutitve SCI'!F14</f>
        <v>0</v>
      </c>
      <c r="H46" s="68">
        <f>'Evolutitve SCI'!G14</f>
        <v>0</v>
      </c>
      <c r="I46" s="68">
        <f>'Evolutitve SCI'!H14</f>
        <v>0</v>
      </c>
      <c r="J46" s="68">
        <f>'Evolutitve SCI'!I14</f>
        <v>0</v>
      </c>
      <c r="K46" s="68">
        <f>'Evolutitve SCI'!J14</f>
        <v>0</v>
      </c>
      <c r="L46" s="68">
        <f>'Evolutitve SCI'!K14</f>
        <v>155435</v>
      </c>
      <c r="M46" s="68">
        <f>'Evolutitve SCI'!L14</f>
        <v>155435</v>
      </c>
      <c r="N46" s="68">
        <f>'Evolutitve SCI'!M14</f>
        <v>155436</v>
      </c>
      <c r="O46" s="68">
        <f>'Evolutitve SCI'!N14</f>
        <v>155436</v>
      </c>
      <c r="P46" s="68">
        <f>'Evolutitve SCI'!O14</f>
        <v>825237</v>
      </c>
      <c r="Q46" s="68">
        <f>'Evolutitve SCI'!P14</f>
        <v>0</v>
      </c>
      <c r="R46" s="68">
        <f>'Evolutitve SCI'!Q14</f>
        <v>0</v>
      </c>
      <c r="S46" s="68">
        <f>'Evolutitve SCI'!R14</f>
        <v>0</v>
      </c>
      <c r="T46" s="68">
        <f>'Evolutitve SCI'!S14</f>
        <v>0</v>
      </c>
      <c r="U46" s="68">
        <f>'Evolutitve SCI'!T14</f>
        <v>0</v>
      </c>
      <c r="V46" s="68">
        <f>'Evolutitve SCI'!U14</f>
        <v>0</v>
      </c>
      <c r="W46" s="68">
        <f>'Evolutitve SCI'!V14</f>
        <v>0</v>
      </c>
      <c r="X46" s="68">
        <f>'Evolutitve SCI'!W14</f>
        <v>0</v>
      </c>
      <c r="Y46" s="68">
        <f>'Evolutitve SCI'!X14</f>
        <v>0</v>
      </c>
      <c r="Z46" s="68">
        <f>'Evolutitve SCI'!Y14</f>
        <v>0</v>
      </c>
      <c r="AA46" s="68">
        <f>'Evolutitve SCI'!Z14</f>
        <v>0</v>
      </c>
      <c r="AB46" s="68">
        <f>'Evolutitve SCI'!AA14</f>
        <v>0</v>
      </c>
      <c r="AC46" s="68">
        <f>'Evolutitve SCI'!AB14</f>
        <v>0</v>
      </c>
      <c r="AD46" s="68">
        <f>'Evolutitve SCI'!AC14</f>
        <v>0</v>
      </c>
      <c r="AE46" s="68">
        <f>'Evolutitve SCI'!AD14</f>
        <v>0</v>
      </c>
      <c r="AF46" s="68">
        <f>'Evolutitve SCI'!AE14</f>
        <v>0</v>
      </c>
      <c r="AG46" s="68">
        <f>'Evolutitve SCI'!AF14</f>
        <v>0</v>
      </c>
      <c r="AH46" s="68">
        <f>'Evolutitve SCI'!AG14</f>
        <v>0</v>
      </c>
      <c r="AI46" s="68">
        <f>'Evolutitve SCI'!AH14</f>
        <v>0</v>
      </c>
      <c r="AJ46" s="68">
        <f>'Evolutitve SCI'!AI14</f>
        <v>0</v>
      </c>
      <c r="AK46" s="68">
        <f>'Evolutitve SCI'!AJ14</f>
        <v>0</v>
      </c>
      <c r="AL46" s="68">
        <f>'Evolutitve SCI'!AK14</f>
        <v>0</v>
      </c>
      <c r="AM46" s="68">
        <f>'Evolutitve SCI'!AL14</f>
        <v>0</v>
      </c>
      <c r="AN46" s="68">
        <f>'Evolutitve SCI'!AM14</f>
        <v>0</v>
      </c>
      <c r="AO46" s="68">
        <f>'Evolutitve SCI'!AN14</f>
        <v>0</v>
      </c>
      <c r="AP46" s="68">
        <f>'Evolutitve SCI'!AO14</f>
        <v>0</v>
      </c>
      <c r="AQ46" s="68">
        <f>'Evolutitve SCI'!AP14</f>
        <v>0</v>
      </c>
    </row>
    <row r="47" spans="1:43" x14ac:dyDescent="0.3">
      <c r="A47" s="40">
        <v>10.4</v>
      </c>
      <c r="B47" s="40" t="s">
        <v>255</v>
      </c>
      <c r="C47" s="68">
        <f>'Evolutitve SCI'!B23</f>
        <v>11019.3799</v>
      </c>
      <c r="D47" s="68">
        <f>'Evolutitve SCI'!C23</f>
        <v>41954424.07</v>
      </c>
      <c r="E47" s="68">
        <f>'Evolutitve SCI'!D23</f>
        <v>11268205</v>
      </c>
      <c r="F47" s="68">
        <f>'Evolutitve SCI'!E23</f>
        <v>12743928</v>
      </c>
      <c r="G47" s="68">
        <f>'Evolutitve SCI'!F23</f>
        <v>7203492</v>
      </c>
      <c r="H47" s="68">
        <f>'Evolutitve SCI'!G23</f>
        <v>14770903.300000001</v>
      </c>
      <c r="I47" s="68">
        <f>'Evolutitve SCI'!H23</f>
        <v>16799638</v>
      </c>
      <c r="J47" s="68">
        <f>'Evolutitve SCI'!I23</f>
        <v>18842693</v>
      </c>
      <c r="K47" s="68">
        <f>'Evolutitve SCI'!J23</f>
        <v>20950423</v>
      </c>
      <c r="L47" s="68">
        <f>'Evolutitve SCI'!K23</f>
        <v>22703242</v>
      </c>
      <c r="M47" s="68">
        <f>'Evolutitve SCI'!L23</f>
        <v>24219227</v>
      </c>
      <c r="N47" s="68">
        <f>'Evolutitve SCI'!M23</f>
        <v>34828451</v>
      </c>
      <c r="O47" s="68">
        <f>'Evolutitve SCI'!N23</f>
        <v>36936315</v>
      </c>
      <c r="P47" s="68">
        <f>'Evolutitve SCI'!O23</f>
        <v>43081642</v>
      </c>
      <c r="Q47" s="68">
        <f>'Evolutitve SCI'!P23</f>
        <v>47387554</v>
      </c>
      <c r="R47" s="68">
        <f>'Evolutitve SCI'!Q23</f>
        <v>3350161</v>
      </c>
      <c r="S47" s="68">
        <f>'Evolutitve SCI'!R23</f>
        <v>6288018</v>
      </c>
      <c r="T47" s="68">
        <f>'Evolutitve SCI'!S23</f>
        <v>9723919</v>
      </c>
      <c r="U47" s="68">
        <f>'Evolutitve SCI'!T23</f>
        <v>13342424</v>
      </c>
      <c r="V47" s="68">
        <f>'Evolutitve SCI'!U23</f>
        <v>16670116</v>
      </c>
      <c r="W47" s="68">
        <f>'Evolutitve SCI'!V23</f>
        <v>20144244</v>
      </c>
      <c r="X47" s="68">
        <f>'Evolutitve SCI'!W23</f>
        <v>23743714</v>
      </c>
      <c r="Y47" s="68">
        <f>'Evolutitve SCI'!X23</f>
        <v>28538906</v>
      </c>
      <c r="Z47" s="68">
        <f>'Evolutitve SCI'!Y23</f>
        <v>31963329</v>
      </c>
      <c r="AA47" s="68">
        <f>'Evolutitve SCI'!Z23</f>
        <v>35295279</v>
      </c>
      <c r="AB47" s="68">
        <f>'Evolutitve SCI'!AA23</f>
        <v>40974849</v>
      </c>
      <c r="AC47" s="68">
        <f>'Evolutitve SCI'!AB23</f>
        <v>46124704</v>
      </c>
      <c r="AD47" s="68">
        <f>'Evolutitve SCI'!AC23</f>
        <v>50646966</v>
      </c>
      <c r="AE47" s="68">
        <f>'Evolutitve SCI'!AD23</f>
        <v>4442931</v>
      </c>
      <c r="AF47" s="68">
        <f>'Evolutitve SCI'!AE23</f>
        <v>9751671.0099999998</v>
      </c>
      <c r="AG47" s="68">
        <f>'Evolutitve SCI'!AF23</f>
        <v>15114694</v>
      </c>
      <c r="AH47" s="68">
        <f>'Evolutitve SCI'!AG23</f>
        <v>19130429.689999998</v>
      </c>
      <c r="AI47" s="68">
        <f>'Evolutitve SCI'!AH23</f>
        <v>24476548.560000002</v>
      </c>
      <c r="AJ47" s="68">
        <f>'Evolutitve SCI'!AI23</f>
        <v>29343211.960000001</v>
      </c>
      <c r="AK47" s="68">
        <f>'Evolutitve SCI'!AJ23</f>
        <v>0</v>
      </c>
      <c r="AL47" s="68">
        <f>'Evolutitve SCI'!AK23</f>
        <v>0</v>
      </c>
      <c r="AM47" s="68">
        <f>'Evolutitve SCI'!AL23</f>
        <v>0</v>
      </c>
      <c r="AN47" s="68">
        <f>'Evolutitve SCI'!AM23</f>
        <v>0</v>
      </c>
      <c r="AO47" s="68">
        <f>'Evolutitve SCI'!AN23</f>
        <v>0</v>
      </c>
      <c r="AP47" s="68">
        <f>'Evolutitve SCI'!AO23</f>
        <v>0</v>
      </c>
      <c r="AQ47" s="68">
        <f>'Evolutitve SCI'!AP23</f>
        <v>0</v>
      </c>
    </row>
  </sheetData>
  <phoneticPr fontId="61" type="noConversion"/>
  <pageMargins left="0.7" right="0.7" top="0.75" bottom="0.75" header="0.3" footer="0.3"/>
  <pageSetup scale="4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0"/>
  <sheetViews>
    <sheetView workbookViewId="0">
      <pane xSplit="2" ySplit="3" topLeftCell="C16" activePane="bottomRight" state="frozen"/>
      <selection pane="topRight" activeCell="C1" sqref="C1"/>
      <selection pane="bottomLeft" activeCell="A4" sqref="A4"/>
      <selection pane="bottomRight" activeCell="V7" sqref="V7"/>
    </sheetView>
  </sheetViews>
  <sheetFormatPr defaultRowHeight="14.4" x14ac:dyDescent="0.3"/>
  <cols>
    <col min="1" max="1" width="13.5546875" bestFit="1" customWidth="1"/>
    <col min="2" max="2" width="10.44140625" bestFit="1" customWidth="1"/>
    <col min="3" max="4" width="12.88671875" bestFit="1" customWidth="1"/>
    <col min="5" max="5" width="12.5546875" bestFit="1" customWidth="1"/>
    <col min="6" max="7" width="12.88671875" bestFit="1" customWidth="1"/>
    <col min="8" max="9" width="12.5546875" bestFit="1" customWidth="1"/>
    <col min="10" max="10" width="6.5546875" bestFit="1" customWidth="1"/>
    <col min="11" max="11" width="7" bestFit="1" customWidth="1"/>
    <col min="12" max="12" width="7.33203125" bestFit="1" customWidth="1"/>
    <col min="13" max="13" width="6.88671875" bestFit="1" customWidth="1"/>
    <col min="14" max="14" width="7.5546875" bestFit="1" customWidth="1"/>
    <col min="15" max="15" width="9.33203125" customWidth="1"/>
    <col min="16" max="16" width="10.109375" customWidth="1"/>
    <col min="17" max="17" width="12" customWidth="1"/>
    <col min="18" max="18" width="14.33203125" customWidth="1"/>
    <col min="19" max="19" width="10.6640625" customWidth="1"/>
    <col min="20" max="20" width="10.44140625" customWidth="1"/>
    <col min="21" max="21" width="12.109375" customWidth="1"/>
  </cols>
  <sheetData>
    <row r="2" spans="1:21" ht="26.4" thickBot="1" x14ac:dyDescent="0.55000000000000004">
      <c r="A2" s="242" t="s">
        <v>256</v>
      </c>
      <c r="B2" s="243"/>
      <c r="C2" s="243"/>
      <c r="D2" s="243"/>
      <c r="E2" s="243"/>
      <c r="F2" s="244"/>
    </row>
    <row r="3" spans="1:21" ht="40.200000000000003" x14ac:dyDescent="0.3">
      <c r="A3" s="129" t="s">
        <v>257</v>
      </c>
      <c r="B3" s="130" t="s">
        <v>258</v>
      </c>
      <c r="C3" s="131" t="s">
        <v>0</v>
      </c>
      <c r="D3" s="131" t="s">
        <v>259</v>
      </c>
      <c r="E3" s="164">
        <v>44197.120173611111</v>
      </c>
      <c r="F3" s="164">
        <v>44229</v>
      </c>
      <c r="G3" s="164">
        <v>44258</v>
      </c>
      <c r="H3" s="164">
        <v>44290</v>
      </c>
      <c r="I3" s="164">
        <v>44321</v>
      </c>
      <c r="J3" s="164">
        <v>44353</v>
      </c>
      <c r="K3" s="164">
        <v>44384</v>
      </c>
      <c r="L3" s="164">
        <v>44416</v>
      </c>
      <c r="M3" s="164">
        <v>44448</v>
      </c>
      <c r="N3" s="164">
        <v>44479</v>
      </c>
      <c r="O3" s="164">
        <v>44511</v>
      </c>
      <c r="P3" s="164">
        <v>44542</v>
      </c>
      <c r="Q3" s="132" t="s">
        <v>2</v>
      </c>
      <c r="R3" s="132">
        <v>44562</v>
      </c>
      <c r="S3" s="132">
        <v>44593</v>
      </c>
      <c r="T3" s="132">
        <v>44621</v>
      </c>
      <c r="U3" s="132">
        <v>44652</v>
      </c>
    </row>
    <row r="4" spans="1:21" x14ac:dyDescent="0.3">
      <c r="A4" s="133" t="s">
        <v>260</v>
      </c>
      <c r="B4" s="134"/>
      <c r="C4" s="134"/>
      <c r="D4" s="134"/>
      <c r="E4" s="135"/>
      <c r="F4" s="135"/>
      <c r="G4" s="134"/>
      <c r="H4" s="134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</row>
    <row r="5" spans="1:21" x14ac:dyDescent="0.3">
      <c r="A5" s="61" t="s">
        <v>261</v>
      </c>
      <c r="B5" s="136" t="s">
        <v>262</v>
      </c>
      <c r="C5" s="137" t="str">
        <f>IF(CAELS!D3&gt;10,"1","5")</f>
        <v>1</v>
      </c>
      <c r="D5" s="137" t="str">
        <f>IF(CAELS!E3&gt;10,"1","5")</f>
        <v>1</v>
      </c>
      <c r="E5" s="137" t="str">
        <f>IF(CAELS!F3&gt;10,"1","5")</f>
        <v>1</v>
      </c>
      <c r="F5" s="137" t="str">
        <f>IF(CAELS!G3&gt;10,"1","5")</f>
        <v>1</v>
      </c>
      <c r="G5" s="137" t="str">
        <f>IF(CAELS!H3&gt;10,"1","5")</f>
        <v>1</v>
      </c>
      <c r="H5" s="137" t="str">
        <f>IF(CAELS!I3&gt;10,"1","5")</f>
        <v>1</v>
      </c>
      <c r="I5" s="137" t="str">
        <f>IF(CAELS!J3&gt;10,"1","5")</f>
        <v>1</v>
      </c>
      <c r="J5" s="137" t="str">
        <f>IF(CAELS!K3&gt;10,"1","5")</f>
        <v>1</v>
      </c>
      <c r="K5" s="137" t="str">
        <f>IF(CAELS!L3&gt;10,"1","5")</f>
        <v>1</v>
      </c>
      <c r="L5" s="137" t="str">
        <f>IF(CAELS!M3&gt;10,"1","5")</f>
        <v>1</v>
      </c>
      <c r="M5" s="137" t="str">
        <f>IF(CAELS!N3&gt;10,"1","5")</f>
        <v>1</v>
      </c>
      <c r="N5" s="137" t="str">
        <f>IF(CAELS!O3&gt;10,"1","5")</f>
        <v>1</v>
      </c>
      <c r="O5" s="137" t="str">
        <f>IF(CAELS!P3&gt;10,"1","5")</f>
        <v>1</v>
      </c>
      <c r="P5" s="137" t="str">
        <f>IF(CAELS!Q3&gt;10,"1","5")</f>
        <v>1</v>
      </c>
      <c r="Q5" s="137" t="str">
        <f>IF(CAELS!R3&gt;10,"1","5")</f>
        <v>1</v>
      </c>
      <c r="R5" s="137" t="str">
        <f>IF(CAELS!S3&gt;10,"1","5")</f>
        <v>1</v>
      </c>
      <c r="S5" s="137" t="str">
        <f>IF(CAELS!T3&gt;10,"1","5")</f>
        <v>1</v>
      </c>
      <c r="T5" s="137" t="str">
        <f>IF(CAELS!U3&gt;10,"1","5")</f>
        <v>1</v>
      </c>
      <c r="U5" s="137" t="str">
        <f>IF(CAELS!V3&gt;10,"1","5")</f>
        <v>1</v>
      </c>
    </row>
    <row r="6" spans="1:21" x14ac:dyDescent="0.3">
      <c r="A6" s="61" t="s">
        <v>168</v>
      </c>
      <c r="B6" s="136" t="s">
        <v>263</v>
      </c>
      <c r="C6" s="138" t="str">
        <f>IF(CAELS!D4&gt;20%,"1",IF(CAELS!D4&gt;15%,"2",IF(CAELS!D4&gt;12%,"3",IF(CAELS!D4&gt;10%,"4","5"))))</f>
        <v>4</v>
      </c>
      <c r="D6" s="138" t="str">
        <f>IF(CAELS!E4&gt;20%,"1",IF(CAELS!E4&gt;15%,"2",IF(CAELS!E4&gt;12%,"3",IF(CAELS!E4&gt;10%,"4","5"))))</f>
        <v>1</v>
      </c>
      <c r="E6" s="138" t="str">
        <f>IF(CAELS!F4&gt;20%,"1",IF(CAELS!F4&gt;15%,"2",IF(CAELS!F4&gt;12%,"3",IF(CAELS!F4&gt;10%,"4","5"))))</f>
        <v>1</v>
      </c>
      <c r="F6" s="138" t="str">
        <f>IF(CAELS!G4&gt;20%,"1",IF(CAELS!G4&gt;15%,"2",IF(CAELS!G4&gt;12%,"3",IF(CAELS!G4&gt;10%,"4","5"))))</f>
        <v>1</v>
      </c>
      <c r="G6" s="138" t="str">
        <f>IF(CAELS!H4&gt;20%,"1",IF(CAELS!H4&gt;15%,"2",IF(CAELS!H4&gt;12%,"3",IF(CAELS!H4&gt;10%,"4","5"))))</f>
        <v>1</v>
      </c>
      <c r="H6" s="138" t="str">
        <f>IF(CAELS!I4&gt;20%,"1",IF(CAELS!I4&gt;15%,"2",IF(CAELS!I4&gt;12%,"3",IF(CAELS!I4&gt;10%,"4","5"))))</f>
        <v>1</v>
      </c>
      <c r="I6" s="138" t="str">
        <f>IF(CAELS!J4&gt;20%,"1",IF(CAELS!J4&gt;15%,"2",IF(CAELS!J4&gt;12%,"3",IF(CAELS!J4&gt;10%,"4","5"))))</f>
        <v>1</v>
      </c>
      <c r="J6" s="138" t="str">
        <f>IF(CAELS!K4&gt;20%,"1",IF(CAELS!K4&gt;15%,"2",IF(CAELS!K4&gt;12%,"3",IF(CAELS!K4&gt;10%,"4","5"))))</f>
        <v>1</v>
      </c>
      <c r="K6" s="138" t="str">
        <f>IF(CAELS!L4&gt;20%,"1",IF(CAELS!L4&gt;15%,"2",IF(CAELS!L4&gt;12%,"3",IF(CAELS!L4&gt;10%,"4","5"))))</f>
        <v>1</v>
      </c>
      <c r="L6" s="138" t="str">
        <f>IF(CAELS!M4&gt;20%,"1",IF(CAELS!M4&gt;15%,"2",IF(CAELS!M4&gt;12%,"3",IF(CAELS!M4&gt;10%,"4","5"))))</f>
        <v>1</v>
      </c>
      <c r="M6" s="138" t="str">
        <f>IF(CAELS!N4&gt;20%,"1",IF(CAELS!N4&gt;15%,"2",IF(CAELS!N4&gt;12%,"3",IF(CAELS!N4&gt;10%,"4","5"))))</f>
        <v>1</v>
      </c>
      <c r="N6" s="138" t="str">
        <f>IF(CAELS!O4&gt;20%,"1",IF(CAELS!O4&gt;15%,"2",IF(CAELS!O4&gt;12%,"3",IF(CAELS!O4&gt;10%,"4","5"))))</f>
        <v>1</v>
      </c>
      <c r="O6" s="138" t="str">
        <f>IF(CAELS!P4&gt;20%,"1",IF(CAELS!P4&gt;15%,"2",IF(CAELS!P4&gt;12%,"3",IF(CAELS!P4&gt;10%,"4","5"))))</f>
        <v>1</v>
      </c>
      <c r="P6" s="138" t="str">
        <f>IF(CAELS!Q4&gt;20%,"1",IF(CAELS!Q4&gt;15%,"2",IF(CAELS!Q4&gt;12%,"3",IF(CAELS!Q4&gt;10%,"4","5"))))</f>
        <v>1</v>
      </c>
      <c r="Q6" s="138" t="str">
        <f>IF(CAELS!R4&gt;20%,"1",IF(CAELS!R4&gt;15%,"2",IF(CAELS!R4&gt;12%,"3",IF(CAELS!R4&gt;10%,"4","5"))))</f>
        <v>1</v>
      </c>
      <c r="R6" s="138" t="str">
        <f>IF(CAELS!S4&gt;20%,"1",IF(CAELS!S4&gt;15%,"2",IF(CAELS!S4&gt;12%,"3",IF(CAELS!S4&gt;10%,"4","5"))))</f>
        <v>1</v>
      </c>
      <c r="S6" s="138" t="str">
        <f>IF(CAELS!T4&gt;20%,"1",IF(CAELS!T4&gt;15%,"2",IF(CAELS!T4&gt;12%,"3",IF(CAELS!T4&gt;10%,"4","5"))))</f>
        <v>1</v>
      </c>
      <c r="T6" s="138" t="str">
        <f>IF(CAELS!U4&gt;20%,"1",IF(CAELS!U4&gt;15%,"2",IF(CAELS!U4&gt;12%,"3",IF(CAELS!U4&gt;10%,"4","5"))))</f>
        <v>1</v>
      </c>
      <c r="U6" s="138" t="str">
        <f>IF(CAELS!V4&gt;20%,"1",IF(CAELS!V4&gt;15%,"2",IF(CAELS!V4&gt;12%,"3",IF(CAELS!V4&gt;10%,"4","5"))))</f>
        <v>1</v>
      </c>
    </row>
    <row r="7" spans="1:21" x14ac:dyDescent="0.3">
      <c r="A7" s="61" t="s">
        <v>172</v>
      </c>
      <c r="B7" s="136" t="s">
        <v>264</v>
      </c>
      <c r="C7" s="138" t="str">
        <f>IF(CAELS!D6&gt;15%,"1",IF(CAELS!D6&gt;12%,"2",IF(CAELS!D6&gt;10%,"3",IF(CAELS!D6&gt;8,"4","5"))))</f>
        <v>5</v>
      </c>
      <c r="D7" s="138" t="str">
        <f>IF(CAELS!E6&gt;15%,"1",IF(CAELS!E6&gt;12%,"2",IF(CAELS!E6&gt;10%,"3",IF(CAELS!E6&gt;8,"4","5"))))</f>
        <v>1</v>
      </c>
      <c r="E7" s="138" t="str">
        <f>IF(CAELS!F6&gt;15%,"1",IF(CAELS!F6&gt;12%,"2",IF(CAELS!F6&gt;10%,"3",IF(CAELS!F6&gt;8,"4","5"))))</f>
        <v>1</v>
      </c>
      <c r="F7" s="138" t="str">
        <f>IF(CAELS!G6&gt;15%,"1",IF(CAELS!G6&gt;12%,"2",IF(CAELS!G6&gt;10%,"3",IF(CAELS!G6&gt;8,"4","5"))))</f>
        <v>1</v>
      </c>
      <c r="G7" s="138" t="str">
        <f>IF(CAELS!H6&gt;15%,"1",IF(CAELS!H6&gt;12%,"2",IF(CAELS!H6&gt;10%,"3",IF(CAELS!H6&gt;8,"4","5"))))</f>
        <v>1</v>
      </c>
      <c r="H7" s="138" t="str">
        <f>IF(CAELS!I6&gt;15%,"1",IF(CAELS!I6&gt;12%,"2",IF(CAELS!I6&gt;10%,"3",IF(CAELS!I6&gt;8,"4","5"))))</f>
        <v>1</v>
      </c>
      <c r="I7" s="138" t="str">
        <f>IF(CAELS!J6&gt;15%,"1",IF(CAELS!J6&gt;12%,"2",IF(CAELS!J6&gt;10%,"3",IF(CAELS!J6&gt;8,"4","5"))))</f>
        <v>1</v>
      </c>
      <c r="J7" s="138" t="str">
        <f>IF(CAELS!K6&gt;15%,"1",IF(CAELS!K6&gt;12%,"2",IF(CAELS!K6&gt;10%,"3",IF(CAELS!K6&gt;8,"4","5"))))</f>
        <v>1</v>
      </c>
      <c r="K7" s="138" t="str">
        <f>IF(CAELS!L6&gt;15%,"1",IF(CAELS!L6&gt;12%,"2",IF(CAELS!L6&gt;10%,"3",IF(CAELS!L6&gt;8,"4","5"))))</f>
        <v>1</v>
      </c>
      <c r="L7" s="138" t="str">
        <f>IF(CAELS!M6&gt;15%,"1",IF(CAELS!M6&gt;12%,"2",IF(CAELS!M6&gt;10%,"3",IF(CAELS!M6&gt;8,"4","5"))))</f>
        <v>1</v>
      </c>
      <c r="M7" s="138" t="str">
        <f>IF(CAELS!N6&gt;15%,"1",IF(CAELS!N6&gt;12%,"2",IF(CAELS!N6&gt;10%,"3",IF(CAELS!N6&gt;8,"4","5"))))</f>
        <v>1</v>
      </c>
      <c r="N7" s="138" t="str">
        <f>IF(CAELS!O6&gt;15%,"1",IF(CAELS!O6&gt;12%,"2",IF(CAELS!O6&gt;10%,"3",IF(CAELS!O6&gt;8,"4","5"))))</f>
        <v>1</v>
      </c>
      <c r="O7" s="138" t="str">
        <f>IF(CAELS!P6&gt;15%,"1",IF(CAELS!P6&gt;12%,"2",IF(CAELS!P6&gt;10%,"3",IF(CAELS!P6&gt;8,"4","5"))))</f>
        <v>1</v>
      </c>
      <c r="P7" s="138" t="str">
        <f>IF(CAELS!Q6&gt;15%,"1",IF(CAELS!Q6&gt;12%,"2",IF(CAELS!Q6&gt;10%,"3",IF(CAELS!Q6&gt;8,"4","5"))))</f>
        <v>1</v>
      </c>
      <c r="Q7" s="138" t="str">
        <f>IF(CAELS!R6&gt;15%,"1",IF(CAELS!R6&gt;12%,"2",IF(CAELS!R6&gt;10%,"3",IF(CAELS!R6&gt;8,"4","5"))))</f>
        <v>1</v>
      </c>
      <c r="R7" s="138" t="str">
        <f>IF(CAELS!S6&gt;15%,"1",IF(CAELS!S6&gt;12%,"2",IF(CAELS!S6&gt;10%,"3",IF(CAELS!S6&gt;8,"4","5"))))</f>
        <v>1</v>
      </c>
      <c r="S7" s="138" t="str">
        <f>IF(CAELS!T6&gt;15%,"1",IF(CAELS!T6&gt;12%,"2",IF(CAELS!T6&gt;10%,"3",IF(CAELS!T6&gt;8,"4","5"))))</f>
        <v>1</v>
      </c>
      <c r="T7" s="138" t="str">
        <f>IF(CAELS!U6&gt;15%,"1",IF(CAELS!U6&gt;12%,"2",IF(CAELS!U6&gt;10%,"3",IF(CAELS!U6&gt;8,"4","5"))))</f>
        <v>1</v>
      </c>
      <c r="U7" s="138" t="str">
        <f>IF(CAELS!V6&gt;15%,"1",IF(CAELS!V6&gt;12%,"2",IF(CAELS!V6&gt;10%,"3",IF(CAELS!V6&gt;8,"4","5"))))</f>
        <v>1</v>
      </c>
    </row>
    <row r="8" spans="1:21" x14ac:dyDescent="0.3">
      <c r="A8" s="61" t="s">
        <v>170</v>
      </c>
      <c r="B8" s="136" t="s">
        <v>264</v>
      </c>
      <c r="C8" s="138" t="str">
        <f>IF(CAELS!D5&gt;20%,"1",IF(CAELS!D5&gt;15%,"2",IF(CAELS!D5&gt;12%,"3",IF(CAELS!D5&gt;10%,"4","5"))))</f>
        <v>4</v>
      </c>
      <c r="D8" s="138" t="str">
        <f>IF(CAELS!E5&gt;20%,"1",IF(CAELS!E5&gt;15%,"2",IF(CAELS!E5&gt;12%,"3",IF(CAELS!E5&gt;10%,"4","5"))))</f>
        <v>1</v>
      </c>
      <c r="E8" s="138" t="str">
        <f>IF(CAELS!F5&gt;20%,"1",IF(CAELS!F5&gt;15%,"2",IF(CAELS!F5&gt;12%,"3",IF(CAELS!F5&gt;10%,"4","5"))))</f>
        <v>1</v>
      </c>
      <c r="F8" s="138" t="str">
        <f>IF(CAELS!G5&gt;20%,"1",IF(CAELS!G5&gt;15%,"2",IF(CAELS!G5&gt;12%,"3",IF(CAELS!G5&gt;10%,"4","5"))))</f>
        <v>1</v>
      </c>
      <c r="G8" s="138" t="str">
        <f>IF(CAELS!H5&gt;20%,"1",IF(CAELS!H5&gt;15%,"2",IF(CAELS!H5&gt;12%,"3",IF(CAELS!H5&gt;10%,"4","5"))))</f>
        <v>1</v>
      </c>
      <c r="H8" s="138" t="str">
        <f>IF(CAELS!I5&gt;20%,"1",IF(CAELS!I5&gt;15%,"2",IF(CAELS!I5&gt;12%,"3",IF(CAELS!I5&gt;10%,"4","5"))))</f>
        <v>1</v>
      </c>
      <c r="I8" s="138" t="str">
        <f>IF(CAELS!J5&gt;20%,"1",IF(CAELS!J5&gt;15%,"2",IF(CAELS!J5&gt;12%,"3",IF(CAELS!J5&gt;10%,"4","5"))))</f>
        <v>1</v>
      </c>
      <c r="J8" s="138" t="str">
        <f>IF(CAELS!K5&gt;20%,"1",IF(CAELS!K5&gt;15%,"2",IF(CAELS!K5&gt;12%,"3",IF(CAELS!K5&gt;10%,"4","5"))))</f>
        <v>1</v>
      </c>
      <c r="K8" s="138" t="str">
        <f>IF(CAELS!L5&gt;20%,"1",IF(CAELS!L5&gt;15%,"2",IF(CAELS!L5&gt;12%,"3",IF(CAELS!L5&gt;10%,"4","5"))))</f>
        <v>1</v>
      </c>
      <c r="L8" s="138" t="str">
        <f>IF(CAELS!M5&gt;20%,"1",IF(CAELS!M5&gt;15%,"2",IF(CAELS!M5&gt;12%,"3",IF(CAELS!M5&gt;10%,"4","5"))))</f>
        <v>1</v>
      </c>
      <c r="M8" s="138" t="str">
        <f>IF(CAELS!N5&gt;20%,"1",IF(CAELS!N5&gt;15%,"2",IF(CAELS!N5&gt;12%,"3",IF(CAELS!N5&gt;10%,"4","5"))))</f>
        <v>1</v>
      </c>
      <c r="N8" s="138" t="str">
        <f>IF(CAELS!O5&gt;20%,"1",IF(CAELS!O5&gt;15%,"2",IF(CAELS!O5&gt;12%,"3",IF(CAELS!O5&gt;10%,"4","5"))))</f>
        <v>1</v>
      </c>
      <c r="O8" s="138" t="str">
        <f>IF(CAELS!P5&gt;20%,"1",IF(CAELS!P5&gt;15%,"2",IF(CAELS!P5&gt;12%,"3",IF(CAELS!P5&gt;10%,"4","5"))))</f>
        <v>1</v>
      </c>
      <c r="P8" s="138" t="str">
        <f>IF(CAELS!Q5&gt;20%,"1",IF(CAELS!Q5&gt;15%,"2",IF(CAELS!Q5&gt;12%,"3",IF(CAELS!Q5&gt;10%,"4","5"))))</f>
        <v>1</v>
      </c>
      <c r="Q8" s="138" t="str">
        <f>IF(CAELS!R5&gt;20%,"1",IF(CAELS!R5&gt;15%,"2",IF(CAELS!R5&gt;12%,"3",IF(CAELS!R5&gt;10%,"4","5"))))</f>
        <v>1</v>
      </c>
      <c r="R8" s="138" t="str">
        <f>IF(CAELS!S5&gt;20%,"1",IF(CAELS!S5&gt;15%,"2",IF(CAELS!S5&gt;12%,"3",IF(CAELS!S5&gt;10%,"4","5"))))</f>
        <v>1</v>
      </c>
      <c r="S8" s="138" t="str">
        <f>IF(CAELS!T5&gt;20%,"1",IF(CAELS!T5&gt;15%,"2",IF(CAELS!T5&gt;12%,"3",IF(CAELS!T5&gt;10%,"4","5"))))</f>
        <v>1</v>
      </c>
      <c r="T8" s="138" t="str">
        <f>IF(CAELS!U5&gt;20%,"1",IF(CAELS!U5&gt;15%,"2",IF(CAELS!U5&gt;12%,"3",IF(CAELS!U5&gt;10%,"4","5"))))</f>
        <v>1</v>
      </c>
      <c r="U8" s="138" t="str">
        <f>IF(CAELS!V5&gt;20%,"1",IF(CAELS!V5&gt;15%,"2",IF(CAELS!V5&gt;12%,"3",IF(CAELS!V5&gt;10%,"4","5"))))</f>
        <v>1</v>
      </c>
    </row>
    <row r="9" spans="1:21" x14ac:dyDescent="0.3">
      <c r="A9" s="61"/>
      <c r="B9" s="136"/>
      <c r="C9" s="148">
        <f t="shared" ref="C9:K9" si="0">(C5+C6+C7+C8)/4</f>
        <v>3.5</v>
      </c>
      <c r="D9" s="148">
        <f t="shared" si="0"/>
        <v>1</v>
      </c>
      <c r="E9" s="149">
        <f t="shared" si="0"/>
        <v>1</v>
      </c>
      <c r="F9" s="149">
        <f t="shared" si="0"/>
        <v>1</v>
      </c>
      <c r="G9" s="148">
        <f t="shared" si="0"/>
        <v>1</v>
      </c>
      <c r="H9" s="148">
        <f t="shared" si="0"/>
        <v>1</v>
      </c>
      <c r="I9" s="149">
        <f t="shared" si="0"/>
        <v>1</v>
      </c>
      <c r="J9" s="149">
        <f t="shared" si="0"/>
        <v>1</v>
      </c>
      <c r="K9" s="149">
        <f t="shared" si="0"/>
        <v>1</v>
      </c>
      <c r="L9" s="149">
        <f t="shared" ref="L9:S9" si="1">(L5+L6+L7+L8)/4</f>
        <v>1</v>
      </c>
      <c r="M9" s="149">
        <f t="shared" si="1"/>
        <v>1</v>
      </c>
      <c r="N9" s="149">
        <f t="shared" si="1"/>
        <v>1</v>
      </c>
      <c r="O9" s="149">
        <f t="shared" si="1"/>
        <v>1</v>
      </c>
      <c r="P9" s="149">
        <f t="shared" si="1"/>
        <v>1</v>
      </c>
      <c r="Q9" s="149">
        <f t="shared" si="1"/>
        <v>1</v>
      </c>
      <c r="R9" s="149">
        <f t="shared" si="1"/>
        <v>1</v>
      </c>
      <c r="S9" s="149">
        <f t="shared" si="1"/>
        <v>1</v>
      </c>
      <c r="T9" s="149">
        <f>(T5+T6+T7+T8)/4</f>
        <v>1</v>
      </c>
      <c r="U9" s="149">
        <f>(U5+U6+U7+U8)/4</f>
        <v>1</v>
      </c>
    </row>
    <row r="10" spans="1:21" x14ac:dyDescent="0.3">
      <c r="A10" s="133" t="s">
        <v>265</v>
      </c>
      <c r="B10" s="134"/>
      <c r="C10" s="134"/>
      <c r="D10" s="134"/>
      <c r="E10" s="139"/>
      <c r="F10" s="139"/>
      <c r="G10" s="134"/>
      <c r="H10" s="134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</row>
    <row r="11" spans="1:21" x14ac:dyDescent="0.3">
      <c r="A11" s="61" t="s">
        <v>156</v>
      </c>
      <c r="B11" s="136" t="s">
        <v>266</v>
      </c>
      <c r="C11" s="140"/>
      <c r="D11" s="141"/>
      <c r="E11" s="141"/>
      <c r="F11" s="141"/>
      <c r="G11" s="141"/>
      <c r="H11" s="141"/>
      <c r="I11" s="141"/>
      <c r="J11" s="141"/>
      <c r="K11" s="141"/>
      <c r="L11" s="141" t="str">
        <f>IF(CAELS!M8&lt;4%,"1",IF(CAELS!M8&lt;8%,"2",IF(CAELS!M8&lt;12%,"3",IF(CAELS!M8&lt;15%,"4","5"))))</f>
        <v>5</v>
      </c>
      <c r="M11" s="141"/>
      <c r="N11" s="141"/>
      <c r="O11" s="141" t="str">
        <f>IF(CAELS!P8&lt;4%,"1",IF(CAELS!P8&lt;8%,"2",IF(CAELS!P8&lt;12%,"3",IF(CAELS!P8&lt;15%,"4","5"))))</f>
        <v>1</v>
      </c>
      <c r="P11" s="141"/>
      <c r="Q11" s="141"/>
      <c r="R11" s="141" t="str">
        <f>IF(CAELS!S8&lt;4%,"1",IF(CAELS!S8&lt;8%,"2",IF(CAELS!S8&lt;12%,"3",IF(CAELS!S8&lt;15%,"4","5"))))</f>
        <v>1</v>
      </c>
      <c r="S11" s="141"/>
      <c r="T11" s="141"/>
      <c r="U11" s="141" t="str">
        <f>IF(CAELS!V8&lt;4%,"1",IF(CAELS!V8&lt;8%,"2",IF(CAELS!V8&lt;12%,"3",IF(CAELS!V8&lt;15%,"4","5"))))</f>
        <v>1</v>
      </c>
    </row>
    <row r="12" spans="1:21" x14ac:dyDescent="0.3">
      <c r="A12" s="61"/>
      <c r="B12" s="136"/>
      <c r="C12" s="140">
        <f t="shared" ref="C12:K12" si="2">C11</f>
        <v>0</v>
      </c>
      <c r="D12" s="140">
        <f t="shared" si="2"/>
        <v>0</v>
      </c>
      <c r="E12" s="141">
        <f t="shared" si="2"/>
        <v>0</v>
      </c>
      <c r="F12" s="141">
        <f t="shared" si="2"/>
        <v>0</v>
      </c>
      <c r="G12" s="140">
        <f t="shared" si="2"/>
        <v>0</v>
      </c>
      <c r="H12" s="140">
        <f t="shared" si="2"/>
        <v>0</v>
      </c>
      <c r="I12" s="141">
        <f t="shared" si="2"/>
        <v>0</v>
      </c>
      <c r="J12" s="141">
        <f t="shared" si="2"/>
        <v>0</v>
      </c>
      <c r="K12" s="141">
        <f t="shared" si="2"/>
        <v>0</v>
      </c>
      <c r="L12" s="141" t="str">
        <f t="shared" ref="L12:S12" si="3">L11</f>
        <v>5</v>
      </c>
      <c r="M12" s="141">
        <f t="shared" si="3"/>
        <v>0</v>
      </c>
      <c r="N12" s="141">
        <f t="shared" si="3"/>
        <v>0</v>
      </c>
      <c r="O12" s="141" t="str">
        <f t="shared" si="3"/>
        <v>1</v>
      </c>
      <c r="P12" s="141">
        <f t="shared" si="3"/>
        <v>0</v>
      </c>
      <c r="Q12" s="141">
        <f t="shared" si="3"/>
        <v>0</v>
      </c>
      <c r="R12" s="141" t="str">
        <f t="shared" si="3"/>
        <v>1</v>
      </c>
      <c r="S12" s="141">
        <f t="shared" si="3"/>
        <v>0</v>
      </c>
      <c r="T12" s="141">
        <f>T11</f>
        <v>0</v>
      </c>
      <c r="U12" s="141" t="str">
        <f>U11</f>
        <v>1</v>
      </c>
    </row>
    <row r="13" spans="1:21" x14ac:dyDescent="0.3">
      <c r="A13" s="133" t="s">
        <v>267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</row>
    <row r="14" spans="1:21" x14ac:dyDescent="0.3">
      <c r="A14" s="61" t="s">
        <v>177</v>
      </c>
      <c r="B14" s="2"/>
      <c r="C14" s="138"/>
      <c r="D14" s="138" t="str">
        <f>IF(CAELS!E9&gt;6%,"1",IF(CAELS!E9&gt;4%,"2",IF(CAELS!E9&gt;2%,"3",IF(CAELS!E9&gt;0%,"4","5"))))</f>
        <v>1</v>
      </c>
      <c r="E14" s="138" t="str">
        <f>IF(CAELS!F9&gt;6%,"1",IF(CAELS!F9&gt;4%,"2",IF(CAELS!F9&gt;2%,"3",IF(CAELS!F9&gt;0%,"4","5"))))</f>
        <v>3</v>
      </c>
      <c r="F14" s="138" t="str">
        <f>IF(CAELS!G9&gt;6%,"1",IF(CAELS!G9&gt;4%,"2",IF(CAELS!G9&gt;2%,"3",IF(CAELS!G9&gt;0%,"4","5"))))</f>
        <v>4</v>
      </c>
      <c r="G14" s="138" t="str">
        <f>IF(CAELS!H9&gt;6%,"1",IF(CAELS!H9&gt;4%,"2",IF(CAELS!H9&gt;2%,"3",IF(CAELS!H9&gt;0%,"4","5"))))</f>
        <v>4</v>
      </c>
      <c r="H14" s="138" t="str">
        <f>IF(CAELS!I9&gt;6%,"1",IF(CAELS!I9&gt;4%,"2",IF(CAELS!I9&gt;2%,"3",IF(CAELS!I9&gt;0%,"4","5"))))</f>
        <v>4</v>
      </c>
      <c r="I14" s="138" t="str">
        <f>IF(CAELS!J9&gt;6%,"1",IF(CAELS!J9&gt;4%,"2",IF(CAELS!J9&gt;2%,"3",IF(CAELS!J9&gt;0%,"4","5"))))</f>
        <v>3</v>
      </c>
      <c r="J14" s="138" t="str">
        <f>IF(CAELS!K9&gt;6%,"1",IF(CAELS!K9&gt;4%,"2",IF(CAELS!K9&gt;2%,"3",IF(CAELS!K9&gt;0%,"4","5"))))</f>
        <v>3</v>
      </c>
      <c r="K14" s="138" t="str">
        <f>IF(CAELS!L9&gt;6%,"1",IF(CAELS!L9&gt;4%,"2",IF(CAELS!L9&gt;2%,"3",IF(CAELS!L9&gt;0%,"4","5"))))</f>
        <v>3</v>
      </c>
      <c r="L14" s="138" t="str">
        <f>IF(CAELS!M9&gt;6%,"1",IF(CAELS!M9&gt;4%,"2",IF(CAELS!M9&gt;2%,"3",IF(CAELS!M9&gt;0%,"4","5"))))</f>
        <v>3</v>
      </c>
      <c r="M14" s="138" t="str">
        <f>IF(CAELS!N9&gt;6%,"1",IF(CAELS!N9&gt;4%,"2",IF(CAELS!N9&gt;2%,"3",IF(CAELS!N9&gt;0%,"4","5"))))</f>
        <v>3</v>
      </c>
      <c r="N14" s="138" t="str">
        <f>IF(CAELS!O9&gt;6%,"1",IF(CAELS!O9&gt;4%,"2",IF(CAELS!O9&gt;2%,"3",IF(CAELS!O9&gt;0%,"4","5"))))</f>
        <v>3</v>
      </c>
      <c r="O14" s="138" t="str">
        <f>IF(CAELS!P9&gt;6%,"1",IF(CAELS!P9&gt;4%,"2",IF(CAELS!P9&gt;2%,"3",IF(CAELS!P9&gt;0%,"4","5"))))</f>
        <v>3</v>
      </c>
      <c r="P14" s="138" t="str">
        <f>IF(CAELS!Q9&gt;6%,"1",IF(CAELS!Q9&gt;4%,"2",IF(CAELS!Q9&gt;2%,"3",IF(CAELS!Q9&gt;0%,"4","5"))))</f>
        <v>4</v>
      </c>
      <c r="Q14" s="138" t="str">
        <f>IF(CAELS!R9&gt;6%,"1",IF(CAELS!R9&gt;4%,"2",IF(CAELS!R9&gt;2%,"3",IF(CAELS!R9&gt;0%,"4","5"))))</f>
        <v>3</v>
      </c>
      <c r="R14" s="138" t="str">
        <f>IF(CAELS!S9&gt;6%,"1",IF(CAELS!S9&gt;4%,"2",IF(CAELS!S9&gt;2%,"3",IF(CAELS!S9&gt;0%,"4","5"))))</f>
        <v>4</v>
      </c>
      <c r="S14" s="138" t="str">
        <f>IF(CAELS!T9&gt;6%,"1",IF(CAELS!T9&gt;4%,"2",IF(CAELS!T9&gt;2%,"3",IF(CAELS!T9&gt;0%,"4","5"))))</f>
        <v>4</v>
      </c>
      <c r="T14" s="138" t="str">
        <f>IF(CAELS!U9&gt;6%,"1",IF(CAELS!U9&gt;4%,"2",IF(CAELS!U9&gt;2%,"3",IF(CAELS!U9&gt;0%,"4","5"))))</f>
        <v>4</v>
      </c>
      <c r="U14" s="138" t="str">
        <f>IF(CAELS!V9&gt;6%,"1",IF(CAELS!V9&gt;4%,"2",IF(CAELS!V9&gt;2%,"3",IF(CAELS!V9&gt;0%,"4","5"))))</f>
        <v>3</v>
      </c>
    </row>
    <row r="15" spans="1:21" x14ac:dyDescent="0.3">
      <c r="A15" s="61" t="s">
        <v>268</v>
      </c>
      <c r="B15" s="2"/>
      <c r="C15" s="141" t="str">
        <f>IF(CAELS!D10&lt;60%,"1",IF(CAELS!D10&lt;70%,"2",IF(CAELS!D10&lt;80%,"3",IF(CAELS!D10&lt;90%,"4","5"))))</f>
        <v>3</v>
      </c>
      <c r="D15" s="141" t="str">
        <f>IF(CAELS!E10&lt;60%,"1",IF(CAELS!E10&lt;70%,"2",IF(CAELS!E10&lt;80%,"3",IF(CAELS!E10&lt;90%,"4","5"))))</f>
        <v>1</v>
      </c>
      <c r="E15" s="141" t="str">
        <f>IF(CAELS!F10&lt;60%,"1",IF(CAELS!F10&lt;70%,"2",IF(CAELS!F10&lt;80%,"3",IF(CAELS!F10&lt;90%,"4","5"))))</f>
        <v>1</v>
      </c>
      <c r="F15" s="141" t="str">
        <f>IF(CAELS!G10&lt;60%,"1",IF(CAELS!G10&lt;70%,"2",IF(CAELS!G10&lt;80%,"3",IF(CAELS!G10&lt;90%,"4","5"))))</f>
        <v>2</v>
      </c>
      <c r="G15" s="141" t="str">
        <f>IF(CAELS!H10&lt;60%,"1",IF(CAELS!H10&lt;70%,"2",IF(CAELS!H10&lt;80%,"3",IF(CAELS!H10&lt;90%,"4","5"))))</f>
        <v>1</v>
      </c>
      <c r="H15" s="141" t="str">
        <f>IF(CAELS!I10&lt;60%,"1",IF(CAELS!I10&lt;70%,"2",IF(CAELS!I10&lt;80%,"3",IF(CAELS!I10&lt;90%,"4","5"))))</f>
        <v>1</v>
      </c>
      <c r="I15" s="141" t="str">
        <f>IF(CAELS!J10&lt;60%,"1",IF(CAELS!J10&lt;70%,"2",IF(CAELS!J10&lt;80%,"3",IF(CAELS!J10&lt;90%,"4","5"))))</f>
        <v>1</v>
      </c>
      <c r="J15" s="141" t="str">
        <f>IF(CAELS!K10&lt;60%,"1",IF(CAELS!K10&lt;70%,"2",IF(CAELS!K10&lt;80%,"3",IF(CAELS!K10&lt;90%,"4","5"))))</f>
        <v>1</v>
      </c>
      <c r="K15" s="141" t="str">
        <f>IF(CAELS!L10&lt;60%,"1",IF(CAELS!L10&lt;70%,"2",IF(CAELS!L10&lt;80%,"3",IF(CAELS!L10&lt;90%,"4","5"))))</f>
        <v>1</v>
      </c>
      <c r="L15" s="141" t="str">
        <f>IF(CAELS!M10&lt;60%,"1",IF(CAELS!M10&lt;70%,"2",IF(CAELS!M10&lt;80%,"3",IF(CAELS!M10&lt;90%,"4","5"))))</f>
        <v>1</v>
      </c>
      <c r="M15" s="141" t="str">
        <f>IF(CAELS!N10&lt;60%,"1",IF(CAELS!N10&lt;70%,"2",IF(CAELS!N10&lt;80%,"3",IF(CAELS!N10&lt;90%,"4","5"))))</f>
        <v>1</v>
      </c>
      <c r="N15" s="141" t="str">
        <f>IF(CAELS!O10&lt;60%,"1",IF(CAELS!O10&lt;70%,"2",IF(CAELS!O10&lt;80%,"3",IF(CAELS!O10&lt;90%,"4","5"))))</f>
        <v>1</v>
      </c>
      <c r="O15" s="141" t="str">
        <f>IF(CAELS!P10&lt;60%,"1",IF(CAELS!P10&lt;70%,"2",IF(CAELS!P10&lt;80%,"3",IF(CAELS!P10&lt;90%,"4","5"))))</f>
        <v>1</v>
      </c>
      <c r="P15" s="141" t="str">
        <f>IF(CAELS!Q10&lt;60%,"1",IF(CAELS!Q10&lt;70%,"2",IF(CAELS!Q10&lt;80%,"3",IF(CAELS!Q10&lt;90%,"4","5"))))</f>
        <v>1</v>
      </c>
      <c r="Q15" s="141" t="str">
        <f>IF(CAELS!R10&lt;60%,"1",IF(CAELS!R10&lt;70%,"2",IF(CAELS!R10&lt;80%,"3",IF(CAELS!R10&lt;90%,"4","5"))))</f>
        <v>1</v>
      </c>
      <c r="R15" s="141" t="str">
        <f>IF(CAELS!S10&lt;60%,"1",IF(CAELS!S10&lt;70%,"2",IF(CAELS!S10&lt;80%,"3",IF(CAELS!S10&lt;90%,"4","5"))))</f>
        <v>1</v>
      </c>
      <c r="S15" s="141" t="str">
        <f>IF(CAELS!T10&lt;60%,"1",IF(CAELS!T10&lt;70%,"2",IF(CAELS!T10&lt;80%,"3",IF(CAELS!T10&lt;90%,"4","5"))))</f>
        <v>1</v>
      </c>
      <c r="T15" s="141" t="str">
        <f>IF(CAELS!U10&lt;60%,"1",IF(CAELS!U10&lt;70%,"2",IF(CAELS!U10&lt;80%,"3",IF(CAELS!U10&lt;90%,"4","5"))))</f>
        <v>1</v>
      </c>
      <c r="U15" s="141" t="str">
        <f>IF(CAELS!V10&lt;60%,"1",IF(CAELS!V10&lt;70%,"2",IF(CAELS!V10&lt;80%,"3",IF(CAELS!V10&lt;90%,"4","5"))))</f>
        <v>1</v>
      </c>
    </row>
    <row r="16" spans="1:21" x14ac:dyDescent="0.3">
      <c r="A16" s="61" t="s">
        <v>269</v>
      </c>
      <c r="B16" s="2"/>
      <c r="C16" s="138" t="str">
        <f>IF(CAELS!D11&lt;4%,"1",IF(CAELS!D11&lt;6%,"2",IF(CAELS!D11&lt;8%,"3",IF(CAELS!D11&lt;10%,"4","5"))))</f>
        <v>1</v>
      </c>
      <c r="D16" s="138" t="str">
        <f>IF(CAELS!E11&lt;4%,"1",IF(CAELS!E11&lt;6%,"2",IF(CAELS!E11&lt;8%,"3",IF(CAELS!E11&lt;10%,"4","5"))))</f>
        <v>2</v>
      </c>
      <c r="E16" s="138" t="str">
        <f>IF(CAELS!F11&lt;4%,"1",IF(CAELS!F11&lt;6%,"2",IF(CAELS!F11&lt;8%,"3",IF(CAELS!F11&lt;10%,"4","5"))))</f>
        <v>1</v>
      </c>
      <c r="F16" s="138" t="str">
        <f>IF(CAELS!G11&lt;4%,"1",IF(CAELS!G11&lt;6%,"2",IF(CAELS!G11&lt;8%,"3",IF(CAELS!G11&lt;10%,"4","5"))))</f>
        <v>1</v>
      </c>
      <c r="G16" s="138" t="str">
        <f>IF(CAELS!H11&lt;4%,"1",IF(CAELS!H11&lt;6%,"2",IF(CAELS!H11&lt;8%,"3",IF(CAELS!H11&lt;10%,"4","5"))))</f>
        <v>1</v>
      </c>
      <c r="H16" s="138" t="str">
        <f>IF(CAELS!I11&lt;4%,"1",IF(CAELS!I11&lt;6%,"2",IF(CAELS!I11&lt;8%,"3",IF(CAELS!I11&lt;10%,"4","5"))))</f>
        <v>1</v>
      </c>
      <c r="I16" s="138" t="str">
        <f>IF(CAELS!J11&lt;4%,"1",IF(CAELS!J11&lt;6%,"2",IF(CAELS!J11&lt;8%,"3",IF(CAELS!J11&lt;10%,"4","5"))))</f>
        <v>1</v>
      </c>
      <c r="J16" s="138" t="str">
        <f>IF(CAELS!K11&lt;4%,"1",IF(CAELS!K11&lt;6%,"2",IF(CAELS!K11&lt;8%,"3",IF(CAELS!K11&lt;10%,"4","5"))))</f>
        <v>1</v>
      </c>
      <c r="K16" s="138" t="str">
        <f>IF(CAELS!L11&lt;4%,"1",IF(CAELS!L11&lt;6%,"2",IF(CAELS!L11&lt;8%,"3",IF(CAELS!L11&lt;10%,"4","5"))))</f>
        <v>1</v>
      </c>
      <c r="L16" s="138" t="str">
        <f>IF(CAELS!M11&lt;4%,"1",IF(CAELS!M11&lt;6%,"2",IF(CAELS!M11&lt;8%,"3",IF(CAELS!M11&lt;10%,"4","5"))))</f>
        <v>1</v>
      </c>
      <c r="M16" s="138" t="str">
        <f>IF(CAELS!N11&lt;4%,"1",IF(CAELS!N11&lt;6%,"2",IF(CAELS!N11&lt;8%,"3",IF(CAELS!N11&lt;10%,"4","5"))))</f>
        <v>1</v>
      </c>
      <c r="N16" s="138" t="str">
        <f>IF(CAELS!O11&lt;4%,"1",IF(CAELS!O11&lt;6%,"2",IF(CAELS!O11&lt;8%,"3",IF(CAELS!O11&lt;10%,"4","5"))))</f>
        <v>2</v>
      </c>
      <c r="O16" s="138" t="str">
        <f>IF(CAELS!P11&lt;4%,"1",IF(CAELS!P11&lt;6%,"2",IF(CAELS!P11&lt;8%,"3",IF(CAELS!P11&lt;10%,"4","5"))))</f>
        <v>2</v>
      </c>
      <c r="P16" s="138" t="str">
        <f>IF(CAELS!Q11&lt;4%,"1",IF(CAELS!Q11&lt;6%,"2",IF(CAELS!Q11&lt;8%,"3",IF(CAELS!Q11&lt;10%,"4","5"))))</f>
        <v>3</v>
      </c>
      <c r="Q16" s="138" t="str">
        <f>IF(CAELS!R11&lt;4%,"1",IF(CAELS!R11&lt;6%,"2",IF(CAELS!R11&lt;8%,"3",IF(CAELS!R11&lt;10%,"4","5"))))</f>
        <v>3</v>
      </c>
      <c r="R16" s="138" t="str">
        <f>IF(CAELS!S11&lt;4%,"1",IF(CAELS!S11&lt;6%,"2",IF(CAELS!S11&lt;8%,"3",IF(CAELS!S11&lt;10%,"4","5"))))</f>
        <v>1</v>
      </c>
      <c r="S16" s="138" t="str">
        <f>IF(CAELS!T11&lt;4%,"1",IF(CAELS!T11&lt;6%,"2",IF(CAELS!T11&lt;8%,"3",IF(CAELS!T11&lt;10%,"4","5"))))</f>
        <v>1</v>
      </c>
      <c r="T16" s="138" t="str">
        <f>IF(CAELS!U11&lt;4%,"1",IF(CAELS!U11&lt;6%,"2",IF(CAELS!U11&lt;8%,"3",IF(CAELS!U11&lt;10%,"4","5"))))</f>
        <v>1</v>
      </c>
      <c r="U16" s="138" t="str">
        <f>IF(CAELS!V11&lt;4%,"1",IF(CAELS!V11&lt;6%,"2",IF(CAELS!V11&lt;8%,"3",IF(CAELS!V11&lt;10%,"4","5"))))</f>
        <v>1</v>
      </c>
    </row>
    <row r="17" spans="1:21" x14ac:dyDescent="0.3">
      <c r="A17" s="61"/>
      <c r="B17" s="2"/>
      <c r="C17" s="150">
        <f t="shared" ref="C17:K17" si="4">(C14+C15+C16)/3</f>
        <v>1.3333333333333333</v>
      </c>
      <c r="D17" s="150">
        <f t="shared" si="4"/>
        <v>1.3333333333333333</v>
      </c>
      <c r="E17" s="150">
        <f t="shared" si="4"/>
        <v>1.6666666666666667</v>
      </c>
      <c r="F17" s="150">
        <f t="shared" si="4"/>
        <v>2.3333333333333335</v>
      </c>
      <c r="G17" s="150">
        <f t="shared" si="4"/>
        <v>2</v>
      </c>
      <c r="H17" s="150">
        <f t="shared" si="4"/>
        <v>2</v>
      </c>
      <c r="I17" s="150">
        <f t="shared" si="4"/>
        <v>1.6666666666666667</v>
      </c>
      <c r="J17" s="150">
        <f t="shared" si="4"/>
        <v>1.6666666666666667</v>
      </c>
      <c r="K17" s="150">
        <f t="shared" si="4"/>
        <v>1.6666666666666667</v>
      </c>
      <c r="L17" s="150">
        <f t="shared" ref="L17:S17" si="5">(L14+L15+L16)/3</f>
        <v>1.6666666666666667</v>
      </c>
      <c r="M17" s="150">
        <f t="shared" si="5"/>
        <v>1.6666666666666667</v>
      </c>
      <c r="N17" s="150">
        <f t="shared" si="5"/>
        <v>2</v>
      </c>
      <c r="O17" s="150">
        <f t="shared" si="5"/>
        <v>2</v>
      </c>
      <c r="P17" s="150">
        <f t="shared" si="5"/>
        <v>2.6666666666666665</v>
      </c>
      <c r="Q17" s="150">
        <f t="shared" si="5"/>
        <v>2.3333333333333335</v>
      </c>
      <c r="R17" s="150">
        <f t="shared" si="5"/>
        <v>2</v>
      </c>
      <c r="S17" s="150">
        <f t="shared" si="5"/>
        <v>2</v>
      </c>
      <c r="T17" s="150">
        <f>(T14+T15+T16)/3</f>
        <v>2</v>
      </c>
      <c r="U17" s="150">
        <f>(U14+U15+U16)/3</f>
        <v>1.6666666666666667</v>
      </c>
    </row>
    <row r="18" spans="1:21" x14ac:dyDescent="0.3">
      <c r="A18" s="133" t="s">
        <v>180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</row>
    <row r="19" spans="1:21" x14ac:dyDescent="0.3">
      <c r="A19" s="61" t="s">
        <v>270</v>
      </c>
      <c r="B19" s="142">
        <v>0.15</v>
      </c>
      <c r="C19" s="138" t="str">
        <f>IF(CAELS!D12&gt;30%,"1",IF(CAELS!D12&gt;25%,"2",IF(CAELS!D12&gt;20%,"3",IF(CAELS!D12&gt;15%,"4","5"))))</f>
        <v>1</v>
      </c>
      <c r="D19" s="138" t="str">
        <f>IF(CAELS!E12&gt;30%,"1",IF(CAELS!E12&gt;25%,"2",IF(CAELS!E12&gt;20%,"3",IF(CAELS!E12&gt;15%,"4","5"))))</f>
        <v>1</v>
      </c>
      <c r="E19" s="138" t="str">
        <f>IF(CAELS!F12&gt;30%,"1",IF(CAELS!F12&gt;25%,"2",IF(CAELS!F12&gt;20%,"3",IF(CAELS!F12&gt;15%,"4","5"))))</f>
        <v>1</v>
      </c>
      <c r="F19" s="138" t="str">
        <f>IF(CAELS!G12&gt;30%,"1",IF(CAELS!G12&gt;25%,"2",IF(CAELS!G12&gt;20%,"3",IF(CAELS!G12&gt;15%,"4","5"))))</f>
        <v>1</v>
      </c>
      <c r="G19" s="138" t="str">
        <f>IF(CAELS!H12&gt;30%,"1",IF(CAELS!H12&gt;25%,"2",IF(CAELS!H12&gt;20%,"3",IF(CAELS!H12&gt;15%,"4","5"))))</f>
        <v>1</v>
      </c>
      <c r="H19" s="138" t="str">
        <f>IF(CAELS!I12&gt;30%,"1",IF(CAELS!I12&gt;25%,"2",IF(CAELS!I12&gt;20%,"3",IF(CAELS!I12&gt;15%,"4","5"))))</f>
        <v>1</v>
      </c>
      <c r="I19" s="138" t="str">
        <f>IF(CAELS!J12&gt;30%,"1",IF(CAELS!J12&gt;25%,"2",IF(CAELS!J12&gt;20%,"3",IF(CAELS!J12&gt;15%,"4","5"))))</f>
        <v>1</v>
      </c>
      <c r="J19" s="138" t="str">
        <f>IF(CAELS!K12&gt;30%,"1",IF(CAELS!K12&gt;25%,"2",IF(CAELS!K12&gt;20%,"3",IF(CAELS!K12&gt;15%,"4","5"))))</f>
        <v>1</v>
      </c>
      <c r="K19" s="138" t="str">
        <f>IF(CAELS!L12&gt;30%,"1",IF(CAELS!L12&gt;25%,"2",IF(CAELS!L12&gt;20%,"3",IF(CAELS!L12&gt;15%,"4","5"))))</f>
        <v>1</v>
      </c>
      <c r="L19" s="138" t="str">
        <f>IF(CAELS!M12&gt;30%,"1",IF(CAELS!M12&gt;25%,"2",IF(CAELS!M12&gt;20%,"3",IF(CAELS!M12&gt;15%,"4","5"))))</f>
        <v>4</v>
      </c>
      <c r="M19" s="138" t="str">
        <f>IF(CAELS!N12&gt;30%,"1",IF(CAELS!N12&gt;25%,"2",IF(CAELS!N12&gt;20%,"3",IF(CAELS!N12&gt;15%,"4","5"))))</f>
        <v>5</v>
      </c>
      <c r="N19" s="138" t="str">
        <f>IF(CAELS!O12&gt;30%,"1",IF(CAELS!O12&gt;25%,"2",IF(CAELS!O12&gt;20%,"3",IF(CAELS!O12&gt;15%,"4","5"))))</f>
        <v>1</v>
      </c>
      <c r="O19" s="138" t="str">
        <f>IF(CAELS!P12&gt;30%,"1",IF(CAELS!P12&gt;25%,"2",IF(CAELS!P12&gt;20%,"3",IF(CAELS!P12&gt;15%,"4","5"))))</f>
        <v>1</v>
      </c>
      <c r="P19" s="138" t="str">
        <f>IF(CAELS!Q12&gt;30%,"1",IF(CAELS!Q12&gt;25%,"2",IF(CAELS!Q12&gt;20%,"3",IF(CAELS!Q12&gt;15%,"4","5"))))</f>
        <v>1</v>
      </c>
      <c r="Q19" s="138" t="str">
        <f>IF(CAELS!R12&gt;30%,"1",IF(CAELS!R12&gt;25%,"2",IF(CAELS!R12&gt;20%,"3",IF(CAELS!R12&gt;15%,"4","5"))))</f>
        <v>1</v>
      </c>
      <c r="R19" s="138" t="str">
        <f>IF(CAELS!S12&gt;30%,"1",IF(CAELS!S12&gt;25%,"2",IF(CAELS!S12&gt;20%,"3",IF(CAELS!S12&gt;15%,"4","5"))))</f>
        <v>1</v>
      </c>
      <c r="S19" s="138" t="str">
        <f>IF(CAELS!T12&gt;30%,"1",IF(CAELS!T12&gt;25%,"2",IF(CAELS!T12&gt;20%,"3",IF(CAELS!T12&gt;15%,"4","5"))))</f>
        <v>1</v>
      </c>
      <c r="T19" s="138" t="str">
        <f>IF(CAELS!U12&gt;30%,"1",IF(CAELS!U12&gt;25%,"2",IF(CAELS!U12&gt;20%,"3",IF(CAELS!U12&gt;15%,"4","5"))))</f>
        <v>1</v>
      </c>
      <c r="U19" s="138" t="str">
        <f>IF(CAELS!V12&gt;30%,"1",IF(CAELS!V12&gt;25%,"2",IF(CAELS!V12&gt;20%,"3",IF(CAELS!V12&gt;15%,"4","5"))))</f>
        <v>1</v>
      </c>
    </row>
    <row r="20" spans="1:21" x14ac:dyDescent="0.3">
      <c r="A20" s="61" t="s">
        <v>271</v>
      </c>
      <c r="B20" s="142"/>
      <c r="C20" s="138" t="str">
        <f>IF(CAELS!D13&gt;30%,"1",IF(CAELS!D13&gt;25%,"2",IF(CAELS!D13&gt;20%,"3",IF(CAELS!D13&gt;15%,"4","5"))))</f>
        <v>5</v>
      </c>
      <c r="D20" s="138" t="str">
        <f>IF(CAELS!E13&gt;30%,"1",IF(CAELS!E13&gt;25%,"2",IF(CAELS!E13&gt;20%,"3",IF(CAELS!E13&gt;15%,"4","5"))))</f>
        <v>1</v>
      </c>
      <c r="E20" s="138" t="str">
        <f>IF(CAELS!F13&gt;30%,"1",IF(CAELS!F13&gt;25%,"2",IF(CAELS!F13&gt;20%,"3",IF(CAELS!F13&gt;15%,"4","5"))))</f>
        <v>1</v>
      </c>
      <c r="F20" s="138" t="str">
        <f>IF(CAELS!G13&gt;30%,"1",IF(CAELS!G13&gt;25%,"2",IF(CAELS!G13&gt;20%,"3",IF(CAELS!G13&gt;15%,"4","5"))))</f>
        <v>1</v>
      </c>
      <c r="G20" s="138" t="str">
        <f>IF(CAELS!H13&gt;30%,"1",IF(CAELS!H13&gt;25%,"2",IF(CAELS!H13&gt;20%,"3",IF(CAELS!H13&gt;15%,"4","5"))))</f>
        <v>1</v>
      </c>
      <c r="H20" s="138" t="str">
        <f>IF(CAELS!I13&gt;30%,"1",IF(CAELS!I13&gt;25%,"2",IF(CAELS!I13&gt;20%,"3",IF(CAELS!I13&gt;15%,"4","5"))))</f>
        <v>1</v>
      </c>
      <c r="I20" s="138" t="str">
        <f>IF(CAELS!J13&gt;30%,"1",IF(CAELS!J13&gt;25%,"2",IF(CAELS!J13&gt;20%,"3",IF(CAELS!J13&gt;15%,"4","5"))))</f>
        <v>2</v>
      </c>
      <c r="J20" s="138" t="str">
        <f>IF(CAELS!K13&gt;30%,"1",IF(CAELS!K13&gt;25%,"2",IF(CAELS!K13&gt;20%,"3",IF(CAELS!K13&gt;15%,"4","5"))))</f>
        <v>4</v>
      </c>
      <c r="K20" s="138" t="str">
        <f>IF(CAELS!L13&gt;30%,"1",IF(CAELS!L13&gt;25%,"2",IF(CAELS!L13&gt;20%,"3",IF(CAELS!L13&gt;15%,"4","5"))))</f>
        <v>5</v>
      </c>
      <c r="L20" s="138" t="str">
        <f>IF(CAELS!M13&gt;30%,"1",IF(CAELS!M13&gt;25%,"2",IF(CAELS!M13&gt;20%,"3",IF(CAELS!M13&gt;15%,"4","5"))))</f>
        <v>5</v>
      </c>
      <c r="M20" s="138" t="str">
        <f>IF(CAELS!N13&gt;30%,"1",IF(CAELS!N13&gt;25%,"2",IF(CAELS!N13&gt;20%,"3",IF(CAELS!N13&gt;15%,"4","5"))))</f>
        <v>5</v>
      </c>
      <c r="N20" s="138" t="str">
        <f>IF(CAELS!O13&gt;30%,"1",IF(CAELS!O13&gt;25%,"2",IF(CAELS!O13&gt;20%,"3",IF(CAELS!O13&gt;15%,"4","5"))))</f>
        <v>1</v>
      </c>
      <c r="O20" s="138" t="str">
        <f>IF(CAELS!P13&gt;30%,"1",IF(CAELS!P13&gt;25%,"2",IF(CAELS!P13&gt;20%,"3",IF(CAELS!P13&gt;15%,"4","5"))))</f>
        <v>2</v>
      </c>
      <c r="P20" s="138" t="str">
        <f>IF(CAELS!Q13&gt;30%,"1",IF(CAELS!Q13&gt;25%,"2",IF(CAELS!Q13&gt;20%,"3",IF(CAELS!Q13&gt;15%,"4","5"))))</f>
        <v>3</v>
      </c>
      <c r="Q20" s="138" t="str">
        <f>IF(CAELS!R13&gt;30%,"1",IF(CAELS!R13&gt;25%,"2",IF(CAELS!R13&gt;20%,"3",IF(CAELS!R13&gt;15%,"4","5"))))</f>
        <v>2</v>
      </c>
      <c r="R20" s="138" t="str">
        <f>IF(CAELS!S13&gt;30%,"1",IF(CAELS!S13&gt;25%,"2",IF(CAELS!S13&gt;20%,"3",IF(CAELS!S13&gt;15%,"4","5"))))</f>
        <v>3</v>
      </c>
      <c r="S20" s="138" t="str">
        <f>IF(CAELS!T13&gt;30%,"1",IF(CAELS!T13&gt;25%,"2",IF(CAELS!T13&gt;20%,"3",IF(CAELS!T13&gt;15%,"4","5"))))</f>
        <v>4</v>
      </c>
      <c r="T20" s="138" t="str">
        <f>IF(CAELS!U13&gt;30%,"1",IF(CAELS!U13&gt;25%,"2",IF(CAELS!U13&gt;20%,"3",IF(CAELS!U13&gt;15%,"4","5"))))</f>
        <v>5</v>
      </c>
      <c r="U20" s="138" t="str">
        <f>IF(CAELS!V13&gt;30%,"1",IF(CAELS!V13&gt;25%,"2",IF(CAELS!V13&gt;20%,"3",IF(CAELS!V13&gt;15%,"4","5"))))</f>
        <v>4</v>
      </c>
    </row>
    <row r="21" spans="1:21" x14ac:dyDescent="0.3">
      <c r="A21" s="61" t="s">
        <v>272</v>
      </c>
      <c r="B21" s="136" t="s">
        <v>273</v>
      </c>
      <c r="C21" s="138" t="str">
        <f>IF(CAELS!D14&lt;15%,"1",IF(CAELS!D14&lt;18%,"2",IF(CAELS!D14&lt;22%,"3",IF(CAELS!D14&lt;25%,"4","5"))))</f>
        <v>1</v>
      </c>
      <c r="D21" s="138" t="str">
        <f>IF(CAELS!E14&lt;15%,"1",IF(CAELS!E14&lt;18%,"2",IF(CAELS!E14&lt;22%,"3",IF(CAELS!E14&lt;25%,"4","5"))))</f>
        <v>1</v>
      </c>
      <c r="E21" s="138" t="str">
        <f>IF(CAELS!F14&lt;15%,"1",IF(CAELS!F14&lt;18%,"2",IF(CAELS!F14&lt;22%,"3",IF(CAELS!F14&lt;25%,"4","5"))))</f>
        <v>1</v>
      </c>
      <c r="F21" s="138" t="str">
        <f>IF(CAELS!G14&lt;15%,"1",IF(CAELS!G14&lt;18%,"2",IF(CAELS!G14&lt;22%,"3",IF(CAELS!G14&lt;25%,"4","5"))))</f>
        <v>1</v>
      </c>
      <c r="G21" s="138" t="str">
        <f>IF(CAELS!H14&lt;15%,"1",IF(CAELS!H14&lt;18%,"2",IF(CAELS!H14&lt;22%,"3",IF(CAELS!H14&lt;25%,"4","5"))))</f>
        <v>1</v>
      </c>
      <c r="H21" s="138" t="str">
        <f>IF(CAELS!I14&lt;15%,"1",IF(CAELS!I14&lt;18%,"2",IF(CAELS!I14&lt;22%,"3",IF(CAELS!I14&lt;25%,"4","5"))))</f>
        <v>1</v>
      </c>
      <c r="I21" s="138" t="str">
        <f>IF(CAELS!J14&lt;15%,"1",IF(CAELS!J14&lt;18%,"2",IF(CAELS!J14&lt;22%,"3",IF(CAELS!J14&lt;25%,"4","5"))))</f>
        <v>1</v>
      </c>
      <c r="J21" s="138" t="str">
        <f>IF(CAELS!K14&lt;15%,"1",IF(CAELS!K14&lt;18%,"2",IF(CAELS!K14&lt;22%,"3",IF(CAELS!K14&lt;25%,"4","5"))))</f>
        <v>1</v>
      </c>
      <c r="K21" s="138" t="str">
        <f>IF(CAELS!L14&lt;15%,"1",IF(CAELS!L14&lt;18%,"2",IF(CAELS!L14&lt;22%,"3",IF(CAELS!L14&lt;25%,"4","5"))))</f>
        <v>1</v>
      </c>
      <c r="L21" s="138" t="str">
        <f>IF(CAELS!M14&lt;15%,"1",IF(CAELS!M14&lt;18%,"2",IF(CAELS!M14&lt;22%,"3",IF(CAELS!M14&lt;25%,"4","5"))))</f>
        <v>1</v>
      </c>
      <c r="M21" s="138" t="str">
        <f>IF(CAELS!N14&lt;15%,"1",IF(CAELS!N14&lt;18%,"2",IF(CAELS!N14&lt;22%,"3",IF(CAELS!N14&lt;25%,"4","5"))))</f>
        <v>1</v>
      </c>
      <c r="N21" s="138" t="str">
        <f>IF(CAELS!O14&lt;15%,"1",IF(CAELS!O14&lt;18%,"2",IF(CAELS!O14&lt;22%,"3",IF(CAELS!O14&lt;25%,"4","5"))))</f>
        <v>1</v>
      </c>
      <c r="O21" s="138" t="str">
        <f>IF(CAELS!P14&lt;15%,"1",IF(CAELS!P14&lt;18%,"2",IF(CAELS!P14&lt;22%,"3",IF(CAELS!P14&lt;25%,"4","5"))))</f>
        <v>1</v>
      </c>
      <c r="P21" s="138" t="str">
        <f>IF(CAELS!Q14&lt;15%,"1",IF(CAELS!Q14&lt;18%,"2",IF(CAELS!Q14&lt;22%,"3",IF(CAELS!Q14&lt;25%,"4","5"))))</f>
        <v>1</v>
      </c>
      <c r="Q21" s="138" t="str">
        <f>IF(CAELS!R14&lt;15%,"1",IF(CAELS!R14&lt;18%,"2",IF(CAELS!R14&lt;22%,"3",IF(CAELS!R14&lt;25%,"4","5"))))</f>
        <v>1</v>
      </c>
      <c r="R21" s="138" t="str">
        <f>IF(CAELS!S14&lt;15%,"1",IF(CAELS!S14&lt;18%,"2",IF(CAELS!S14&lt;22%,"3",IF(CAELS!S14&lt;25%,"4","5"))))</f>
        <v>1</v>
      </c>
      <c r="S21" s="138" t="str">
        <f>IF(CAELS!T14&lt;15%,"1",IF(CAELS!T14&lt;18%,"2",IF(CAELS!T14&lt;22%,"3",IF(CAELS!T14&lt;25%,"4","5"))))</f>
        <v>1</v>
      </c>
      <c r="T21" s="138" t="str">
        <f>IF(CAELS!U14&lt;15%,"1",IF(CAELS!U14&lt;18%,"2",IF(CAELS!U14&lt;22%,"3",IF(CAELS!U14&lt;25%,"4","5"))))</f>
        <v>1</v>
      </c>
      <c r="U21" s="138" t="str">
        <f>IF(CAELS!V14&lt;15%,"1",IF(CAELS!V14&lt;18%,"2",IF(CAELS!V14&lt;22%,"3",IF(CAELS!V14&lt;25%,"4","5"))))</f>
        <v>1</v>
      </c>
    </row>
    <row r="22" spans="1:21" x14ac:dyDescent="0.3">
      <c r="A22" s="61" t="s">
        <v>274</v>
      </c>
      <c r="B22" s="2"/>
      <c r="C22" s="138" t="str">
        <f>IF(CAELS!D15&gt;15%,"1",IF(CAELS!D15&gt;12%,"2",IF(CAELS!D15&gt;9%,"3",IF(CAELS!D15&gt;6%,"4","5"))))</f>
        <v>2</v>
      </c>
      <c r="D22" s="138" t="str">
        <f>IF(CAELS!E15&gt;15%,"1",IF(CAELS!E15&gt;12%,"2",IF(CAELS!E15&gt;9%,"3",IF(CAELS!E15&gt;6%,"4","5"))))</f>
        <v>1</v>
      </c>
      <c r="E22" s="138" t="str">
        <f>IF(CAELS!F15&gt;15%,"1",IF(CAELS!F15&gt;12%,"2",IF(CAELS!F15&gt;9%,"3",IF(CAELS!F15&gt;6%,"4","5"))))</f>
        <v>1</v>
      </c>
      <c r="F22" s="138" t="str">
        <f>IF(CAELS!G15&gt;15%,"1",IF(CAELS!G15&gt;12%,"2",IF(CAELS!G15&gt;9%,"3",IF(CAELS!G15&gt;6%,"4","5"))))</f>
        <v>1</v>
      </c>
      <c r="G22" s="138" t="str">
        <f>IF(CAELS!H15&gt;15%,"1",IF(CAELS!H15&gt;12%,"2",IF(CAELS!H15&gt;9%,"3",IF(CAELS!H15&gt;6%,"4","5"))))</f>
        <v>1</v>
      </c>
      <c r="H22" s="138" t="str">
        <f>IF(CAELS!I15&gt;15%,"1",IF(CAELS!I15&gt;12%,"2",IF(CAELS!I15&gt;9%,"3",IF(CAELS!I15&gt;6%,"4","5"))))</f>
        <v>1</v>
      </c>
      <c r="I22" s="138" t="str">
        <f>IF(CAELS!J15&gt;15%,"1",IF(CAELS!J15&gt;12%,"2",IF(CAELS!J15&gt;9%,"3",IF(CAELS!J15&gt;6%,"4","5"))))</f>
        <v>2</v>
      </c>
      <c r="J22" s="138" t="str">
        <f>IF(CAELS!K15&gt;15%,"1",IF(CAELS!K15&gt;12%,"2",IF(CAELS!K15&gt;9%,"3",IF(CAELS!K15&gt;6%,"4","5"))))</f>
        <v>4</v>
      </c>
      <c r="K22" s="138" t="str">
        <f>IF(CAELS!L15&gt;15%,"1",IF(CAELS!L15&gt;12%,"2",IF(CAELS!L15&gt;9%,"3",IF(CAELS!L15&gt;6%,"4","5"))))</f>
        <v>5</v>
      </c>
      <c r="L22" s="138" t="str">
        <f>IF(CAELS!M15&gt;15%,"1",IF(CAELS!M15&gt;12%,"2",IF(CAELS!M15&gt;9%,"3",IF(CAELS!M15&gt;6%,"4","5"))))</f>
        <v>5</v>
      </c>
      <c r="M22" s="138" t="str">
        <f>IF(CAELS!N15&gt;15%,"1",IF(CAELS!N15&gt;12%,"2",IF(CAELS!N15&gt;9%,"3",IF(CAELS!N15&gt;6%,"4","5"))))</f>
        <v>5</v>
      </c>
      <c r="N22" s="138" t="str">
        <f>IF(CAELS!O15&gt;15%,"1",IF(CAELS!O15&gt;12%,"2",IF(CAELS!O15&gt;9%,"3",IF(CAELS!O15&gt;6%,"4","5"))))</f>
        <v>1</v>
      </c>
      <c r="O22" s="138" t="str">
        <f>IF(CAELS!P15&gt;15%,"1",IF(CAELS!P15&gt;12%,"2",IF(CAELS!P15&gt;9%,"3",IF(CAELS!P15&gt;6%,"4","5"))))</f>
        <v>2</v>
      </c>
      <c r="P22" s="138" t="str">
        <f>IF(CAELS!Q15&gt;15%,"1",IF(CAELS!Q15&gt;12%,"2",IF(CAELS!Q15&gt;9%,"3",IF(CAELS!Q15&gt;6%,"4","5"))))</f>
        <v>2</v>
      </c>
      <c r="Q22" s="138" t="str">
        <f>IF(CAELS!R15&gt;15%,"1",IF(CAELS!R15&gt;12%,"2",IF(CAELS!R15&gt;9%,"3",IF(CAELS!R15&gt;6%,"4","5"))))</f>
        <v>2</v>
      </c>
      <c r="R22" s="138" t="str">
        <f>IF(CAELS!S15&gt;15%,"1",IF(CAELS!S15&gt;12%,"2",IF(CAELS!S15&gt;9%,"3",IF(CAELS!S15&gt;6%,"4","5"))))</f>
        <v>3</v>
      </c>
      <c r="S22" s="138" t="str">
        <f>IF(CAELS!T15&gt;15%,"1",IF(CAELS!T15&gt;12%,"2",IF(CAELS!T15&gt;9%,"3",IF(CAELS!T15&gt;6%,"4","5"))))</f>
        <v>3</v>
      </c>
      <c r="T22" s="138" t="str">
        <f>IF(CAELS!U15&gt;15%,"1",IF(CAELS!U15&gt;12%,"2",IF(CAELS!U15&gt;9%,"3",IF(CAELS!U15&gt;6%,"4","5"))))</f>
        <v>4</v>
      </c>
      <c r="U22" s="138" t="str">
        <f>IF(CAELS!V15&gt;15%,"1",IF(CAELS!V15&gt;12%,"2",IF(CAELS!V15&gt;9%,"3",IF(CAELS!V15&gt;6%,"4","5"))))</f>
        <v>3</v>
      </c>
    </row>
    <row r="23" spans="1:21" x14ac:dyDescent="0.3">
      <c r="A23" s="61"/>
      <c r="B23" s="2"/>
      <c r="C23" s="151">
        <f t="shared" ref="C23:K23" si="6">(C19+C20+C21+C22)/4</f>
        <v>2.25</v>
      </c>
      <c r="D23" s="151">
        <f t="shared" si="6"/>
        <v>1</v>
      </c>
      <c r="E23" s="151">
        <f t="shared" si="6"/>
        <v>1</v>
      </c>
      <c r="F23" s="151">
        <f t="shared" si="6"/>
        <v>1</v>
      </c>
      <c r="G23" s="151">
        <f t="shared" si="6"/>
        <v>1</v>
      </c>
      <c r="H23" s="151">
        <f t="shared" si="6"/>
        <v>1</v>
      </c>
      <c r="I23" s="151">
        <f t="shared" si="6"/>
        <v>1.5</v>
      </c>
      <c r="J23" s="151">
        <f t="shared" si="6"/>
        <v>2.5</v>
      </c>
      <c r="K23" s="151">
        <f t="shared" si="6"/>
        <v>3</v>
      </c>
      <c r="L23" s="151">
        <f t="shared" ref="L23:S23" si="7">(L19+L20+L21+L22)/4</f>
        <v>3.75</v>
      </c>
      <c r="M23" s="151">
        <f t="shared" si="7"/>
        <v>4</v>
      </c>
      <c r="N23" s="151">
        <f t="shared" si="7"/>
        <v>1</v>
      </c>
      <c r="O23" s="151">
        <f t="shared" si="7"/>
        <v>1.5</v>
      </c>
      <c r="P23" s="151">
        <f t="shared" si="7"/>
        <v>1.75</v>
      </c>
      <c r="Q23" s="151">
        <f t="shared" si="7"/>
        <v>1.5</v>
      </c>
      <c r="R23" s="151">
        <f t="shared" si="7"/>
        <v>2</v>
      </c>
      <c r="S23" s="151">
        <f t="shared" si="7"/>
        <v>2.25</v>
      </c>
      <c r="T23" s="151">
        <f>(T19+T20+T21+T22)/4</f>
        <v>2.75</v>
      </c>
      <c r="U23" s="151">
        <f>(U19+U20+U21+U22)/4</f>
        <v>2.25</v>
      </c>
    </row>
    <row r="24" spans="1:21" x14ac:dyDescent="0.3">
      <c r="A24" s="133" t="s">
        <v>187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</row>
    <row r="25" spans="1:21" x14ac:dyDescent="0.3">
      <c r="A25" s="61" t="s">
        <v>275</v>
      </c>
      <c r="B25" s="136" t="s">
        <v>276</v>
      </c>
      <c r="C25" s="138" t="str">
        <f>IF(CAELS!D16&lt;6%,"1",IF(CAELS!D16&lt;7%,"2",IF(CAELS!D16&lt;8%,"3",IF(CAELS!D16&lt;10%,"4","5"))))</f>
        <v>5</v>
      </c>
      <c r="D25" s="138" t="str">
        <f>IF(CAELS!E16&lt;6%,"1",IF(CAELS!E16&lt;7%,"2",IF(CAELS!E16&lt;8%,"3",IF(CAELS!E16&lt;10%,"4","5"))))</f>
        <v>1</v>
      </c>
      <c r="E25" s="138" t="str">
        <f>IF(CAELS!F16&lt;6%,"1",IF(CAELS!F16&lt;7%,"2",IF(CAELS!F16&lt;8%,"3",IF(CAELS!F16&lt;10%,"4","5"))))</f>
        <v>1</v>
      </c>
      <c r="F25" s="138" t="str">
        <f>IF(CAELS!G16&lt;6%,"1",IF(CAELS!G16&lt;7%,"2",IF(CAELS!G16&lt;8%,"3",IF(CAELS!G16&lt;10%,"4","5"))))</f>
        <v>1</v>
      </c>
      <c r="G25" s="138" t="str">
        <f>IF(CAELS!H16&lt;6%,"1",IF(CAELS!H16&lt;7%,"2",IF(CAELS!H16&lt;8%,"3",IF(CAELS!H16&lt;10%,"4","5"))))</f>
        <v>1</v>
      </c>
      <c r="H25" s="138" t="str">
        <f>IF(CAELS!I16&lt;6%,"1",IF(CAELS!I16&lt;7%,"2",IF(CAELS!I16&lt;8%,"3",IF(CAELS!I16&lt;10%,"4","5"))))</f>
        <v>1</v>
      </c>
      <c r="I25" s="138" t="str">
        <f>IF(CAELS!J16&lt;6%,"1",IF(CAELS!J16&lt;7%,"2",IF(CAELS!J16&lt;8%,"3",IF(CAELS!J16&lt;10%,"4","5"))))</f>
        <v>1</v>
      </c>
      <c r="J25" s="138" t="str">
        <f>IF(CAELS!K16&lt;6%,"1",IF(CAELS!K16&lt;7%,"2",IF(CAELS!K16&lt;8%,"3",IF(CAELS!K16&lt;10%,"4","5"))))</f>
        <v>1</v>
      </c>
      <c r="K25" s="138" t="str">
        <f>IF(CAELS!L16&lt;6%,"1",IF(CAELS!L16&lt;7%,"2",IF(CAELS!L16&lt;8%,"3",IF(CAELS!L16&lt;10%,"4","5"))))</f>
        <v>1</v>
      </c>
      <c r="L25" s="138" t="str">
        <f>IF(CAELS!M16&lt;6%,"1",IF(CAELS!M16&lt;7%,"2",IF(CAELS!M16&lt;8%,"3",IF(CAELS!M16&lt;10%,"4","5"))))</f>
        <v>1</v>
      </c>
      <c r="M25" s="138" t="str">
        <f>IF(CAELS!N16&lt;6%,"1",IF(CAELS!N16&lt;7%,"2",IF(CAELS!N16&lt;8%,"3",IF(CAELS!N16&lt;10%,"4","5"))))</f>
        <v>1</v>
      </c>
      <c r="N25" s="138" t="str">
        <f>IF(CAELS!O16&lt;6%,"1",IF(CAELS!O16&lt;7%,"2",IF(CAELS!O16&lt;8%,"3",IF(CAELS!O16&lt;10%,"4","5"))))</f>
        <v>1</v>
      </c>
      <c r="O25" s="138" t="str">
        <f>IF(CAELS!P16&lt;6%,"1",IF(CAELS!P16&lt;7%,"2",IF(CAELS!P16&lt;8%,"3",IF(CAELS!P16&lt;10%,"4","5"))))</f>
        <v>1</v>
      </c>
      <c r="P25" s="138" t="str">
        <f>IF(CAELS!Q16&lt;6%,"1",IF(CAELS!Q16&lt;7%,"2",IF(CAELS!Q16&lt;8%,"3",IF(CAELS!Q16&lt;10%,"4","5"))))</f>
        <v>1</v>
      </c>
      <c r="Q25" s="138" t="str">
        <f>IF(CAELS!R16&lt;6%,"1",IF(CAELS!R16&lt;7%,"2",IF(CAELS!R16&lt;8%,"3",IF(CAELS!R16&lt;10%,"4","5"))))</f>
        <v>1</v>
      </c>
      <c r="R25" s="138" t="str">
        <f>IF(CAELS!S16&lt;6%,"1",IF(CAELS!S16&lt;7%,"2",IF(CAELS!S16&lt;8%,"3",IF(CAELS!S16&lt;10%,"4","5"))))</f>
        <v>1</v>
      </c>
      <c r="S25" s="138" t="str">
        <f>IF(CAELS!T16&lt;6%,"1",IF(CAELS!T16&lt;7%,"2",IF(CAELS!T16&lt;8%,"3",IF(CAELS!T16&lt;10%,"4","5"))))</f>
        <v>1</v>
      </c>
      <c r="T25" s="138" t="str">
        <f>IF(CAELS!U16&lt;6%,"1",IF(CAELS!U16&lt;7%,"2",IF(CAELS!U16&lt;8%,"3",IF(CAELS!U16&lt;10%,"4","5"))))</f>
        <v>1</v>
      </c>
      <c r="U25" s="138" t="str">
        <f>IF(CAELS!V16&lt;6%,"1",IF(CAELS!V16&lt;7%,"2",IF(CAELS!V16&lt;8%,"3",IF(CAELS!V16&lt;10%,"4","5"))))</f>
        <v>1</v>
      </c>
    </row>
    <row r="26" spans="1:21" x14ac:dyDescent="0.3">
      <c r="A26" s="61" t="s">
        <v>277</v>
      </c>
      <c r="B26" s="136" t="s">
        <v>278</v>
      </c>
      <c r="C26" s="138" t="str">
        <f>IF(CAELS!D17&lt;2%,"1",IF(CAELS!D17&lt;3%,"2",IF(CAELS!D17&lt;4%,"3",IF(CAELS!D17&lt;5%,"4","5"))))</f>
        <v>3</v>
      </c>
      <c r="D26" s="138" t="str">
        <f>IF(CAELS!E17&lt;2%,"1",IF(CAELS!E17&lt;3%,"2",IF(CAELS!E17&lt;4%,"3",IF(CAELS!E17&lt;5%,"4","5"))))</f>
        <v>1</v>
      </c>
      <c r="E26" s="138" t="str">
        <f>IF(CAELS!F17&lt;2%,"1",IF(CAELS!F17&lt;3%,"2",IF(CAELS!F17&lt;4%,"3",IF(CAELS!F17&lt;5%,"4","5"))))</f>
        <v>2</v>
      </c>
      <c r="F26" s="138" t="str">
        <f>IF(CAELS!G17&lt;2%,"1",IF(CAELS!G17&lt;3%,"2",IF(CAELS!G17&lt;4%,"3",IF(CAELS!G17&lt;5%,"4","5"))))</f>
        <v>1</v>
      </c>
      <c r="G26" s="138" t="str">
        <f>IF(CAELS!H17&lt;2%,"1",IF(CAELS!H17&lt;3%,"2",IF(CAELS!H17&lt;4%,"3",IF(CAELS!H17&lt;5%,"4","5"))))</f>
        <v>2</v>
      </c>
      <c r="H26" s="138" t="str">
        <f>IF(CAELS!I17&lt;2%,"1",IF(CAELS!I17&lt;3%,"2",IF(CAELS!I17&lt;4%,"3",IF(CAELS!I17&lt;5%,"4","5"))))</f>
        <v>2</v>
      </c>
      <c r="I26" s="138" t="str">
        <f>IF(CAELS!J17&lt;2%,"1",IF(CAELS!J17&lt;3%,"2",IF(CAELS!J17&lt;4%,"3",IF(CAELS!J17&lt;5%,"4","5"))))</f>
        <v>2</v>
      </c>
      <c r="J26" s="138" t="str">
        <f>IF(CAELS!K17&lt;2%,"1",IF(CAELS!K17&lt;3%,"2",IF(CAELS!K17&lt;4%,"3",IF(CAELS!K17&lt;5%,"4","5"))))</f>
        <v>2</v>
      </c>
      <c r="K26" s="138" t="str">
        <f>IF(CAELS!L17&lt;2%,"1",IF(CAELS!L17&lt;3%,"2",IF(CAELS!L17&lt;4%,"3",IF(CAELS!L17&lt;5%,"4","5"))))</f>
        <v>2</v>
      </c>
      <c r="L26" s="138" t="str">
        <f>IF(CAELS!M17&lt;2%,"1",IF(CAELS!M17&lt;3%,"2",IF(CAELS!M17&lt;4%,"3",IF(CAELS!M17&lt;5%,"4","5"))))</f>
        <v>3</v>
      </c>
      <c r="M26" s="138" t="str">
        <f>IF(CAELS!N17&lt;2%,"1",IF(CAELS!N17&lt;3%,"2",IF(CAELS!N17&lt;4%,"3",IF(CAELS!N17&lt;5%,"4","5"))))</f>
        <v>2</v>
      </c>
      <c r="N26" s="138" t="str">
        <f>IF(CAELS!O17&lt;2%,"1",IF(CAELS!O17&lt;3%,"2",IF(CAELS!O17&lt;4%,"3",IF(CAELS!O17&lt;5%,"4","5"))))</f>
        <v>2</v>
      </c>
      <c r="O26" s="138" t="str">
        <f>IF(CAELS!P17&lt;2%,"1",IF(CAELS!P17&lt;3%,"2",IF(CAELS!P17&lt;4%,"3",IF(CAELS!P17&lt;5%,"4","5"))))</f>
        <v>4</v>
      </c>
      <c r="P26" s="138" t="str">
        <f>IF(CAELS!Q17&lt;2%,"1",IF(CAELS!Q17&lt;3%,"2",IF(CAELS!Q17&lt;4%,"3",IF(CAELS!Q17&lt;5%,"4","5"))))</f>
        <v>1</v>
      </c>
      <c r="Q26" s="138" t="str">
        <f>IF(CAELS!R17&lt;2%,"1",IF(CAELS!R17&lt;3%,"2",IF(CAELS!R17&lt;4%,"3",IF(CAELS!R17&lt;5%,"4","5"))))</f>
        <v>1</v>
      </c>
      <c r="R26" s="138" t="str">
        <f>IF(CAELS!S17&lt;2%,"1",IF(CAELS!S17&lt;3%,"2",IF(CAELS!S17&lt;4%,"3",IF(CAELS!S17&lt;5%,"4","5"))))</f>
        <v>2</v>
      </c>
      <c r="S26" s="138" t="str">
        <f>IF(CAELS!T17&lt;2%,"1",IF(CAELS!T17&lt;3%,"2",IF(CAELS!T17&lt;4%,"3",IF(CAELS!T17&lt;5%,"4","5"))))</f>
        <v>2</v>
      </c>
      <c r="T26" s="138" t="str">
        <f>IF(CAELS!U17&lt;2%,"1",IF(CAELS!U17&lt;3%,"2",IF(CAELS!U17&lt;4%,"3",IF(CAELS!U17&lt;5%,"4","5"))))</f>
        <v>3</v>
      </c>
      <c r="U26" s="138" t="str">
        <f>IF(CAELS!V17&lt;2%,"1",IF(CAELS!V17&lt;3%,"2",IF(CAELS!V17&lt;4%,"3",IF(CAELS!V17&lt;5%,"4","5"))))</f>
        <v>3</v>
      </c>
    </row>
    <row r="27" spans="1:21" x14ac:dyDescent="0.3">
      <c r="A27" s="61" t="s">
        <v>279</v>
      </c>
      <c r="B27" s="136" t="s">
        <v>278</v>
      </c>
      <c r="C27" s="138" t="str">
        <f>IF(CAELS!D18&lt;2%,"1",IF(CAELS!D18&lt;3%,"2",IF(CAELS!D18&lt;4%,"3",IF(CAELS!D18&lt;5%,"4","5"))))</f>
        <v>1</v>
      </c>
      <c r="D27" s="138" t="str">
        <f>IF(CAELS!E18&lt;2%,"1",IF(CAELS!E18&lt;3%,"2",IF(CAELS!E18&lt;4%,"3",IF(CAELS!E18&lt;5%,"4","5"))))</f>
        <v>1</v>
      </c>
      <c r="E27" s="138" t="str">
        <f>IF(CAELS!F18&lt;2%,"1",IF(CAELS!F18&lt;3%,"2",IF(CAELS!F18&lt;4%,"3",IF(CAELS!F18&lt;5%,"4","5"))))</f>
        <v>1</v>
      </c>
      <c r="F27" s="138" t="str">
        <f>IF(CAELS!G18&lt;2%,"1",IF(CAELS!G18&lt;3%,"2",IF(CAELS!G18&lt;4%,"3",IF(CAELS!G18&lt;5%,"4","5"))))</f>
        <v>1</v>
      </c>
      <c r="G27" s="138" t="str">
        <f>IF(CAELS!H18&lt;2%,"1",IF(CAELS!H18&lt;3%,"2",IF(CAELS!H18&lt;4%,"3",IF(CAELS!H18&lt;5%,"4","5"))))</f>
        <v>1</v>
      </c>
      <c r="H27" s="138" t="str">
        <f>IF(CAELS!I18&lt;2%,"1",IF(CAELS!I18&lt;3%,"2",IF(CAELS!I18&lt;4%,"3",IF(CAELS!I18&lt;5%,"4","5"))))</f>
        <v>1</v>
      </c>
      <c r="I27" s="138" t="str">
        <f>IF(CAELS!J18&lt;2%,"1",IF(CAELS!J18&lt;3%,"2",IF(CAELS!J18&lt;4%,"3",IF(CAELS!J18&lt;5%,"4","5"))))</f>
        <v>1</v>
      </c>
      <c r="J27" s="138" t="str">
        <f>IF(CAELS!K18&lt;2%,"1",IF(CAELS!K18&lt;3%,"2",IF(CAELS!K18&lt;4%,"3",IF(CAELS!K18&lt;5%,"4","5"))))</f>
        <v>1</v>
      </c>
      <c r="K27" s="138" t="str">
        <f>IF(CAELS!L18&lt;2%,"1",IF(CAELS!L18&lt;3%,"2",IF(CAELS!L18&lt;4%,"3",IF(CAELS!L18&lt;5%,"4","5"))))</f>
        <v>1</v>
      </c>
      <c r="L27" s="138" t="str">
        <f>IF(CAELS!M18&lt;2%,"1",IF(CAELS!M18&lt;3%,"2",IF(CAELS!M18&lt;4%,"3",IF(CAELS!M18&lt;5%,"4","5"))))</f>
        <v>1</v>
      </c>
      <c r="M27" s="138" t="str">
        <f>IF(CAELS!N18&lt;2%,"1",IF(CAELS!N18&lt;3%,"2",IF(CAELS!N18&lt;4%,"3",IF(CAELS!N18&lt;5%,"4","5"))))</f>
        <v>1</v>
      </c>
      <c r="N27" s="138" t="str">
        <f>IF(CAELS!O18&lt;2%,"1",IF(CAELS!O18&lt;3%,"2",IF(CAELS!O18&lt;4%,"3",IF(CAELS!O18&lt;5%,"4","5"))))</f>
        <v>1</v>
      </c>
      <c r="O27" s="138" t="str">
        <f>IF(CAELS!P18&lt;2%,"1",IF(CAELS!P18&lt;3%,"2",IF(CAELS!P18&lt;4%,"3",IF(CAELS!P18&lt;5%,"4","5"))))</f>
        <v>1</v>
      </c>
      <c r="P27" s="138" t="str">
        <f>IF(CAELS!Q18&lt;2%,"1",IF(CAELS!Q18&lt;3%,"2",IF(CAELS!Q18&lt;4%,"3",IF(CAELS!Q18&lt;5%,"4","5"))))</f>
        <v>1</v>
      </c>
      <c r="Q27" s="138" t="str">
        <f>IF(CAELS!R18&lt;2%,"1",IF(CAELS!R18&lt;3%,"2",IF(CAELS!R18&lt;4%,"3",IF(CAELS!R18&lt;5%,"4","5"))))</f>
        <v>1</v>
      </c>
      <c r="R27" s="138" t="str">
        <f>IF(CAELS!S18&lt;2%,"1",IF(CAELS!S18&lt;3%,"2",IF(CAELS!S18&lt;4%,"3",IF(CAELS!S18&lt;5%,"4","5"))))</f>
        <v>1</v>
      </c>
      <c r="S27" s="138" t="str">
        <f>IF(CAELS!T18&lt;2%,"1",IF(CAELS!T18&lt;3%,"2",IF(CAELS!T18&lt;4%,"3",IF(CAELS!T18&lt;5%,"4","5"))))</f>
        <v>1</v>
      </c>
      <c r="T27" s="138" t="str">
        <f>IF(CAELS!U18&lt;2%,"1",IF(CAELS!U18&lt;3%,"2",IF(CAELS!U18&lt;4%,"3",IF(CAELS!U18&lt;5%,"4","5"))))</f>
        <v>1</v>
      </c>
      <c r="U27" s="138" t="str">
        <f>IF(CAELS!V18&lt;2%,"1",IF(CAELS!V18&lt;3%,"2",IF(CAELS!V18&lt;4%,"3",IF(CAELS!V18&lt;5%,"4","5"))))</f>
        <v>1</v>
      </c>
    </row>
    <row r="28" spans="1:21" x14ac:dyDescent="0.3">
      <c r="A28" s="61" t="s">
        <v>280</v>
      </c>
      <c r="B28" s="136" t="s">
        <v>281</v>
      </c>
      <c r="C28" s="138" t="str">
        <f>IF(CAELS!D19&lt;20%,"1",IF(CAELS!D19&lt;25%,"2",IF(CAELS!D19&lt;30%,"3",IF(CAELS!D19&lt;40%,"4","5"))))</f>
        <v>1</v>
      </c>
      <c r="D28" s="138" t="str">
        <f>IF(CAELS!E19&lt;20%,"1",IF(CAELS!E19&lt;25%,"2",IF(CAELS!E19&lt;30%,"3",IF(CAELS!E19&lt;40%,"4","5"))))</f>
        <v>1</v>
      </c>
      <c r="E28" s="138" t="str">
        <f>IF(CAELS!F19&lt;20%,"1",IF(CAELS!F19&lt;25%,"2",IF(CAELS!F19&lt;30%,"3",IF(CAELS!F19&lt;40%,"4","5"))))</f>
        <v>1</v>
      </c>
      <c r="F28" s="138" t="str">
        <f>IF(CAELS!G19&lt;20%,"1",IF(CAELS!G19&lt;25%,"2",IF(CAELS!G19&lt;30%,"3",IF(CAELS!G19&lt;40%,"4","5"))))</f>
        <v>1</v>
      </c>
      <c r="G28" s="138" t="str">
        <f>IF(CAELS!H19&lt;20%,"1",IF(CAELS!H19&lt;25%,"2",IF(CAELS!H19&lt;30%,"3",IF(CAELS!H19&lt;40%,"4","5"))))</f>
        <v>1</v>
      </c>
      <c r="H28" s="138" t="str">
        <f>IF(CAELS!I19&lt;20%,"1",IF(CAELS!I19&lt;25%,"2",IF(CAELS!I19&lt;30%,"3",IF(CAELS!I19&lt;40%,"4","5"))))</f>
        <v>1</v>
      </c>
      <c r="I28" s="138" t="str">
        <f>IF(CAELS!J19&lt;20%,"1",IF(CAELS!J19&lt;25%,"2",IF(CAELS!J19&lt;30%,"3",IF(CAELS!J19&lt;40%,"4","5"))))</f>
        <v>1</v>
      </c>
      <c r="J28" s="138" t="str">
        <f>IF(CAELS!K19&lt;20%,"1",IF(CAELS!K19&lt;25%,"2",IF(CAELS!K19&lt;30%,"3",IF(CAELS!K19&lt;40%,"4","5"))))</f>
        <v>1</v>
      </c>
      <c r="K28" s="138" t="str">
        <f>IF(CAELS!L19&lt;20%,"1",IF(CAELS!L19&lt;25%,"2",IF(CAELS!L19&lt;30%,"3",IF(CAELS!L19&lt;40%,"4","5"))))</f>
        <v>1</v>
      </c>
      <c r="L28" s="138" t="str">
        <f>IF(CAELS!M19&lt;20%,"1",IF(CAELS!M19&lt;25%,"2",IF(CAELS!M19&lt;30%,"3",IF(CAELS!M19&lt;40%,"4","5"))))</f>
        <v>1</v>
      </c>
      <c r="M28" s="138" t="str">
        <f>IF(CAELS!N19&lt;20%,"1",IF(CAELS!N19&lt;25%,"2",IF(CAELS!N19&lt;30%,"3",IF(CAELS!N19&lt;40%,"4","5"))))</f>
        <v>1</v>
      </c>
      <c r="N28" s="138" t="str">
        <f>IF(CAELS!O19&lt;20%,"1",IF(CAELS!O19&lt;25%,"2",IF(CAELS!O19&lt;30%,"3",IF(CAELS!O19&lt;40%,"4","5"))))</f>
        <v>1</v>
      </c>
      <c r="O28" s="138" t="str">
        <f>IF(CAELS!P19&lt;20%,"1",IF(CAELS!P19&lt;25%,"2",IF(CAELS!P19&lt;30%,"3",IF(CAELS!P19&lt;40%,"4","5"))))</f>
        <v>1</v>
      </c>
      <c r="P28" s="138" t="str">
        <f>IF(CAELS!Q19&lt;20%,"1",IF(CAELS!Q19&lt;25%,"2",IF(CAELS!Q19&lt;30%,"3",IF(CAELS!Q19&lt;40%,"4","5"))))</f>
        <v>1</v>
      </c>
      <c r="Q28" s="138" t="str">
        <f>IF(CAELS!R19&lt;20%,"1",IF(CAELS!R19&lt;25%,"2",IF(CAELS!R19&lt;30%,"3",IF(CAELS!R19&lt;40%,"4","5"))))</f>
        <v>1</v>
      </c>
      <c r="R28" s="138" t="str">
        <f>IF(CAELS!S19&lt;20%,"1",IF(CAELS!S19&lt;25%,"2",IF(CAELS!S19&lt;30%,"3",IF(CAELS!S19&lt;40%,"4","5"))))</f>
        <v>1</v>
      </c>
      <c r="S28" s="138" t="str">
        <f>IF(CAELS!T19&lt;20%,"1",IF(CAELS!T19&lt;25%,"2",IF(CAELS!T19&lt;30%,"3",IF(CAELS!T19&lt;40%,"4","5"))))</f>
        <v>1</v>
      </c>
      <c r="T28" s="138" t="str">
        <f>IF(CAELS!U19&lt;20%,"1",IF(CAELS!U19&lt;25%,"2",IF(CAELS!U19&lt;30%,"3",IF(CAELS!U19&lt;40%,"4","5"))))</f>
        <v>1</v>
      </c>
      <c r="U28" s="138" t="str">
        <f>IF(CAELS!V19&lt;20%,"1",IF(CAELS!V19&lt;25%,"2",IF(CAELS!V19&lt;30%,"3",IF(CAELS!V19&lt;40%,"4","5"))))</f>
        <v>1</v>
      </c>
    </row>
    <row r="29" spans="1:21" x14ac:dyDescent="0.3">
      <c r="A29" s="61"/>
      <c r="B29" s="2"/>
      <c r="C29" s="152">
        <f t="shared" ref="C29:K29" si="8">(C25+C26+C27+C28)/4</f>
        <v>2.5</v>
      </c>
      <c r="D29" s="152">
        <f t="shared" si="8"/>
        <v>1</v>
      </c>
      <c r="E29" s="152">
        <f t="shared" si="8"/>
        <v>1.25</v>
      </c>
      <c r="F29" s="152">
        <f t="shared" si="8"/>
        <v>1</v>
      </c>
      <c r="G29" s="152">
        <f t="shared" si="8"/>
        <v>1.25</v>
      </c>
      <c r="H29" s="152">
        <f t="shared" si="8"/>
        <v>1.25</v>
      </c>
      <c r="I29" s="152">
        <f t="shared" si="8"/>
        <v>1.25</v>
      </c>
      <c r="J29" s="152">
        <f t="shared" si="8"/>
        <v>1.25</v>
      </c>
      <c r="K29" s="152">
        <f t="shared" si="8"/>
        <v>1.25</v>
      </c>
      <c r="L29" s="152">
        <f t="shared" ref="L29:S29" si="9">(L25+L26+L27+L28)/4</f>
        <v>1.5</v>
      </c>
      <c r="M29" s="152">
        <f t="shared" si="9"/>
        <v>1.25</v>
      </c>
      <c r="N29" s="152">
        <f t="shared" si="9"/>
        <v>1.25</v>
      </c>
      <c r="O29" s="152">
        <f t="shared" si="9"/>
        <v>1.75</v>
      </c>
      <c r="P29" s="152">
        <f t="shared" si="9"/>
        <v>1</v>
      </c>
      <c r="Q29" s="152">
        <f t="shared" si="9"/>
        <v>1</v>
      </c>
      <c r="R29" s="152">
        <f t="shared" si="9"/>
        <v>1.25</v>
      </c>
      <c r="S29" s="152">
        <f t="shared" si="9"/>
        <v>1.25</v>
      </c>
      <c r="T29" s="152">
        <f>(T25+T26+T27+T28)/4</f>
        <v>1.5</v>
      </c>
      <c r="U29" s="152">
        <f>(U25+U26+U27+U28)/4</f>
        <v>1.5</v>
      </c>
    </row>
    <row r="30" spans="1:21" ht="15" thickBot="1" x14ac:dyDescent="0.35">
      <c r="A30" s="143" t="s">
        <v>282</v>
      </c>
      <c r="B30" s="144"/>
      <c r="C30" s="153">
        <f t="shared" ref="C30:K30" si="10">(C9+C12+C17+C23)/4</f>
        <v>1.7708333333333333</v>
      </c>
      <c r="D30" s="153">
        <f t="shared" si="10"/>
        <v>0.83333333333333326</v>
      </c>
      <c r="E30" s="153">
        <f t="shared" si="10"/>
        <v>0.91666666666666674</v>
      </c>
      <c r="F30" s="153">
        <f t="shared" si="10"/>
        <v>1.0833333333333335</v>
      </c>
      <c r="G30" s="153">
        <f t="shared" si="10"/>
        <v>1</v>
      </c>
      <c r="H30" s="153">
        <f t="shared" si="10"/>
        <v>1</v>
      </c>
      <c r="I30" s="153">
        <f t="shared" si="10"/>
        <v>1.0416666666666667</v>
      </c>
      <c r="J30" s="153">
        <f t="shared" si="10"/>
        <v>1.2916666666666667</v>
      </c>
      <c r="K30" s="153">
        <f t="shared" si="10"/>
        <v>1.4166666666666667</v>
      </c>
      <c r="L30" s="153">
        <f t="shared" ref="L30:S30" si="11">(L9+L12+L17+L23)/4</f>
        <v>2.854166666666667</v>
      </c>
      <c r="M30" s="153">
        <f t="shared" si="11"/>
        <v>1.6666666666666667</v>
      </c>
      <c r="N30" s="153">
        <f t="shared" si="11"/>
        <v>1</v>
      </c>
      <c r="O30" s="153">
        <f t="shared" si="11"/>
        <v>1.375</v>
      </c>
      <c r="P30" s="153">
        <f t="shared" si="11"/>
        <v>1.3541666666666665</v>
      </c>
      <c r="Q30" s="153">
        <f t="shared" si="11"/>
        <v>1.2083333333333335</v>
      </c>
      <c r="R30" s="153">
        <f t="shared" si="11"/>
        <v>1.5</v>
      </c>
      <c r="S30" s="153">
        <f t="shared" si="11"/>
        <v>1.3125</v>
      </c>
      <c r="T30" s="153">
        <f>(T9+T12+T17+T23)/4</f>
        <v>1.4375</v>
      </c>
      <c r="U30" s="153">
        <f>(U9+U12+U17+U23)/4</f>
        <v>1.4791666666666667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1"/>
  <sheetViews>
    <sheetView zoomScale="80" zoomScaleNormal="80" workbookViewId="0">
      <selection activeCell="J6" sqref="J6"/>
    </sheetView>
  </sheetViews>
  <sheetFormatPr defaultRowHeight="14.4" x14ac:dyDescent="0.3"/>
  <cols>
    <col min="1" max="1" width="41.88671875" customWidth="1"/>
    <col min="2" max="2" width="18" bestFit="1" customWidth="1"/>
    <col min="3" max="3" width="16.33203125" bestFit="1" customWidth="1"/>
    <col min="4" max="4" width="21" bestFit="1" customWidth="1"/>
    <col min="5" max="5" width="16.33203125" bestFit="1" customWidth="1"/>
    <col min="6" max="6" width="16.44140625" customWidth="1"/>
    <col min="7" max="7" width="16.33203125" customWidth="1"/>
    <col min="8" max="9" width="18.77734375" customWidth="1"/>
    <col min="10" max="10" width="16.33203125" customWidth="1"/>
    <col min="11" max="13" width="16.21875" bestFit="1" customWidth="1"/>
  </cols>
  <sheetData>
    <row r="1" spans="1:32" x14ac:dyDescent="0.3">
      <c r="A1" s="249" t="s">
        <v>86</v>
      </c>
      <c r="B1" s="250"/>
      <c r="C1" s="250"/>
      <c r="D1" s="250"/>
      <c r="E1" s="250"/>
      <c r="F1" s="251"/>
      <c r="G1" s="251"/>
      <c r="H1" s="252"/>
      <c r="I1" s="233"/>
    </row>
    <row r="2" spans="1:32" x14ac:dyDescent="0.3">
      <c r="A2" s="253" t="s">
        <v>87</v>
      </c>
      <c r="B2" s="254"/>
      <c r="C2" s="254"/>
      <c r="D2" s="254"/>
      <c r="E2" s="254"/>
      <c r="F2" s="255"/>
      <c r="G2" s="255"/>
      <c r="H2" s="256"/>
      <c r="I2" s="233"/>
    </row>
    <row r="3" spans="1:32" x14ac:dyDescent="0.3">
      <c r="A3" s="184"/>
      <c r="B3" s="257" t="s">
        <v>88</v>
      </c>
      <c r="C3" s="185" t="s">
        <v>89</v>
      </c>
      <c r="D3" s="259" t="s">
        <v>90</v>
      </c>
      <c r="E3" s="260"/>
      <c r="F3" s="261" t="s">
        <v>91</v>
      </c>
      <c r="G3" s="221"/>
      <c r="H3" s="263" t="s">
        <v>92</v>
      </c>
      <c r="I3" s="227"/>
      <c r="J3" s="221"/>
    </row>
    <row r="4" spans="1:32" ht="28.8" x14ac:dyDescent="0.3">
      <c r="A4" s="61"/>
      <c r="B4" s="258"/>
      <c r="C4" s="186">
        <v>2020</v>
      </c>
      <c r="D4" s="187" t="s">
        <v>93</v>
      </c>
      <c r="E4" s="188" t="s">
        <v>94</v>
      </c>
      <c r="F4" s="262"/>
      <c r="G4" s="224" t="s">
        <v>3</v>
      </c>
      <c r="H4" s="264"/>
      <c r="I4" s="36">
        <v>44927</v>
      </c>
      <c r="J4" s="36">
        <v>44958</v>
      </c>
      <c r="K4" s="36">
        <v>44986</v>
      </c>
      <c r="L4" s="36">
        <v>45017</v>
      </c>
      <c r="M4" s="36">
        <v>45047</v>
      </c>
      <c r="N4" s="36">
        <v>45078</v>
      </c>
      <c r="O4" s="36">
        <v>45108</v>
      </c>
      <c r="P4" s="36">
        <v>45139</v>
      </c>
      <c r="Q4" s="36">
        <v>45170</v>
      </c>
      <c r="R4" s="36">
        <v>45200</v>
      </c>
      <c r="S4" s="36">
        <v>45231</v>
      </c>
      <c r="T4" s="36">
        <v>45261</v>
      </c>
      <c r="U4" s="36">
        <v>45292</v>
      </c>
      <c r="V4" s="36">
        <v>45323</v>
      </c>
      <c r="W4" s="36">
        <v>45352</v>
      </c>
      <c r="X4" s="36">
        <v>45383</v>
      </c>
    </row>
    <row r="5" spans="1:32" x14ac:dyDescent="0.3">
      <c r="A5" s="245" t="s">
        <v>95</v>
      </c>
      <c r="B5" s="246"/>
      <c r="C5" s="246"/>
      <c r="D5" s="246"/>
      <c r="E5" s="246"/>
      <c r="F5" s="247"/>
      <c r="G5" s="247"/>
      <c r="H5" s="248"/>
      <c r="I5" s="234"/>
    </row>
    <row r="6" spans="1:32" x14ac:dyDescent="0.3">
      <c r="A6" s="189" t="s">
        <v>96</v>
      </c>
      <c r="B6" s="190" t="s">
        <v>97</v>
      </c>
      <c r="C6" s="191">
        <f>C33</f>
        <v>322334806</v>
      </c>
      <c r="D6" s="191">
        <f>D33</f>
        <v>340971037</v>
      </c>
      <c r="E6" s="192">
        <f t="shared" ref="E6:I6" si="0">E33</f>
        <v>340071700</v>
      </c>
      <c r="F6" s="191">
        <f t="shared" si="0"/>
        <v>348484983</v>
      </c>
      <c r="G6" s="191">
        <f t="shared" ref="G6:J6" si="1">G33</f>
        <v>401268090</v>
      </c>
      <c r="H6" s="191">
        <f t="shared" si="0"/>
        <v>118637256575.37</v>
      </c>
      <c r="I6" s="191">
        <f t="shared" si="0"/>
        <v>396806896.04000002</v>
      </c>
      <c r="J6" s="191">
        <f t="shared" si="1"/>
        <v>403568234</v>
      </c>
      <c r="K6" s="191">
        <f t="shared" ref="K6:AF6" si="2">K33</f>
        <v>403318662</v>
      </c>
      <c r="L6" s="191">
        <f t="shared" si="2"/>
        <v>393860172</v>
      </c>
      <c r="M6" s="191">
        <f t="shared" si="2"/>
        <v>401859213</v>
      </c>
      <c r="N6" s="191">
        <f t="shared" si="2"/>
        <v>416965110</v>
      </c>
      <c r="O6" s="191">
        <f t="shared" si="2"/>
        <v>0</v>
      </c>
      <c r="P6" s="191">
        <f t="shared" si="2"/>
        <v>0</v>
      </c>
      <c r="Q6" s="191">
        <f t="shared" si="2"/>
        <v>0</v>
      </c>
      <c r="R6" s="191">
        <f t="shared" si="2"/>
        <v>0</v>
      </c>
      <c r="S6" s="191">
        <f t="shared" si="2"/>
        <v>0</v>
      </c>
      <c r="T6" s="191">
        <f t="shared" si="2"/>
        <v>0</v>
      </c>
      <c r="U6" s="191">
        <f t="shared" si="2"/>
        <v>0</v>
      </c>
      <c r="V6" s="191">
        <f t="shared" si="2"/>
        <v>0</v>
      </c>
      <c r="W6" s="191">
        <f t="shared" si="2"/>
        <v>0</v>
      </c>
      <c r="X6" s="191">
        <f t="shared" si="2"/>
        <v>0</v>
      </c>
      <c r="Y6" s="191">
        <f t="shared" si="2"/>
        <v>0</v>
      </c>
      <c r="Z6" s="191">
        <f t="shared" si="2"/>
        <v>0</v>
      </c>
      <c r="AA6" s="191">
        <f t="shared" si="2"/>
        <v>0</v>
      </c>
      <c r="AB6" s="191">
        <f t="shared" si="2"/>
        <v>0</v>
      </c>
      <c r="AC6" s="191">
        <f t="shared" si="2"/>
        <v>0</v>
      </c>
      <c r="AD6" s="191">
        <f t="shared" si="2"/>
        <v>0</v>
      </c>
      <c r="AE6" s="191">
        <f t="shared" si="2"/>
        <v>0</v>
      </c>
      <c r="AF6" s="191">
        <f t="shared" si="2"/>
        <v>0</v>
      </c>
    </row>
    <row r="7" spans="1:32" x14ac:dyDescent="0.3">
      <c r="A7" s="189" t="s">
        <v>98</v>
      </c>
      <c r="B7" s="193" t="s">
        <v>99</v>
      </c>
      <c r="C7" s="194">
        <f>C33/C29</f>
        <v>0.41696021891285689</v>
      </c>
      <c r="D7" s="194">
        <f>D33/D29</f>
        <v>0.48645861247337036</v>
      </c>
      <c r="E7" s="195">
        <f t="shared" ref="E7:I7" si="3">E33/E29</f>
        <v>0.44197597914215481</v>
      </c>
      <c r="F7" s="194">
        <f t="shared" si="3"/>
        <v>0.45325542562157572</v>
      </c>
      <c r="G7" s="194">
        <f t="shared" ref="G7:J7" si="4">G33/G29</f>
        <v>0.44442445366006239</v>
      </c>
      <c r="H7" s="194">
        <f t="shared" si="3"/>
        <v>0.17098641478643289</v>
      </c>
      <c r="I7" s="194">
        <f t="shared" si="3"/>
        <v>0.43882662692252311</v>
      </c>
      <c r="J7" s="194">
        <f t="shared" si="4"/>
        <v>0.44363347300027528</v>
      </c>
      <c r="K7" s="194">
        <f t="shared" ref="K7:AF7" si="5">K33/K29</f>
        <v>0.43861706269687284</v>
      </c>
      <c r="L7" s="194">
        <f t="shared" si="5"/>
        <v>0.43646672461581987</v>
      </c>
      <c r="M7" s="194">
        <f t="shared" si="5"/>
        <v>0.44046367467061737</v>
      </c>
      <c r="N7" s="194">
        <f t="shared" si="5"/>
        <v>0.44327862192318801</v>
      </c>
      <c r="O7" s="194" t="e">
        <f t="shared" si="5"/>
        <v>#DIV/0!</v>
      </c>
      <c r="P7" s="194" t="e">
        <f t="shared" si="5"/>
        <v>#DIV/0!</v>
      </c>
      <c r="Q7" s="194" t="e">
        <f t="shared" si="5"/>
        <v>#DIV/0!</v>
      </c>
      <c r="R7" s="194" t="e">
        <f t="shared" si="5"/>
        <v>#DIV/0!</v>
      </c>
      <c r="S7" s="194" t="e">
        <f t="shared" si="5"/>
        <v>#DIV/0!</v>
      </c>
      <c r="T7" s="194" t="e">
        <f t="shared" si="5"/>
        <v>#DIV/0!</v>
      </c>
      <c r="U7" s="194" t="e">
        <f t="shared" si="5"/>
        <v>#DIV/0!</v>
      </c>
      <c r="V7" s="194" t="e">
        <f t="shared" si="5"/>
        <v>#DIV/0!</v>
      </c>
      <c r="W7" s="194" t="e">
        <f t="shared" si="5"/>
        <v>#DIV/0!</v>
      </c>
      <c r="X7" s="194" t="e">
        <f t="shared" si="5"/>
        <v>#DIV/0!</v>
      </c>
      <c r="Y7" s="194" t="e">
        <f t="shared" si="5"/>
        <v>#DIV/0!</v>
      </c>
      <c r="Z7" s="194" t="e">
        <f t="shared" si="5"/>
        <v>#DIV/0!</v>
      </c>
      <c r="AA7" s="194" t="e">
        <f t="shared" si="5"/>
        <v>#DIV/0!</v>
      </c>
      <c r="AB7" s="194" t="e">
        <f t="shared" si="5"/>
        <v>#DIV/0!</v>
      </c>
      <c r="AC7" s="194" t="e">
        <f t="shared" si="5"/>
        <v>#DIV/0!</v>
      </c>
      <c r="AD7" s="194" t="e">
        <f t="shared" si="5"/>
        <v>#DIV/0!</v>
      </c>
      <c r="AE7" s="194" t="e">
        <f t="shared" si="5"/>
        <v>#DIV/0!</v>
      </c>
      <c r="AF7" s="194" t="e">
        <f t="shared" si="5"/>
        <v>#DIV/0!</v>
      </c>
    </row>
    <row r="8" spans="1:32" x14ac:dyDescent="0.3">
      <c r="A8" s="189" t="s">
        <v>100</v>
      </c>
      <c r="B8" s="193" t="s">
        <v>101</v>
      </c>
      <c r="C8" s="196">
        <f>C34/C29</f>
        <v>0.30456117844294833</v>
      </c>
      <c r="D8" s="196">
        <f>D34/D29</f>
        <v>0.3454743415012963</v>
      </c>
      <c r="E8" s="197">
        <f t="shared" ref="E8:I8" si="6">E34/E29</f>
        <v>0.30797729370187754</v>
      </c>
      <c r="F8" s="194">
        <f t="shared" si="6"/>
        <v>0.31915464467564736</v>
      </c>
      <c r="G8" s="194">
        <f t="shared" ref="G8:J8" si="7">G34/G29</f>
        <v>0.30647710141471851</v>
      </c>
      <c r="H8" s="194">
        <f t="shared" si="6"/>
        <v>0.10520614025781293</v>
      </c>
      <c r="I8" s="194">
        <f t="shared" si="6"/>
        <v>0.29959475147128145</v>
      </c>
      <c r="J8" s="194">
        <f t="shared" si="7"/>
        <v>0.30192615444763787</v>
      </c>
      <c r="K8" s="194">
        <f t="shared" ref="K8:AF8" si="8">K34/K29</f>
        <v>0.29561658984649181</v>
      </c>
      <c r="L8" s="194">
        <f t="shared" si="8"/>
        <v>0.28919802011572593</v>
      </c>
      <c r="M8" s="194">
        <f t="shared" si="8"/>
        <v>0.2930870628653619</v>
      </c>
      <c r="N8" s="194">
        <f t="shared" si="8"/>
        <v>0.29813911754836997</v>
      </c>
      <c r="O8" s="194" t="e">
        <f t="shared" si="8"/>
        <v>#DIV/0!</v>
      </c>
      <c r="P8" s="194" t="e">
        <f t="shared" si="8"/>
        <v>#DIV/0!</v>
      </c>
      <c r="Q8" s="194" t="e">
        <f t="shared" si="8"/>
        <v>#DIV/0!</v>
      </c>
      <c r="R8" s="194" t="e">
        <f t="shared" si="8"/>
        <v>#DIV/0!</v>
      </c>
      <c r="S8" s="194" t="e">
        <f t="shared" si="8"/>
        <v>#DIV/0!</v>
      </c>
      <c r="T8" s="194" t="e">
        <f t="shared" si="8"/>
        <v>#DIV/0!</v>
      </c>
      <c r="U8" s="194" t="e">
        <f t="shared" si="8"/>
        <v>#DIV/0!</v>
      </c>
      <c r="V8" s="194" t="e">
        <f t="shared" si="8"/>
        <v>#DIV/0!</v>
      </c>
      <c r="W8" s="194" t="e">
        <f t="shared" si="8"/>
        <v>#DIV/0!</v>
      </c>
      <c r="X8" s="194" t="e">
        <f t="shared" si="8"/>
        <v>#DIV/0!</v>
      </c>
      <c r="Y8" s="194" t="e">
        <f t="shared" si="8"/>
        <v>#DIV/0!</v>
      </c>
      <c r="Z8" s="194" t="e">
        <f t="shared" si="8"/>
        <v>#DIV/0!</v>
      </c>
      <c r="AA8" s="194" t="e">
        <f t="shared" si="8"/>
        <v>#DIV/0!</v>
      </c>
      <c r="AB8" s="194" t="e">
        <f t="shared" si="8"/>
        <v>#DIV/0!</v>
      </c>
      <c r="AC8" s="194" t="e">
        <f t="shared" si="8"/>
        <v>#DIV/0!</v>
      </c>
      <c r="AD8" s="194" t="e">
        <f t="shared" si="8"/>
        <v>#DIV/0!</v>
      </c>
      <c r="AE8" s="194" t="e">
        <f t="shared" si="8"/>
        <v>#DIV/0!</v>
      </c>
      <c r="AF8" s="194" t="e">
        <f t="shared" si="8"/>
        <v>#DIV/0!</v>
      </c>
    </row>
    <row r="9" spans="1:32" x14ac:dyDescent="0.3">
      <c r="A9" s="245" t="s">
        <v>102</v>
      </c>
      <c r="B9" s="246"/>
      <c r="C9" s="246"/>
      <c r="D9" s="246"/>
      <c r="E9" s="246"/>
      <c r="F9" s="247"/>
      <c r="G9" s="247"/>
      <c r="H9" s="248"/>
    </row>
    <row r="10" spans="1:32" x14ac:dyDescent="0.3">
      <c r="A10" s="189" t="s">
        <v>103</v>
      </c>
      <c r="B10" s="190" t="s">
        <v>104</v>
      </c>
      <c r="C10" s="196">
        <f>C35/C32</f>
        <v>0</v>
      </c>
      <c r="D10" s="196">
        <f t="shared" ref="D10:I10" si="9">D35/D32</f>
        <v>0.2833462385812483</v>
      </c>
      <c r="E10" s="197">
        <f t="shared" si="9"/>
        <v>0.30815496904510908</v>
      </c>
      <c r="F10" s="218">
        <f t="shared" si="9"/>
        <v>0.30815418328978489</v>
      </c>
      <c r="G10" s="218">
        <f t="shared" ref="G10:J10" si="10">G35/G32</f>
        <v>0.42974594699665047</v>
      </c>
      <c r="H10" s="196">
        <f t="shared" si="9"/>
        <v>8.1282559165795881E-2</v>
      </c>
      <c r="I10" s="218">
        <f t="shared" si="9"/>
        <v>1.9287248674516624E-9</v>
      </c>
      <c r="J10" s="218">
        <f t="shared" si="10"/>
        <v>0.20613306778528834</v>
      </c>
      <c r="K10" s="218">
        <f t="shared" ref="K10:AF10" si="11">K35/K32</f>
        <v>0</v>
      </c>
      <c r="L10" s="218" t="e">
        <f t="shared" si="11"/>
        <v>#VALUE!</v>
      </c>
      <c r="M10" s="218">
        <f t="shared" si="11"/>
        <v>4.0752691227465929E-10</v>
      </c>
      <c r="N10" s="218">
        <f t="shared" si="11"/>
        <v>0</v>
      </c>
      <c r="O10" s="218" t="e">
        <f t="shared" si="11"/>
        <v>#DIV/0!</v>
      </c>
      <c r="P10" s="218" t="e">
        <f t="shared" si="11"/>
        <v>#DIV/0!</v>
      </c>
      <c r="Q10" s="218" t="e">
        <f t="shared" si="11"/>
        <v>#DIV/0!</v>
      </c>
      <c r="R10" s="218" t="e">
        <f t="shared" si="11"/>
        <v>#DIV/0!</v>
      </c>
      <c r="S10" s="218" t="e">
        <f t="shared" si="11"/>
        <v>#DIV/0!</v>
      </c>
      <c r="T10" s="218" t="e">
        <f t="shared" si="11"/>
        <v>#DIV/0!</v>
      </c>
      <c r="U10" s="218" t="e">
        <f t="shared" si="11"/>
        <v>#DIV/0!</v>
      </c>
      <c r="V10" s="218" t="e">
        <f t="shared" si="11"/>
        <v>#DIV/0!</v>
      </c>
      <c r="W10" s="218" t="e">
        <f t="shared" si="11"/>
        <v>#DIV/0!</v>
      </c>
      <c r="X10" s="218" t="e">
        <f t="shared" si="11"/>
        <v>#DIV/0!</v>
      </c>
      <c r="Y10" s="218" t="e">
        <f t="shared" si="11"/>
        <v>#DIV/0!</v>
      </c>
      <c r="Z10" s="218" t="e">
        <f t="shared" si="11"/>
        <v>#DIV/0!</v>
      </c>
      <c r="AA10" s="218" t="e">
        <f t="shared" si="11"/>
        <v>#DIV/0!</v>
      </c>
      <c r="AB10" s="218" t="e">
        <f t="shared" si="11"/>
        <v>#DIV/0!</v>
      </c>
      <c r="AC10" s="218" t="e">
        <f t="shared" si="11"/>
        <v>#DIV/0!</v>
      </c>
      <c r="AD10" s="218" t="e">
        <f t="shared" si="11"/>
        <v>#DIV/0!</v>
      </c>
      <c r="AE10" s="218" t="e">
        <f t="shared" si="11"/>
        <v>#DIV/0!</v>
      </c>
      <c r="AF10" s="218" t="e">
        <f t="shared" si="11"/>
        <v>#DIV/0!</v>
      </c>
    </row>
    <row r="11" spans="1:32" x14ac:dyDescent="0.3">
      <c r="A11" s="189" t="s">
        <v>105</v>
      </c>
      <c r="B11" s="190" t="s">
        <v>106</v>
      </c>
      <c r="C11" s="194">
        <f>C36/C29</f>
        <v>1.8551457200529749E-2</v>
      </c>
      <c r="D11" s="194">
        <f t="shared" ref="D11:I11" si="12">D36/D29</f>
        <v>2.7159506507592888E-2</v>
      </c>
      <c r="E11" s="195">
        <f t="shared" si="12"/>
        <v>1.7950985533924421E-2</v>
      </c>
      <c r="F11" s="194">
        <f t="shared" si="12"/>
        <v>1.7964662645300555E-2</v>
      </c>
      <c r="G11" s="194">
        <f t="shared" ref="G11:J11" si="13">G36/G29</f>
        <v>1.5297603977160486E-2</v>
      </c>
      <c r="H11" s="194">
        <f t="shared" si="12"/>
        <v>9.8107351761507727E-2</v>
      </c>
      <c r="I11" s="194">
        <f t="shared" si="12"/>
        <v>1.5274741994029613E-2</v>
      </c>
      <c r="J11" s="194">
        <f t="shared" si="13"/>
        <v>1.5183343731728841E-2</v>
      </c>
      <c r="K11" s="194">
        <f t="shared" ref="K11:AF11" si="14">K36/K29</f>
        <v>1.5020946377830217E-2</v>
      </c>
      <c r="L11" s="194">
        <f t="shared" si="14"/>
        <v>1.5306262763392236E-2</v>
      </c>
      <c r="M11" s="194">
        <f t="shared" si="14"/>
        <v>1.5138967602771197E-2</v>
      </c>
      <c r="N11" s="194">
        <f t="shared" si="14"/>
        <v>1.4683757152936249E-2</v>
      </c>
      <c r="O11" s="194" t="e">
        <f t="shared" si="14"/>
        <v>#DIV/0!</v>
      </c>
      <c r="P11" s="194" t="e">
        <f t="shared" si="14"/>
        <v>#DIV/0!</v>
      </c>
      <c r="Q11" s="194" t="e">
        <f t="shared" si="14"/>
        <v>#DIV/0!</v>
      </c>
      <c r="R11" s="194" t="e">
        <f t="shared" si="14"/>
        <v>#DIV/0!</v>
      </c>
      <c r="S11" s="194" t="e">
        <f t="shared" si="14"/>
        <v>#DIV/0!</v>
      </c>
      <c r="T11" s="194" t="e">
        <f t="shared" si="14"/>
        <v>#DIV/0!</v>
      </c>
      <c r="U11" s="194" t="e">
        <f t="shared" si="14"/>
        <v>#DIV/0!</v>
      </c>
      <c r="V11" s="194" t="e">
        <f t="shared" si="14"/>
        <v>#DIV/0!</v>
      </c>
      <c r="W11" s="194" t="e">
        <f t="shared" si="14"/>
        <v>#DIV/0!</v>
      </c>
      <c r="X11" s="194" t="e">
        <f t="shared" si="14"/>
        <v>#DIV/0!</v>
      </c>
      <c r="Y11" s="194" t="e">
        <f t="shared" si="14"/>
        <v>#DIV/0!</v>
      </c>
      <c r="Z11" s="194" t="e">
        <f t="shared" si="14"/>
        <v>#DIV/0!</v>
      </c>
      <c r="AA11" s="194" t="e">
        <f t="shared" si="14"/>
        <v>#DIV/0!</v>
      </c>
      <c r="AB11" s="194" t="e">
        <f t="shared" si="14"/>
        <v>#DIV/0!</v>
      </c>
      <c r="AC11" s="194" t="e">
        <f t="shared" si="14"/>
        <v>#DIV/0!</v>
      </c>
      <c r="AD11" s="194" t="e">
        <f t="shared" si="14"/>
        <v>#DIV/0!</v>
      </c>
      <c r="AE11" s="194" t="e">
        <f t="shared" si="14"/>
        <v>#DIV/0!</v>
      </c>
      <c r="AF11" s="194" t="e">
        <f t="shared" si="14"/>
        <v>#DIV/0!</v>
      </c>
    </row>
    <row r="12" spans="1:32" x14ac:dyDescent="0.3">
      <c r="A12" s="189" t="s">
        <v>107</v>
      </c>
      <c r="B12" s="190" t="s">
        <v>104</v>
      </c>
      <c r="C12" s="198">
        <f>C38/C31</f>
        <v>1.1985727520320369E-4</v>
      </c>
      <c r="D12" s="198">
        <f t="shared" ref="D12:I12" si="15">D38/D31</f>
        <v>1.597663687640909E-2</v>
      </c>
      <c r="E12" s="199">
        <f t="shared" si="15"/>
        <v>1.6638807157625335E-2</v>
      </c>
      <c r="F12" s="198">
        <f t="shared" si="15"/>
        <v>1.2895167943427932E-2</v>
      </c>
      <c r="G12" s="198">
        <f t="shared" ref="G12:J12" si="16">G38/G31</f>
        <v>1.1464929631144316E-2</v>
      </c>
      <c r="H12" s="198">
        <f t="shared" si="15"/>
        <v>2.8360462855930444E-2</v>
      </c>
      <c r="I12" s="198">
        <f t="shared" si="15"/>
        <v>1.1255744240011396E-2</v>
      </c>
      <c r="J12" s="198">
        <f t="shared" si="16"/>
        <v>1.1257956932973961E-2</v>
      </c>
      <c r="K12" s="198">
        <f t="shared" ref="K12:AF12" si="17">K38/K31</f>
        <v>1.1006673302126999E-2</v>
      </c>
      <c r="L12" s="198">
        <f t="shared" si="17"/>
        <v>1.1172762220622558E-2</v>
      </c>
      <c r="M12" s="198">
        <f t="shared" si="17"/>
        <v>1.1422729327192363E-2</v>
      </c>
      <c r="N12" s="198">
        <f t="shared" si="17"/>
        <v>1.1216320433555971E-2</v>
      </c>
      <c r="O12" s="198" t="e">
        <f t="shared" si="17"/>
        <v>#DIV/0!</v>
      </c>
      <c r="P12" s="198" t="e">
        <f t="shared" si="17"/>
        <v>#DIV/0!</v>
      </c>
      <c r="Q12" s="198" t="e">
        <f t="shared" si="17"/>
        <v>#DIV/0!</v>
      </c>
      <c r="R12" s="198" t="e">
        <f t="shared" si="17"/>
        <v>#DIV/0!</v>
      </c>
      <c r="S12" s="198" t="e">
        <f t="shared" si="17"/>
        <v>#DIV/0!</v>
      </c>
      <c r="T12" s="198" t="e">
        <f t="shared" si="17"/>
        <v>#DIV/0!</v>
      </c>
      <c r="U12" s="198" t="e">
        <f t="shared" si="17"/>
        <v>#DIV/0!</v>
      </c>
      <c r="V12" s="198" t="e">
        <f t="shared" si="17"/>
        <v>#DIV/0!</v>
      </c>
      <c r="W12" s="198" t="e">
        <f t="shared" si="17"/>
        <v>#DIV/0!</v>
      </c>
      <c r="X12" s="198" t="e">
        <f t="shared" si="17"/>
        <v>#DIV/0!</v>
      </c>
      <c r="Y12" s="198" t="e">
        <f t="shared" si="17"/>
        <v>#DIV/0!</v>
      </c>
      <c r="Z12" s="198" t="e">
        <f t="shared" si="17"/>
        <v>#DIV/0!</v>
      </c>
      <c r="AA12" s="198" t="e">
        <f t="shared" si="17"/>
        <v>#DIV/0!</v>
      </c>
      <c r="AB12" s="198" t="e">
        <f t="shared" si="17"/>
        <v>#DIV/0!</v>
      </c>
      <c r="AC12" s="198" t="e">
        <f t="shared" si="17"/>
        <v>#DIV/0!</v>
      </c>
      <c r="AD12" s="198" t="e">
        <f t="shared" si="17"/>
        <v>#DIV/0!</v>
      </c>
      <c r="AE12" s="198" t="e">
        <f t="shared" si="17"/>
        <v>#DIV/0!</v>
      </c>
      <c r="AF12" s="198" t="e">
        <f t="shared" si="17"/>
        <v>#DIV/0!</v>
      </c>
    </row>
    <row r="13" spans="1:32" x14ac:dyDescent="0.3">
      <c r="A13" s="200" t="s">
        <v>108</v>
      </c>
      <c r="B13" s="190" t="s">
        <v>109</v>
      </c>
      <c r="C13" s="201">
        <f>C38/C33</f>
        <v>1.5511821580943387E-4</v>
      </c>
      <c r="D13" s="201">
        <f t="shared" ref="D13:I13" si="18">D38/D33</f>
        <v>1.4426935036127424E-2</v>
      </c>
      <c r="E13" s="202">
        <f t="shared" si="18"/>
        <v>1.7662598799017971E-2</v>
      </c>
      <c r="F13" s="201">
        <f t="shared" si="18"/>
        <v>1.3218790549720761E-2</v>
      </c>
      <c r="G13" s="201">
        <f t="shared" ref="G13:J13" si="19">G38/G33</f>
        <v>1.17198803423417E-2</v>
      </c>
      <c r="H13" s="201">
        <f t="shared" si="18"/>
        <v>0.1122674420501152</v>
      </c>
      <c r="I13" s="201">
        <f t="shared" si="18"/>
        <v>1.1977740425965002E-2</v>
      </c>
      <c r="J13" s="201">
        <f t="shared" si="19"/>
        <v>1.1777066675669027E-2</v>
      </c>
      <c r="K13" s="201">
        <f t="shared" ref="K13:AF13" si="20">K38/K33</f>
        <v>1.1784354278156363E-2</v>
      </c>
      <c r="L13" s="201">
        <f t="shared" si="20"/>
        <v>1.2067353690182209E-2</v>
      </c>
      <c r="M13" s="201">
        <f t="shared" si="20"/>
        <v>1.1827152013060853E-2</v>
      </c>
      <c r="N13" s="201">
        <f t="shared" si="20"/>
        <v>1.1398675539063688E-2</v>
      </c>
      <c r="O13" s="201" t="e">
        <f t="shared" si="20"/>
        <v>#DIV/0!</v>
      </c>
      <c r="P13" s="201" t="e">
        <f t="shared" si="20"/>
        <v>#DIV/0!</v>
      </c>
      <c r="Q13" s="201" t="e">
        <f t="shared" si="20"/>
        <v>#DIV/0!</v>
      </c>
      <c r="R13" s="201" t="e">
        <f t="shared" si="20"/>
        <v>#DIV/0!</v>
      </c>
      <c r="S13" s="201" t="e">
        <f t="shared" si="20"/>
        <v>#DIV/0!</v>
      </c>
      <c r="T13" s="201" t="e">
        <f t="shared" si="20"/>
        <v>#DIV/0!</v>
      </c>
      <c r="U13" s="201" t="e">
        <f t="shared" si="20"/>
        <v>#DIV/0!</v>
      </c>
      <c r="V13" s="201" t="e">
        <f t="shared" si="20"/>
        <v>#DIV/0!</v>
      </c>
      <c r="W13" s="201" t="e">
        <f t="shared" si="20"/>
        <v>#DIV/0!</v>
      </c>
      <c r="X13" s="201" t="e">
        <f t="shared" si="20"/>
        <v>#DIV/0!</v>
      </c>
      <c r="Y13" s="201" t="e">
        <f t="shared" si="20"/>
        <v>#DIV/0!</v>
      </c>
      <c r="Z13" s="201" t="e">
        <f t="shared" si="20"/>
        <v>#DIV/0!</v>
      </c>
      <c r="AA13" s="201" t="e">
        <f t="shared" si="20"/>
        <v>#DIV/0!</v>
      </c>
      <c r="AB13" s="201" t="e">
        <f t="shared" si="20"/>
        <v>#DIV/0!</v>
      </c>
      <c r="AC13" s="201" t="e">
        <f t="shared" si="20"/>
        <v>#DIV/0!</v>
      </c>
      <c r="AD13" s="201" t="e">
        <f t="shared" si="20"/>
        <v>#DIV/0!</v>
      </c>
      <c r="AE13" s="201" t="e">
        <f t="shared" si="20"/>
        <v>#DIV/0!</v>
      </c>
      <c r="AF13" s="201" t="e">
        <f t="shared" si="20"/>
        <v>#DIV/0!</v>
      </c>
    </row>
    <row r="14" spans="1:32" x14ac:dyDescent="0.3">
      <c r="A14" s="245" t="s">
        <v>110</v>
      </c>
      <c r="B14" s="246"/>
      <c r="C14" s="246"/>
      <c r="D14" s="246"/>
      <c r="E14" s="246"/>
      <c r="F14" s="247"/>
      <c r="G14" s="247"/>
      <c r="H14" s="248"/>
    </row>
    <row r="15" spans="1:32" x14ac:dyDescent="0.3">
      <c r="A15" s="189" t="s">
        <v>111</v>
      </c>
      <c r="B15" s="190"/>
      <c r="C15" s="196">
        <f>C48/C32</f>
        <v>7.8553626821200415E-2</v>
      </c>
      <c r="D15" s="196">
        <f t="shared" ref="D15:I15" si="21">D48/D32</f>
        <v>7.9925063453791412E-2</v>
      </c>
      <c r="E15" s="197">
        <f t="shared" si="21"/>
        <v>0.11497313879120352</v>
      </c>
      <c r="F15" s="196">
        <f t="shared" si="21"/>
        <v>0.14777672389991692</v>
      </c>
      <c r="G15" s="196">
        <f t="shared" ref="G15:J15" si="22">G48/G32</f>
        <v>0.16006478822060891</v>
      </c>
      <c r="H15" s="196">
        <f t="shared" si="21"/>
        <v>0.15911072681788674</v>
      </c>
      <c r="I15" s="196">
        <f t="shared" si="21"/>
        <v>1.384940619173739E-2</v>
      </c>
      <c r="J15" s="196">
        <f t="shared" si="22"/>
        <v>2.3103114913042583E-2</v>
      </c>
      <c r="K15" s="196">
        <f t="shared" ref="K15:AF15" si="23">K48/K32</f>
        <v>3.7766774470864663E-2</v>
      </c>
      <c r="L15" s="196">
        <f t="shared" si="23"/>
        <v>4.5844970639388555E-2</v>
      </c>
      <c r="M15" s="196">
        <f t="shared" si="23"/>
        <v>5.4771615359900647E-2</v>
      </c>
      <c r="N15" s="196">
        <f t="shared" si="23"/>
        <v>6.672940005066591E-2</v>
      </c>
      <c r="O15" s="196" t="e">
        <f t="shared" si="23"/>
        <v>#DIV/0!</v>
      </c>
      <c r="P15" s="196" t="e">
        <f t="shared" si="23"/>
        <v>#DIV/0!</v>
      </c>
      <c r="Q15" s="196" t="e">
        <f t="shared" si="23"/>
        <v>#DIV/0!</v>
      </c>
      <c r="R15" s="196" t="e">
        <f t="shared" si="23"/>
        <v>#DIV/0!</v>
      </c>
      <c r="S15" s="196" t="e">
        <f t="shared" si="23"/>
        <v>#DIV/0!</v>
      </c>
      <c r="T15" s="196" t="e">
        <f t="shared" si="23"/>
        <v>#DIV/0!</v>
      </c>
      <c r="U15" s="196" t="e">
        <f t="shared" si="23"/>
        <v>#DIV/0!</v>
      </c>
      <c r="V15" s="196" t="e">
        <f t="shared" si="23"/>
        <v>#DIV/0!</v>
      </c>
      <c r="W15" s="196" t="e">
        <f t="shared" si="23"/>
        <v>#DIV/0!</v>
      </c>
      <c r="X15" s="196" t="e">
        <f t="shared" si="23"/>
        <v>#DIV/0!</v>
      </c>
      <c r="Y15" s="196" t="e">
        <f t="shared" si="23"/>
        <v>#DIV/0!</v>
      </c>
      <c r="Z15" s="196" t="e">
        <f t="shared" si="23"/>
        <v>#DIV/0!</v>
      </c>
      <c r="AA15" s="196" t="e">
        <f t="shared" si="23"/>
        <v>#DIV/0!</v>
      </c>
      <c r="AB15" s="196" t="e">
        <f t="shared" si="23"/>
        <v>#DIV/0!</v>
      </c>
      <c r="AC15" s="196" t="e">
        <f t="shared" si="23"/>
        <v>#DIV/0!</v>
      </c>
      <c r="AD15" s="196" t="e">
        <f t="shared" si="23"/>
        <v>#DIV/0!</v>
      </c>
      <c r="AE15" s="196" t="e">
        <f t="shared" si="23"/>
        <v>#DIV/0!</v>
      </c>
      <c r="AF15" s="196" t="e">
        <f t="shared" si="23"/>
        <v>#DIV/0!</v>
      </c>
    </row>
    <row r="16" spans="1:32" x14ac:dyDescent="0.3">
      <c r="A16" s="189" t="s">
        <v>112</v>
      </c>
      <c r="B16" s="190"/>
      <c r="C16" s="196">
        <f>C49/C44</f>
        <v>0.51083325462846418</v>
      </c>
      <c r="D16" s="196">
        <f t="shared" ref="D16:I16" si="24">D49/D44</f>
        <v>0.33873365977854791</v>
      </c>
      <c r="E16" s="197">
        <f t="shared" si="24"/>
        <v>0.47547794281982864</v>
      </c>
      <c r="F16" s="196">
        <f t="shared" si="24"/>
        <v>0.44416166279558456</v>
      </c>
      <c r="G16" s="196">
        <f t="shared" ref="G16:J16" si="25">G49/G44</f>
        <v>0.39214951096963546</v>
      </c>
      <c r="H16" s="196">
        <f t="shared" si="24"/>
        <v>0.71152696163420326</v>
      </c>
      <c r="I16" s="196">
        <f t="shared" si="24"/>
        <v>0.27856009214716604</v>
      </c>
      <c r="J16" s="196">
        <f t="shared" si="25"/>
        <v>0.34039637615460655</v>
      </c>
      <c r="K16" s="196">
        <f t="shared" ref="K16:AF16" si="26">K49/K44</f>
        <v>0.33147887755377464</v>
      </c>
      <c r="L16" s="196">
        <f t="shared" si="26"/>
        <v>0</v>
      </c>
      <c r="M16" s="196">
        <f t="shared" si="26"/>
        <v>0</v>
      </c>
      <c r="N16" s="196">
        <f t="shared" si="26"/>
        <v>0</v>
      </c>
      <c r="O16" s="196" t="e">
        <f t="shared" si="26"/>
        <v>#DIV/0!</v>
      </c>
      <c r="P16" s="196" t="e">
        <f t="shared" si="26"/>
        <v>#DIV/0!</v>
      </c>
      <c r="Q16" s="196" t="e">
        <f t="shared" si="26"/>
        <v>#DIV/0!</v>
      </c>
      <c r="R16" s="196" t="e">
        <f t="shared" si="26"/>
        <v>#DIV/0!</v>
      </c>
      <c r="S16" s="196" t="e">
        <f t="shared" si="26"/>
        <v>#DIV/0!</v>
      </c>
      <c r="T16" s="196" t="e">
        <f t="shared" si="26"/>
        <v>#DIV/0!</v>
      </c>
      <c r="U16" s="196" t="e">
        <f t="shared" si="26"/>
        <v>#DIV/0!</v>
      </c>
      <c r="V16" s="196" t="e">
        <f t="shared" si="26"/>
        <v>#DIV/0!</v>
      </c>
      <c r="W16" s="196" t="e">
        <f t="shared" si="26"/>
        <v>#DIV/0!</v>
      </c>
      <c r="X16" s="196" t="e">
        <f t="shared" si="26"/>
        <v>#DIV/0!</v>
      </c>
      <c r="Y16" s="196" t="e">
        <f t="shared" si="26"/>
        <v>#DIV/0!</v>
      </c>
      <c r="Z16" s="196" t="e">
        <f t="shared" si="26"/>
        <v>#DIV/0!</v>
      </c>
      <c r="AA16" s="196" t="e">
        <f t="shared" si="26"/>
        <v>#DIV/0!</v>
      </c>
      <c r="AB16" s="196" t="e">
        <f t="shared" si="26"/>
        <v>#DIV/0!</v>
      </c>
      <c r="AC16" s="196" t="e">
        <f t="shared" si="26"/>
        <v>#DIV/0!</v>
      </c>
      <c r="AD16" s="196" t="e">
        <f t="shared" si="26"/>
        <v>#DIV/0!</v>
      </c>
      <c r="AE16" s="196" t="e">
        <f t="shared" si="26"/>
        <v>#DIV/0!</v>
      </c>
      <c r="AF16" s="196" t="e">
        <f t="shared" si="26"/>
        <v>#DIV/0!</v>
      </c>
    </row>
    <row r="17" spans="1:32" x14ac:dyDescent="0.3">
      <c r="A17" s="189" t="s">
        <v>113</v>
      </c>
      <c r="B17" s="190"/>
      <c r="C17" s="201">
        <f>C50/C30</f>
        <v>5.2889958716303989E-2</v>
      </c>
      <c r="D17" s="201">
        <f t="shared" ref="D17:I17" si="27">D50/D30</f>
        <v>3.4891276297120896E-2</v>
      </c>
      <c r="E17" s="202">
        <f t="shared" si="27"/>
        <v>1.9406102329156523E-2</v>
      </c>
      <c r="F17" s="201">
        <f t="shared" si="27"/>
        <v>2.5365236163175011E-2</v>
      </c>
      <c r="G17" s="201">
        <f t="shared" ref="G17:J17" si="28">G50/G30</f>
        <v>4.7475304812420439E-2</v>
      </c>
      <c r="H17" s="201">
        <f t="shared" si="27"/>
        <v>3.7337841084701312E-2</v>
      </c>
      <c r="I17" s="201">
        <f t="shared" si="27"/>
        <v>1.3817363324771906E-2</v>
      </c>
      <c r="J17" s="201">
        <f t="shared" si="28"/>
        <v>1.818320270830788E-2</v>
      </c>
      <c r="K17" s="201">
        <f t="shared" ref="K17:AF17" si="29">K50/K30</f>
        <v>1.3553656372176906E-2</v>
      </c>
      <c r="L17" s="201">
        <f t="shared" si="29"/>
        <v>1.9739839900365331E-3</v>
      </c>
      <c r="M17" s="201">
        <f t="shared" si="29"/>
        <v>1.1101716661119355E-2</v>
      </c>
      <c r="N17" s="201">
        <f t="shared" si="29"/>
        <v>2.2942207924730281E-2</v>
      </c>
      <c r="O17" s="201">
        <f t="shared" si="29"/>
        <v>0</v>
      </c>
      <c r="P17" s="201">
        <f t="shared" si="29"/>
        <v>0</v>
      </c>
      <c r="Q17" s="201">
        <f t="shared" si="29"/>
        <v>0</v>
      </c>
      <c r="R17" s="201">
        <f t="shared" si="29"/>
        <v>0</v>
      </c>
      <c r="S17" s="201">
        <f t="shared" si="29"/>
        <v>0</v>
      </c>
      <c r="T17" s="201">
        <f t="shared" si="29"/>
        <v>0</v>
      </c>
      <c r="U17" s="201">
        <f t="shared" si="29"/>
        <v>0</v>
      </c>
      <c r="V17" s="201">
        <f t="shared" si="29"/>
        <v>0</v>
      </c>
      <c r="W17" s="201">
        <f t="shared" si="29"/>
        <v>0</v>
      </c>
      <c r="X17" s="201">
        <f t="shared" si="29"/>
        <v>0</v>
      </c>
      <c r="Y17" s="201">
        <f t="shared" si="29"/>
        <v>0</v>
      </c>
      <c r="Z17" s="201">
        <f t="shared" si="29"/>
        <v>0</v>
      </c>
      <c r="AA17" s="201">
        <f t="shared" si="29"/>
        <v>0</v>
      </c>
      <c r="AB17" s="201" t="e">
        <f t="shared" si="29"/>
        <v>#DIV/0!</v>
      </c>
      <c r="AC17" s="201" t="e">
        <f t="shared" si="29"/>
        <v>#DIV/0!</v>
      </c>
      <c r="AD17" s="201" t="e">
        <f t="shared" si="29"/>
        <v>#DIV/0!</v>
      </c>
      <c r="AE17" s="201" t="e">
        <f t="shared" si="29"/>
        <v>#DIV/0!</v>
      </c>
      <c r="AF17" s="201" t="e">
        <f t="shared" si="29"/>
        <v>#DIV/0!</v>
      </c>
    </row>
    <row r="18" spans="1:32" x14ac:dyDescent="0.3">
      <c r="A18" s="200" t="s">
        <v>114</v>
      </c>
      <c r="B18" s="203"/>
      <c r="C18" s="201">
        <f>C47/C44</f>
        <v>0.43146025063702914</v>
      </c>
      <c r="D18" s="201">
        <f t="shared" ref="D18:I18" si="30">D47/D44</f>
        <v>0.27869397350269876</v>
      </c>
      <c r="E18" s="202">
        <f t="shared" si="30"/>
        <v>0.34886248280856957</v>
      </c>
      <c r="F18" s="201">
        <f t="shared" si="30"/>
        <v>0.37128943205823267</v>
      </c>
      <c r="G18" s="201">
        <f t="shared" ref="G18:J18" si="31">G47/G44</f>
        <v>0.31015203675663267</v>
      </c>
      <c r="H18" s="201">
        <f t="shared" si="30"/>
        <v>0.32598797824484188</v>
      </c>
      <c r="I18" s="201">
        <f t="shared" si="30"/>
        <v>0.26458193350761594</v>
      </c>
      <c r="J18" s="201">
        <f t="shared" si="31"/>
        <v>0.33041547280736916</v>
      </c>
      <c r="K18" s="201">
        <f t="shared" ref="K18:AF18" si="32">K47/K44</f>
        <v>0.31760609211706631</v>
      </c>
      <c r="L18" s="201">
        <f t="shared" si="32"/>
        <v>0.31979633030071253</v>
      </c>
      <c r="M18" s="201">
        <f t="shared" si="32"/>
        <v>0.3349824447663507</v>
      </c>
      <c r="N18" s="201">
        <f t="shared" si="32"/>
        <v>0.32919793036826084</v>
      </c>
      <c r="O18" s="201" t="e">
        <f t="shared" si="32"/>
        <v>#DIV/0!</v>
      </c>
      <c r="P18" s="201" t="e">
        <f t="shared" si="32"/>
        <v>#DIV/0!</v>
      </c>
      <c r="Q18" s="201" t="e">
        <f t="shared" si="32"/>
        <v>#DIV/0!</v>
      </c>
      <c r="R18" s="201" t="e">
        <f t="shared" si="32"/>
        <v>#DIV/0!</v>
      </c>
      <c r="S18" s="201" t="e">
        <f t="shared" si="32"/>
        <v>#DIV/0!</v>
      </c>
      <c r="T18" s="201" t="e">
        <f t="shared" si="32"/>
        <v>#DIV/0!</v>
      </c>
      <c r="U18" s="201" t="e">
        <f t="shared" si="32"/>
        <v>#DIV/0!</v>
      </c>
      <c r="V18" s="201" t="e">
        <f t="shared" si="32"/>
        <v>#DIV/0!</v>
      </c>
      <c r="W18" s="201" t="e">
        <f t="shared" si="32"/>
        <v>#DIV/0!</v>
      </c>
      <c r="X18" s="201" t="e">
        <f t="shared" si="32"/>
        <v>#DIV/0!</v>
      </c>
      <c r="Y18" s="201" t="e">
        <f t="shared" si="32"/>
        <v>#DIV/0!</v>
      </c>
      <c r="Z18" s="201" t="e">
        <f t="shared" si="32"/>
        <v>#DIV/0!</v>
      </c>
      <c r="AA18" s="201" t="e">
        <f t="shared" si="32"/>
        <v>#DIV/0!</v>
      </c>
      <c r="AB18" s="201" t="e">
        <f t="shared" si="32"/>
        <v>#DIV/0!</v>
      </c>
      <c r="AC18" s="201" t="e">
        <f t="shared" si="32"/>
        <v>#DIV/0!</v>
      </c>
      <c r="AD18" s="201" t="e">
        <f t="shared" si="32"/>
        <v>#DIV/0!</v>
      </c>
      <c r="AE18" s="201" t="e">
        <f t="shared" si="32"/>
        <v>#DIV/0!</v>
      </c>
      <c r="AF18" s="201" t="e">
        <f t="shared" si="32"/>
        <v>#DIV/0!</v>
      </c>
    </row>
    <row r="19" spans="1:32" x14ac:dyDescent="0.3">
      <c r="A19" s="245" t="s">
        <v>115</v>
      </c>
      <c r="B19" s="246"/>
      <c r="C19" s="246"/>
      <c r="D19" s="246"/>
      <c r="E19" s="246"/>
      <c r="F19" s="247"/>
      <c r="G19" s="247"/>
      <c r="H19" s="248"/>
    </row>
    <row r="20" spans="1:32" x14ac:dyDescent="0.3">
      <c r="A20" s="189" t="s">
        <v>116</v>
      </c>
      <c r="B20" s="204" t="s">
        <v>117</v>
      </c>
      <c r="C20" s="194">
        <f>C40/C41</f>
        <v>0.3187691014910809</v>
      </c>
      <c r="D20" s="194">
        <f t="shared" ref="D20:I20" si="33">D40/D41</f>
        <v>-7.8055284389066698E-2</v>
      </c>
      <c r="E20" s="195">
        <f t="shared" si="33"/>
        <v>0.54029202044907976</v>
      </c>
      <c r="F20" s="194">
        <f t="shared" si="33"/>
        <v>0.6220977138008208</v>
      </c>
      <c r="G20" s="194">
        <f t="shared" ref="G20:J20" si="34">G40/G41</f>
        <v>0.78729284533491706</v>
      </c>
      <c r="H20" s="194">
        <f t="shared" si="33"/>
        <v>0.70153748206915711</v>
      </c>
      <c r="I20" s="194">
        <f t="shared" si="33"/>
        <v>0.68718180895276781</v>
      </c>
      <c r="J20" s="194">
        <f t="shared" si="34"/>
        <v>0.44392565641900011</v>
      </c>
      <c r="K20" s="194">
        <f t="shared" ref="K20:AF20" si="35">K40/K41</f>
        <v>0.43628409554281561</v>
      </c>
      <c r="L20" s="194">
        <f t="shared" si="35"/>
        <v>0.29905945955001384</v>
      </c>
      <c r="M20" s="194">
        <f t="shared" si="35"/>
        <v>0.20156609020113819</v>
      </c>
      <c r="N20" s="194">
        <f t="shared" si="35"/>
        <v>0.41905387074699996</v>
      </c>
      <c r="O20" s="194" t="e">
        <f t="shared" si="35"/>
        <v>#DIV/0!</v>
      </c>
      <c r="P20" s="194" t="e">
        <f t="shared" si="35"/>
        <v>#DIV/0!</v>
      </c>
      <c r="Q20" s="194" t="e">
        <f t="shared" si="35"/>
        <v>#DIV/0!</v>
      </c>
      <c r="R20" s="194" t="e">
        <f t="shared" si="35"/>
        <v>#DIV/0!</v>
      </c>
      <c r="S20" s="194" t="e">
        <f t="shared" si="35"/>
        <v>#DIV/0!</v>
      </c>
      <c r="T20" s="194" t="e">
        <f t="shared" si="35"/>
        <v>#DIV/0!</v>
      </c>
      <c r="U20" s="194" t="e">
        <f t="shared" si="35"/>
        <v>#DIV/0!</v>
      </c>
      <c r="V20" s="194" t="e">
        <f t="shared" si="35"/>
        <v>#DIV/0!</v>
      </c>
      <c r="W20" s="194" t="e">
        <f t="shared" si="35"/>
        <v>#DIV/0!</v>
      </c>
      <c r="X20" s="194" t="e">
        <f t="shared" si="35"/>
        <v>#DIV/0!</v>
      </c>
      <c r="Y20" s="194" t="e">
        <f t="shared" si="35"/>
        <v>#DIV/0!</v>
      </c>
      <c r="Z20" s="194" t="e">
        <f t="shared" si="35"/>
        <v>#DIV/0!</v>
      </c>
      <c r="AA20" s="194" t="e">
        <f t="shared" si="35"/>
        <v>#DIV/0!</v>
      </c>
      <c r="AB20" s="194" t="e">
        <f t="shared" si="35"/>
        <v>#DIV/0!</v>
      </c>
      <c r="AC20" s="194" t="e">
        <f t="shared" si="35"/>
        <v>#DIV/0!</v>
      </c>
      <c r="AD20" s="194" t="e">
        <f t="shared" si="35"/>
        <v>#DIV/0!</v>
      </c>
      <c r="AE20" s="194" t="e">
        <f t="shared" si="35"/>
        <v>#DIV/0!</v>
      </c>
      <c r="AF20" s="194" t="e">
        <f t="shared" si="35"/>
        <v>#DIV/0!</v>
      </c>
    </row>
    <row r="21" spans="1:32" x14ac:dyDescent="0.3">
      <c r="A21" s="189" t="s">
        <v>118</v>
      </c>
      <c r="B21" s="190" t="s">
        <v>119</v>
      </c>
      <c r="C21" s="194">
        <f>C42/C29</f>
        <v>0</v>
      </c>
      <c r="D21" s="194">
        <f t="shared" ref="D21:I21" si="36">D42/D29</f>
        <v>0</v>
      </c>
      <c r="E21" s="195">
        <f t="shared" si="36"/>
        <v>0</v>
      </c>
      <c r="F21" s="194">
        <f t="shared" si="36"/>
        <v>0</v>
      </c>
      <c r="G21" s="194">
        <f t="shared" ref="G21:J21" si="37">G42/G29</f>
        <v>0</v>
      </c>
      <c r="H21" s="194">
        <f t="shared" si="36"/>
        <v>3.5549100410986897E-2</v>
      </c>
      <c r="I21" s="194">
        <f t="shared" si="36"/>
        <v>0</v>
      </c>
      <c r="J21" s="194">
        <f t="shared" si="37"/>
        <v>0</v>
      </c>
      <c r="K21" s="194">
        <f t="shared" ref="K21:AF21" si="38">K42/K29</f>
        <v>0</v>
      </c>
      <c r="L21" s="194">
        <f t="shared" si="38"/>
        <v>0</v>
      </c>
      <c r="M21" s="194">
        <f t="shared" si="38"/>
        <v>0</v>
      </c>
      <c r="N21" s="194">
        <f t="shared" si="38"/>
        <v>0</v>
      </c>
      <c r="O21" s="194" t="e">
        <f t="shared" si="38"/>
        <v>#DIV/0!</v>
      </c>
      <c r="P21" s="194" t="e">
        <f t="shared" si="38"/>
        <v>#DIV/0!</v>
      </c>
      <c r="Q21" s="194" t="e">
        <f t="shared" si="38"/>
        <v>#DIV/0!</v>
      </c>
      <c r="R21" s="194" t="e">
        <f t="shared" si="38"/>
        <v>#DIV/0!</v>
      </c>
      <c r="S21" s="194" t="e">
        <f t="shared" si="38"/>
        <v>#DIV/0!</v>
      </c>
      <c r="T21" s="194" t="e">
        <f t="shared" si="38"/>
        <v>#DIV/0!</v>
      </c>
      <c r="U21" s="194" t="e">
        <f t="shared" si="38"/>
        <v>#DIV/0!</v>
      </c>
      <c r="V21" s="194" t="e">
        <f t="shared" si="38"/>
        <v>#DIV/0!</v>
      </c>
      <c r="W21" s="194" t="e">
        <f t="shared" si="38"/>
        <v>#DIV/0!</v>
      </c>
      <c r="X21" s="194" t="e">
        <f t="shared" si="38"/>
        <v>#DIV/0!</v>
      </c>
      <c r="Y21" s="194" t="e">
        <f t="shared" si="38"/>
        <v>#DIV/0!</v>
      </c>
      <c r="Z21" s="194" t="e">
        <f t="shared" si="38"/>
        <v>#DIV/0!</v>
      </c>
      <c r="AA21" s="194" t="e">
        <f t="shared" si="38"/>
        <v>#DIV/0!</v>
      </c>
      <c r="AB21" s="194" t="e">
        <f t="shared" si="38"/>
        <v>#DIV/0!</v>
      </c>
      <c r="AC21" s="194" t="e">
        <f t="shared" si="38"/>
        <v>#DIV/0!</v>
      </c>
      <c r="AD21" s="194" t="e">
        <f t="shared" si="38"/>
        <v>#DIV/0!</v>
      </c>
      <c r="AE21" s="194" t="e">
        <f t="shared" si="38"/>
        <v>#DIV/0!</v>
      </c>
      <c r="AF21" s="194" t="e">
        <f t="shared" si="38"/>
        <v>#DIV/0!</v>
      </c>
    </row>
    <row r="22" spans="1:32" x14ac:dyDescent="0.3">
      <c r="A22" s="189" t="s">
        <v>120</v>
      </c>
      <c r="B22" s="190"/>
      <c r="C22" s="194">
        <f>C40/C29</f>
        <v>9.893209857156493E-2</v>
      </c>
      <c r="D22" s="194">
        <f t="shared" ref="D22:I22" si="39">D40/D29</f>
        <v>-1.3607718439861197E-2</v>
      </c>
      <c r="E22" s="195">
        <f t="shared" si="39"/>
        <v>0.12583583137691243</v>
      </c>
      <c r="F22" s="194">
        <f t="shared" si="39"/>
        <v>0.14490372137504426</v>
      </c>
      <c r="G22" s="194">
        <f t="shared" ref="G22:J22" si="40">G40/G29</f>
        <v>0.19423013789747817</v>
      </c>
      <c r="H22" s="194">
        <f t="shared" si="39"/>
        <v>0.13749250676052857</v>
      </c>
      <c r="I22" s="194">
        <f t="shared" si="39"/>
        <v>0.15673677677913439</v>
      </c>
      <c r="J22" s="194">
        <f t="shared" si="40"/>
        <v>9.7590147189979298E-2</v>
      </c>
      <c r="K22" s="194">
        <f t="shared" ref="K22:AF22" si="41">K40/K29</f>
        <v>9.8459232176534198E-2</v>
      </c>
      <c r="L22" s="194">
        <f t="shared" si="41"/>
        <v>6.5164183132452355E-2</v>
      </c>
      <c r="M22" s="194">
        <f t="shared" si="41"/>
        <v>4.3562665042947736E-2</v>
      </c>
      <c r="N22" s="194">
        <f t="shared" si="41"/>
        <v>9.1795734900554107E-2</v>
      </c>
      <c r="O22" s="194" t="e">
        <f t="shared" si="41"/>
        <v>#DIV/0!</v>
      </c>
      <c r="P22" s="194" t="e">
        <f t="shared" si="41"/>
        <v>#DIV/0!</v>
      </c>
      <c r="Q22" s="194" t="e">
        <f t="shared" si="41"/>
        <v>#DIV/0!</v>
      </c>
      <c r="R22" s="194" t="e">
        <f t="shared" si="41"/>
        <v>#DIV/0!</v>
      </c>
      <c r="S22" s="194" t="e">
        <f t="shared" si="41"/>
        <v>#DIV/0!</v>
      </c>
      <c r="T22" s="194" t="e">
        <f t="shared" si="41"/>
        <v>#DIV/0!</v>
      </c>
      <c r="U22" s="194" t="e">
        <f t="shared" si="41"/>
        <v>#DIV/0!</v>
      </c>
      <c r="V22" s="194" t="e">
        <f t="shared" si="41"/>
        <v>#DIV/0!</v>
      </c>
      <c r="W22" s="194" t="e">
        <f t="shared" si="41"/>
        <v>#DIV/0!</v>
      </c>
      <c r="X22" s="194" t="e">
        <f t="shared" si="41"/>
        <v>#DIV/0!</v>
      </c>
      <c r="Y22" s="194" t="e">
        <f t="shared" si="41"/>
        <v>#DIV/0!</v>
      </c>
      <c r="Z22" s="194" t="e">
        <f t="shared" si="41"/>
        <v>#DIV/0!</v>
      </c>
      <c r="AA22" s="194" t="e">
        <f t="shared" si="41"/>
        <v>#DIV/0!</v>
      </c>
      <c r="AB22" s="194" t="e">
        <f t="shared" si="41"/>
        <v>#DIV/0!</v>
      </c>
      <c r="AC22" s="194" t="e">
        <f t="shared" si="41"/>
        <v>#DIV/0!</v>
      </c>
      <c r="AD22" s="194" t="e">
        <f t="shared" si="41"/>
        <v>#DIV/0!</v>
      </c>
      <c r="AE22" s="194" t="e">
        <f t="shared" si="41"/>
        <v>#DIV/0!</v>
      </c>
      <c r="AF22" s="194" t="e">
        <f t="shared" si="41"/>
        <v>#DIV/0!</v>
      </c>
    </row>
    <row r="23" spans="1:32" x14ac:dyDescent="0.3">
      <c r="A23" s="245" t="s">
        <v>121</v>
      </c>
      <c r="B23" s="246"/>
      <c r="C23" s="246"/>
      <c r="D23" s="246"/>
      <c r="E23" s="246"/>
      <c r="F23" s="247"/>
      <c r="G23" s="247"/>
      <c r="H23" s="248"/>
    </row>
    <row r="24" spans="1:32" x14ac:dyDescent="0.3">
      <c r="A24" s="205" t="s">
        <v>122</v>
      </c>
      <c r="B24" s="203" t="s">
        <v>123</v>
      </c>
      <c r="C24" s="201">
        <f>C32/C29</f>
        <v>0.85969175374294371</v>
      </c>
      <c r="D24" s="201">
        <f t="shared" ref="D24:I24" si="42">D32/D29</f>
        <v>1.1567579470370493</v>
      </c>
      <c r="E24" s="202">
        <f t="shared" si="42"/>
        <v>1.0300901232174835</v>
      </c>
      <c r="F24" s="201">
        <f t="shared" si="42"/>
        <v>1.0308775921482789</v>
      </c>
      <c r="G24" s="201">
        <f t="shared" ref="G24:J24" si="43">G32/G29</f>
        <v>1.0087586955158827</v>
      </c>
      <c r="H24" s="201">
        <f t="shared" si="42"/>
        <v>0.74848521055524098</v>
      </c>
      <c r="I24" s="201">
        <f t="shared" si="42"/>
        <v>1.0034171724718264</v>
      </c>
      <c r="J24" s="201">
        <f t="shared" si="43"/>
        <v>1.0657731323747681</v>
      </c>
      <c r="K24" s="201">
        <f t="shared" ref="K24:AF24" si="44">K32/K29</f>
        <v>1.093654698763785</v>
      </c>
      <c r="L24" s="201">
        <f t="shared" si="44"/>
        <v>1.138062789067585</v>
      </c>
      <c r="M24" s="201">
        <f t="shared" si="44"/>
        <v>1.1558238833599224</v>
      </c>
      <c r="N24" s="201">
        <f t="shared" si="44"/>
        <v>1.1285624829493548</v>
      </c>
      <c r="O24" s="201" t="e">
        <f t="shared" si="44"/>
        <v>#DIV/0!</v>
      </c>
      <c r="P24" s="201" t="e">
        <f t="shared" si="44"/>
        <v>#DIV/0!</v>
      </c>
      <c r="Q24" s="201" t="e">
        <f t="shared" si="44"/>
        <v>#DIV/0!</v>
      </c>
      <c r="R24" s="201" t="e">
        <f t="shared" si="44"/>
        <v>#DIV/0!</v>
      </c>
      <c r="S24" s="201" t="e">
        <f t="shared" si="44"/>
        <v>#DIV/0!</v>
      </c>
      <c r="T24" s="201" t="e">
        <f t="shared" si="44"/>
        <v>#DIV/0!</v>
      </c>
      <c r="U24" s="201" t="e">
        <f t="shared" si="44"/>
        <v>#DIV/0!</v>
      </c>
      <c r="V24" s="201" t="e">
        <f t="shared" si="44"/>
        <v>#DIV/0!</v>
      </c>
      <c r="W24" s="201" t="e">
        <f t="shared" si="44"/>
        <v>#DIV/0!</v>
      </c>
      <c r="X24" s="201" t="e">
        <f t="shared" si="44"/>
        <v>#DIV/0!</v>
      </c>
      <c r="Y24" s="201" t="e">
        <f t="shared" si="44"/>
        <v>#DIV/0!</v>
      </c>
      <c r="Z24" s="201" t="e">
        <f t="shared" si="44"/>
        <v>#DIV/0!</v>
      </c>
      <c r="AA24" s="201" t="e">
        <f t="shared" si="44"/>
        <v>#DIV/0!</v>
      </c>
      <c r="AB24" s="201" t="e">
        <f t="shared" si="44"/>
        <v>#DIV/0!</v>
      </c>
      <c r="AC24" s="201" t="e">
        <f t="shared" si="44"/>
        <v>#DIV/0!</v>
      </c>
      <c r="AD24" s="201" t="e">
        <f t="shared" si="44"/>
        <v>#DIV/0!</v>
      </c>
      <c r="AE24" s="201" t="e">
        <f t="shared" si="44"/>
        <v>#DIV/0!</v>
      </c>
      <c r="AF24" s="201" t="e">
        <f t="shared" si="44"/>
        <v>#DIV/0!</v>
      </c>
    </row>
    <row r="25" spans="1:32" x14ac:dyDescent="0.3">
      <c r="A25" s="205" t="s">
        <v>124</v>
      </c>
      <c r="B25" s="206" t="s">
        <v>125</v>
      </c>
      <c r="C25" s="201">
        <f>C32/C31</f>
        <v>1.5931245806178957</v>
      </c>
      <c r="D25" s="201">
        <f t="shared" ref="D25:I25" si="45">D32/D31</f>
        <v>2.6333457441723924</v>
      </c>
      <c r="E25" s="202">
        <f t="shared" si="45"/>
        <v>2.1955540884557943</v>
      </c>
      <c r="F25" s="201">
        <f t="shared" si="45"/>
        <v>2.2187040162364542</v>
      </c>
      <c r="G25" s="201">
        <f t="shared" ref="G25:J25" si="46">G32/G31</f>
        <v>2.2204324213963154</v>
      </c>
      <c r="H25" s="201">
        <f t="shared" si="45"/>
        <v>1.1058115051077879</v>
      </c>
      <c r="I25" s="201">
        <f t="shared" si="45"/>
        <v>2.1487598314734799</v>
      </c>
      <c r="J25" s="201">
        <f t="shared" si="46"/>
        <v>2.296481280952527</v>
      </c>
      <c r="K25" s="201">
        <f t="shared" ref="K25:AF25" si="47">K32/K31</f>
        <v>2.3288686066167372</v>
      </c>
      <c r="L25" s="201">
        <f t="shared" si="47"/>
        <v>2.4141463721343954</v>
      </c>
      <c r="M25" s="201">
        <f t="shared" si="47"/>
        <v>2.5343773213891154</v>
      </c>
      <c r="N25" s="201">
        <f t="shared" si="47"/>
        <v>2.5052140462073886</v>
      </c>
      <c r="O25" s="201" t="e">
        <f t="shared" si="47"/>
        <v>#DIV/0!</v>
      </c>
      <c r="P25" s="201" t="e">
        <f t="shared" si="47"/>
        <v>#DIV/0!</v>
      </c>
      <c r="Q25" s="201" t="e">
        <f t="shared" si="47"/>
        <v>#DIV/0!</v>
      </c>
      <c r="R25" s="201" t="e">
        <f t="shared" si="47"/>
        <v>#DIV/0!</v>
      </c>
      <c r="S25" s="201" t="e">
        <f t="shared" si="47"/>
        <v>#DIV/0!</v>
      </c>
      <c r="T25" s="201" t="e">
        <f t="shared" si="47"/>
        <v>#DIV/0!</v>
      </c>
      <c r="U25" s="201" t="e">
        <f t="shared" si="47"/>
        <v>#DIV/0!</v>
      </c>
      <c r="V25" s="201" t="e">
        <f t="shared" si="47"/>
        <v>#DIV/0!</v>
      </c>
      <c r="W25" s="201" t="e">
        <f t="shared" si="47"/>
        <v>#DIV/0!</v>
      </c>
      <c r="X25" s="201" t="e">
        <f t="shared" si="47"/>
        <v>#DIV/0!</v>
      </c>
      <c r="Y25" s="201" t="e">
        <f t="shared" si="47"/>
        <v>#DIV/0!</v>
      </c>
      <c r="Z25" s="201" t="e">
        <f t="shared" si="47"/>
        <v>#DIV/0!</v>
      </c>
      <c r="AA25" s="201" t="e">
        <f t="shared" si="47"/>
        <v>#DIV/0!</v>
      </c>
      <c r="AB25" s="201" t="e">
        <f t="shared" si="47"/>
        <v>#DIV/0!</v>
      </c>
      <c r="AC25" s="201" t="e">
        <f t="shared" si="47"/>
        <v>#DIV/0!</v>
      </c>
      <c r="AD25" s="201" t="e">
        <f t="shared" si="47"/>
        <v>#DIV/0!</v>
      </c>
      <c r="AE25" s="201" t="e">
        <f t="shared" si="47"/>
        <v>#DIV/0!</v>
      </c>
      <c r="AF25" s="201" t="e">
        <f t="shared" si="47"/>
        <v>#DIV/0!</v>
      </c>
    </row>
    <row r="26" spans="1:32" x14ac:dyDescent="0.3">
      <c r="A26" s="205" t="s">
        <v>126</v>
      </c>
      <c r="B26" s="206"/>
      <c r="C26" s="201">
        <f>C39/C31</f>
        <v>0.29101626885361831</v>
      </c>
      <c r="D26" s="201">
        <f t="shared" ref="D26:I26" si="48">D39/D31</f>
        <v>6.0713706022349101E-2</v>
      </c>
      <c r="E26" s="202">
        <f t="shared" si="48"/>
        <v>5.479550849077508E-2</v>
      </c>
      <c r="F26" s="201">
        <f t="shared" si="48"/>
        <v>1.2895167943427932E-2</v>
      </c>
      <c r="G26" s="201">
        <f t="shared" ref="G26:J26" si="49">G39/G31</f>
        <v>1.1464929631144316E-2</v>
      </c>
      <c r="H26" s="201">
        <f t="shared" si="48"/>
        <v>6.35235464968706E-2</v>
      </c>
      <c r="I26" s="201">
        <f t="shared" si="48"/>
        <v>4.9955616202767984E-2</v>
      </c>
      <c r="J26" s="201">
        <f t="shared" si="49"/>
        <v>4.9965436649826438E-2</v>
      </c>
      <c r="K26" s="201">
        <f t="shared" ref="K26:AF26" si="50">K39/K31</f>
        <v>4.8850181331923419E-2</v>
      </c>
      <c r="L26" s="201">
        <f t="shared" si="50"/>
        <v>4.9587322660917282E-2</v>
      </c>
      <c r="M26" s="201">
        <f t="shared" si="50"/>
        <v>5.4247121621697487E-2</v>
      </c>
      <c r="N26" s="201">
        <f t="shared" si="50"/>
        <v>4.9780644161600017E-2</v>
      </c>
      <c r="O26" s="201" t="e">
        <f t="shared" si="50"/>
        <v>#DIV/0!</v>
      </c>
      <c r="P26" s="201" t="e">
        <f t="shared" si="50"/>
        <v>#DIV/0!</v>
      </c>
      <c r="Q26" s="201" t="e">
        <f t="shared" si="50"/>
        <v>#DIV/0!</v>
      </c>
      <c r="R26" s="201" t="e">
        <f t="shared" si="50"/>
        <v>#DIV/0!</v>
      </c>
      <c r="S26" s="201" t="e">
        <f t="shared" si="50"/>
        <v>#DIV/0!</v>
      </c>
      <c r="T26" s="201" t="e">
        <f t="shared" si="50"/>
        <v>#DIV/0!</v>
      </c>
      <c r="U26" s="201" t="e">
        <f t="shared" si="50"/>
        <v>#DIV/0!</v>
      </c>
      <c r="V26" s="201" t="e">
        <f t="shared" si="50"/>
        <v>#DIV/0!</v>
      </c>
      <c r="W26" s="201" t="e">
        <f t="shared" si="50"/>
        <v>#DIV/0!</v>
      </c>
      <c r="X26" s="201" t="e">
        <f t="shared" si="50"/>
        <v>#DIV/0!</v>
      </c>
      <c r="Y26" s="201" t="e">
        <f t="shared" si="50"/>
        <v>#DIV/0!</v>
      </c>
      <c r="Z26" s="201" t="e">
        <f t="shared" si="50"/>
        <v>#DIV/0!</v>
      </c>
      <c r="AA26" s="201" t="e">
        <f t="shared" si="50"/>
        <v>#DIV/0!</v>
      </c>
      <c r="AB26" s="201" t="e">
        <f t="shared" si="50"/>
        <v>#DIV/0!</v>
      </c>
      <c r="AC26" s="201" t="e">
        <f t="shared" si="50"/>
        <v>#DIV/0!</v>
      </c>
      <c r="AD26" s="201" t="e">
        <f t="shared" si="50"/>
        <v>#DIV/0!</v>
      </c>
      <c r="AE26" s="201" t="e">
        <f t="shared" si="50"/>
        <v>#DIV/0!</v>
      </c>
      <c r="AF26" s="201" t="e">
        <f t="shared" si="50"/>
        <v>#DIV/0!</v>
      </c>
    </row>
    <row r="27" spans="1:32" x14ac:dyDescent="0.3">
      <c r="A27" s="205" t="s">
        <v>127</v>
      </c>
      <c r="B27" s="207"/>
      <c r="C27" s="201">
        <f>C46/C44</f>
        <v>4.4621153856642969E-2</v>
      </c>
      <c r="D27" s="201">
        <f t="shared" ref="D27:I27" si="51">D46/D44</f>
        <v>0</v>
      </c>
      <c r="E27" s="202">
        <f t="shared" si="51"/>
        <v>6.4052889034863544E-2</v>
      </c>
      <c r="F27" s="201">
        <f t="shared" si="51"/>
        <v>4.9898476989918499E-2</v>
      </c>
      <c r="G27" s="201">
        <f t="shared" ref="G27:J27" si="52">G46/G44</f>
        <v>4.7948591250376565E-2</v>
      </c>
      <c r="H27" s="201">
        <f t="shared" si="51"/>
        <v>0.32213106981929307</v>
      </c>
      <c r="I27" s="201">
        <f t="shared" si="51"/>
        <v>0</v>
      </c>
      <c r="J27" s="201">
        <f t="shared" si="52"/>
        <v>0</v>
      </c>
      <c r="K27" s="201">
        <f t="shared" ref="K27:AF27" si="53">K46/K44</f>
        <v>0</v>
      </c>
      <c r="L27" s="201">
        <f t="shared" si="53"/>
        <v>0</v>
      </c>
      <c r="M27" s="201">
        <f t="shared" si="53"/>
        <v>0</v>
      </c>
      <c r="N27" s="201">
        <f t="shared" si="53"/>
        <v>0</v>
      </c>
      <c r="O27" s="201" t="e">
        <f t="shared" si="53"/>
        <v>#DIV/0!</v>
      </c>
      <c r="P27" s="201" t="e">
        <f t="shared" si="53"/>
        <v>#DIV/0!</v>
      </c>
      <c r="Q27" s="201" t="e">
        <f t="shared" si="53"/>
        <v>#DIV/0!</v>
      </c>
      <c r="R27" s="201" t="e">
        <f t="shared" si="53"/>
        <v>#DIV/0!</v>
      </c>
      <c r="S27" s="201" t="e">
        <f t="shared" si="53"/>
        <v>#DIV/0!</v>
      </c>
      <c r="T27" s="201" t="e">
        <f t="shared" si="53"/>
        <v>#DIV/0!</v>
      </c>
      <c r="U27" s="201" t="e">
        <f t="shared" si="53"/>
        <v>#DIV/0!</v>
      </c>
      <c r="V27" s="201" t="e">
        <f t="shared" si="53"/>
        <v>#DIV/0!</v>
      </c>
      <c r="W27" s="201" t="e">
        <f t="shared" si="53"/>
        <v>#DIV/0!</v>
      </c>
      <c r="X27" s="201" t="e">
        <f t="shared" si="53"/>
        <v>#DIV/0!</v>
      </c>
      <c r="Y27" s="201" t="e">
        <f t="shared" si="53"/>
        <v>#DIV/0!</v>
      </c>
      <c r="Z27" s="201" t="e">
        <f t="shared" si="53"/>
        <v>#DIV/0!</v>
      </c>
      <c r="AA27" s="201" t="e">
        <f t="shared" si="53"/>
        <v>#DIV/0!</v>
      </c>
      <c r="AB27" s="201" t="e">
        <f t="shared" si="53"/>
        <v>#DIV/0!</v>
      </c>
      <c r="AC27" s="201" t="e">
        <f t="shared" si="53"/>
        <v>#DIV/0!</v>
      </c>
      <c r="AD27" s="201" t="e">
        <f t="shared" si="53"/>
        <v>#DIV/0!</v>
      </c>
      <c r="AE27" s="201" t="e">
        <f t="shared" si="53"/>
        <v>#DIV/0!</v>
      </c>
      <c r="AF27" s="201" t="e">
        <f t="shared" si="53"/>
        <v>#DIV/0!</v>
      </c>
    </row>
    <row r="28" spans="1:32" x14ac:dyDescent="0.3">
      <c r="A28" s="245" t="s">
        <v>128</v>
      </c>
      <c r="B28" s="246"/>
      <c r="C28" s="246">
        <v>2015</v>
      </c>
      <c r="D28" s="246">
        <v>2016</v>
      </c>
      <c r="E28" s="246">
        <v>2017</v>
      </c>
      <c r="F28" s="247"/>
      <c r="G28" s="247"/>
      <c r="H28" s="248" t="s">
        <v>129</v>
      </c>
    </row>
    <row r="29" spans="1:32" x14ac:dyDescent="0.3">
      <c r="A29" s="208" t="s">
        <v>27</v>
      </c>
      <c r="B29" s="209"/>
      <c r="C29" s="210">
        <v>773058894.77999997</v>
      </c>
      <c r="D29" s="210">
        <v>700925070</v>
      </c>
      <c r="E29" s="210">
        <v>769434802</v>
      </c>
      <c r="F29" s="210">
        <f>'Evolutive SFP'!P27</f>
        <v>768849005</v>
      </c>
      <c r="G29" s="210">
        <f>'Evolutive SFP'!AC27</f>
        <v>902893814</v>
      </c>
      <c r="H29" s="211">
        <v>693840248791.41101</v>
      </c>
      <c r="I29" s="210">
        <f>'Evolutive SFP'!AD27</f>
        <v>904245257</v>
      </c>
      <c r="J29" s="210">
        <f>'Evolutive SFP'!AE27</f>
        <v>909688422</v>
      </c>
      <c r="K29" s="210">
        <f>'Evolutive SFP'!AF27</f>
        <v>919523421</v>
      </c>
      <c r="L29" s="210">
        <f>'Evolutive SFP'!AG27</f>
        <v>902383045</v>
      </c>
      <c r="M29" s="210">
        <f>'Evolutive SFP'!AH27</f>
        <v>912354948</v>
      </c>
      <c r="N29" s="210">
        <f>'Evolutive SFP'!AI27</f>
        <v>940638888</v>
      </c>
      <c r="O29" s="210">
        <f>'Evolutive SFP'!AJ27</f>
        <v>0</v>
      </c>
      <c r="P29" s="210">
        <f>'Evolutive SFP'!AK27</f>
        <v>0</v>
      </c>
      <c r="Q29" s="210">
        <f>'Evolutive SFP'!AL27</f>
        <v>0</v>
      </c>
      <c r="R29" s="210">
        <f>'Evolutive SFP'!AM27</f>
        <v>0</v>
      </c>
      <c r="S29" s="210">
        <f>'Evolutive SFP'!AN27</f>
        <v>0</v>
      </c>
      <c r="T29" s="210">
        <f>'Evolutive SFP'!AO27</f>
        <v>0</v>
      </c>
      <c r="U29" s="210">
        <f>'Evolutive SFP'!AP27</f>
        <v>0</v>
      </c>
      <c r="V29" s="210">
        <f>'Evolutive SFP'!AQ27</f>
        <v>0</v>
      </c>
      <c r="W29" s="210">
        <f>'Evolutive SFP'!AR27</f>
        <v>0</v>
      </c>
      <c r="X29" s="210">
        <f>'Evolutive SFP'!AS27</f>
        <v>0</v>
      </c>
      <c r="Y29" s="210">
        <f>'Evolutive SFP'!AT27</f>
        <v>0</v>
      </c>
      <c r="Z29" s="210">
        <f>'Evolutive SFP'!AU27</f>
        <v>0</v>
      </c>
      <c r="AA29" s="210">
        <f>'Evolutive SFP'!AV27</f>
        <v>0</v>
      </c>
      <c r="AB29" s="210">
        <f>'Evolutive SFP'!AW27</f>
        <v>0</v>
      </c>
      <c r="AC29" s="210">
        <f>'Evolutive SFP'!AX27</f>
        <v>0</v>
      </c>
      <c r="AD29" s="210">
        <f>'Evolutive SFP'!AY27</f>
        <v>0</v>
      </c>
      <c r="AE29" s="210">
        <f>'Evolutive SFP'!AZ27</f>
        <v>0</v>
      </c>
      <c r="AF29" s="210">
        <f>'Evolutive SFP'!BA27</f>
        <v>0</v>
      </c>
    </row>
    <row r="30" spans="1:32" x14ac:dyDescent="0.3">
      <c r="A30" s="208" t="s">
        <v>130</v>
      </c>
      <c r="B30" s="209"/>
      <c r="C30" s="210">
        <v>705019048.88999999</v>
      </c>
      <c r="D30" s="210">
        <v>663608055</v>
      </c>
      <c r="E30" s="210">
        <v>771022421</v>
      </c>
      <c r="F30" s="210">
        <f>('Evolutive SFP'!C27+'Evolutive SFP'!P27)/2</f>
        <v>770953949.5</v>
      </c>
      <c r="G30" s="210">
        <f>('Evolutive SFP'!P27+'Evolutive SFP'!AC27)/2</f>
        <v>835871409.5</v>
      </c>
      <c r="H30" s="211">
        <v>655544657954.5</v>
      </c>
      <c r="I30" s="210">
        <f>('Evolutive SFP'!Q27+'Evolutive SFP'!AD27)/2</f>
        <v>841836733</v>
      </c>
      <c r="J30" s="210">
        <f>('Evolutive SFP'!R27+'Evolutive SFP'!AE27)/2</f>
        <v>846031286.5</v>
      </c>
      <c r="K30" s="210">
        <f>('Evolutive SFP'!S27+'Evolutive SFP'!AF27)/2</f>
        <v>848593264</v>
      </c>
      <c r="L30" s="210">
        <f>('Evolutive SFP'!T27+'Evolutive SFP'!AG27)/2</f>
        <v>857261856.5</v>
      </c>
      <c r="M30" s="210">
        <f>('Evolutive SFP'!U27+'Evolutive SFP'!AH27)/2</f>
        <v>864869270.5</v>
      </c>
      <c r="N30" s="210">
        <f>('Evolutive SFP'!V27+'Evolutive SFP'!AI27)/2</f>
        <v>876829777.5</v>
      </c>
      <c r="O30" s="210">
        <f>('Evolutive SFP'!W27+'Evolutive SFP'!AJ27)/2</f>
        <v>493697689</v>
      </c>
      <c r="P30" s="210">
        <f>('Evolutive SFP'!X27+'Evolutive SFP'!AK27)/2</f>
        <v>477325262.5</v>
      </c>
      <c r="Q30" s="210">
        <f>('Evolutive SFP'!Y27+'Evolutive SFP'!AL27)/2</f>
        <v>461404175.5</v>
      </c>
      <c r="R30" s="210">
        <f>('Evolutive SFP'!Z27+'Evolutive SFP'!AM27)/2</f>
        <v>454268559.5</v>
      </c>
      <c r="S30" s="210">
        <f>('Evolutive SFP'!AA27+'Evolutive SFP'!AN27)/2</f>
        <v>450990130</v>
      </c>
      <c r="T30" s="210">
        <f>('Evolutive SFP'!AB27+'Evolutive SFP'!AO27)/2</f>
        <v>447776610</v>
      </c>
      <c r="U30" s="210">
        <f>('Evolutive SFP'!AC27+'Evolutive SFP'!AP27)/2</f>
        <v>451446907</v>
      </c>
      <c r="V30" s="210">
        <f>('Evolutive SFP'!AD27+'Evolutive SFP'!AQ27)/2</f>
        <v>452122628.5</v>
      </c>
      <c r="W30" s="210">
        <f>('Evolutive SFP'!AE27+'Evolutive SFP'!AR27)/2</f>
        <v>454844211</v>
      </c>
      <c r="X30" s="210">
        <f>('Evolutive SFP'!AF27+'Evolutive SFP'!AS27)/2</f>
        <v>459761710.5</v>
      </c>
      <c r="Y30" s="210">
        <f>('Evolutive SFP'!AG27+'Evolutive SFP'!AT27)/2</f>
        <v>451191522.5</v>
      </c>
      <c r="Z30" s="210">
        <f>('Evolutive SFP'!AH27+'Evolutive SFP'!AU27)/2</f>
        <v>456177474</v>
      </c>
      <c r="AA30" s="210">
        <f>('Evolutive SFP'!AI27+'Evolutive SFP'!AV27)/2</f>
        <v>470319444</v>
      </c>
      <c r="AB30" s="210">
        <f>('Evolutive SFP'!AJ27+'Evolutive SFP'!AW27)/2</f>
        <v>0</v>
      </c>
      <c r="AC30" s="210">
        <f>('Evolutive SFP'!AK27+'Evolutive SFP'!AX27)/2</f>
        <v>0</v>
      </c>
      <c r="AD30" s="210">
        <f>('Evolutive SFP'!AL27+'Evolutive SFP'!AY27)/2</f>
        <v>0</v>
      </c>
      <c r="AE30" s="210">
        <f>('Evolutive SFP'!AM27+'Evolutive SFP'!AZ27)/2</f>
        <v>0</v>
      </c>
      <c r="AF30" s="210">
        <f>('Evolutive SFP'!AN27+'Evolutive SFP'!BA27)/2</f>
        <v>0</v>
      </c>
    </row>
    <row r="31" spans="1:32" x14ac:dyDescent="0.3">
      <c r="A31" s="208" t="s">
        <v>131</v>
      </c>
      <c r="B31" s="209"/>
      <c r="C31" s="211">
        <v>417162829</v>
      </c>
      <c r="D31" s="211">
        <v>307897528</v>
      </c>
      <c r="E31" s="211">
        <v>360996431</v>
      </c>
      <c r="F31" s="211">
        <f>'Evolutive SFP'!P31</f>
        <v>357230710</v>
      </c>
      <c r="G31" s="211">
        <f>'Evolutive SFP'!AC31</f>
        <v>410191266</v>
      </c>
      <c r="H31" s="211">
        <v>469636246602.19</v>
      </c>
      <c r="I31" s="211">
        <f>'Evolutive SFP'!AD31</f>
        <v>422259950</v>
      </c>
      <c r="J31" s="211">
        <f>'Evolutive SFP'!AE31</f>
        <v>422176957</v>
      </c>
      <c r="K31" s="211">
        <f>'Evolutive SFP'!AF31</f>
        <v>431815306</v>
      </c>
      <c r="L31" s="211">
        <f>'Evolutive SFP'!AG31</f>
        <v>425396147</v>
      </c>
      <c r="M31" s="211">
        <f>'Evolutive SFP'!AH31</f>
        <v>416087072</v>
      </c>
      <c r="N31" s="211">
        <f>'Evolutive SFP'!AI31</f>
        <v>423744135</v>
      </c>
      <c r="O31" s="211">
        <f>'Evolutive SFP'!AJ31</f>
        <v>0</v>
      </c>
      <c r="P31" s="211">
        <f>'Evolutive SFP'!AK31</f>
        <v>0</v>
      </c>
      <c r="Q31" s="211">
        <f>'Evolutive SFP'!AL31</f>
        <v>0</v>
      </c>
      <c r="R31" s="211">
        <f>'Evolutive SFP'!AM31</f>
        <v>0</v>
      </c>
      <c r="S31" s="211">
        <f>'Evolutive SFP'!AN31</f>
        <v>0</v>
      </c>
      <c r="T31" s="211">
        <f>'Evolutive SFP'!AO31</f>
        <v>0</v>
      </c>
      <c r="U31" s="211">
        <f>'Evolutive SFP'!AP31</f>
        <v>0</v>
      </c>
      <c r="V31" s="211">
        <f>'Evolutive SFP'!AQ31</f>
        <v>0</v>
      </c>
      <c r="W31" s="211">
        <f>'Evolutive SFP'!AR31</f>
        <v>0</v>
      </c>
      <c r="X31" s="211">
        <f>'Evolutive SFP'!AS31</f>
        <v>0</v>
      </c>
      <c r="Y31" s="211">
        <f>'Evolutive SFP'!AT31</f>
        <v>0</v>
      </c>
      <c r="Z31" s="211">
        <f>'Evolutive SFP'!AU31</f>
        <v>0</v>
      </c>
      <c r="AA31" s="211">
        <f>'Evolutive SFP'!AV31</f>
        <v>0</v>
      </c>
      <c r="AB31" s="211">
        <f>'Evolutive SFP'!AW31</f>
        <v>0</v>
      </c>
      <c r="AC31" s="211">
        <f>'Evolutive SFP'!AX31</f>
        <v>0</v>
      </c>
      <c r="AD31" s="211">
        <f>'Evolutive SFP'!AY31</f>
        <v>0</v>
      </c>
      <c r="AE31" s="211">
        <f>'Evolutive SFP'!AZ31</f>
        <v>0</v>
      </c>
      <c r="AF31" s="211">
        <f>'Evolutive SFP'!BA31</f>
        <v>0</v>
      </c>
    </row>
    <row r="32" spans="1:32" x14ac:dyDescent="0.3">
      <c r="A32" s="208" t="s">
        <v>132</v>
      </c>
      <c r="B32" s="209"/>
      <c r="C32" s="212">
        <v>664592357</v>
      </c>
      <c r="D32" s="212">
        <v>810800645</v>
      </c>
      <c r="E32" s="212">
        <v>792587190</v>
      </c>
      <c r="F32" s="212">
        <f>'Evolutive SFP'!P15</f>
        <v>792589211</v>
      </c>
      <c r="G32" s="212">
        <f>'Evolutive SFP'!AC15</f>
        <v>910801986</v>
      </c>
      <c r="H32" s="211">
        <v>519329164708.34003</v>
      </c>
      <c r="I32" s="212">
        <f>'Evolutive SFP'!AD15</f>
        <v>907335219</v>
      </c>
      <c r="J32" s="212">
        <f>'Evolutive SFP'!AE15</f>
        <v>969521479</v>
      </c>
      <c r="K32" s="212">
        <f>'Evolutive SFP'!AF15</f>
        <v>1005641110</v>
      </c>
      <c r="L32" s="212">
        <f>'Evolutive SFP'!AG15</f>
        <v>1026968565</v>
      </c>
      <c r="M32" s="212">
        <f>'Evolutive SFP'!AH15</f>
        <v>1054521639</v>
      </c>
      <c r="N32" s="212">
        <f>'Evolutive SFP'!AI15</f>
        <v>1061569759</v>
      </c>
      <c r="O32" s="212">
        <f>'Evolutive SFP'!AJ15</f>
        <v>0</v>
      </c>
      <c r="P32" s="212">
        <f>'Evolutive SFP'!AK15</f>
        <v>0</v>
      </c>
      <c r="Q32" s="212">
        <f>'Evolutive SFP'!AL15</f>
        <v>0</v>
      </c>
      <c r="R32" s="212">
        <f>'Evolutive SFP'!AM15</f>
        <v>0</v>
      </c>
      <c r="S32" s="212">
        <f>'Evolutive SFP'!AN15</f>
        <v>0</v>
      </c>
      <c r="T32" s="212">
        <f>'Evolutive SFP'!AO15</f>
        <v>0</v>
      </c>
      <c r="U32" s="212">
        <f>'Evolutive SFP'!AP15</f>
        <v>0</v>
      </c>
      <c r="V32" s="212">
        <f>'Evolutive SFP'!AQ15</f>
        <v>0</v>
      </c>
      <c r="W32" s="212">
        <f>'Evolutive SFP'!AR15</f>
        <v>0</v>
      </c>
      <c r="X32" s="212">
        <f>'Evolutive SFP'!AS15</f>
        <v>0</v>
      </c>
      <c r="Y32" s="212">
        <f>'Evolutive SFP'!AT15</f>
        <v>0</v>
      </c>
      <c r="Z32" s="212">
        <f>'Evolutive SFP'!AU15</f>
        <v>0</v>
      </c>
      <c r="AA32" s="212">
        <f>'Evolutive SFP'!AV15</f>
        <v>0</v>
      </c>
      <c r="AB32" s="212">
        <f>'Evolutive SFP'!AW15</f>
        <v>0</v>
      </c>
      <c r="AC32" s="212">
        <f>'Evolutive SFP'!AX15</f>
        <v>0</v>
      </c>
      <c r="AD32" s="212">
        <f>'Evolutive SFP'!AY15</f>
        <v>0</v>
      </c>
      <c r="AE32" s="212">
        <f>'Evolutive SFP'!AZ15</f>
        <v>0</v>
      </c>
      <c r="AF32" s="212">
        <f>'Evolutive SFP'!BA15</f>
        <v>0</v>
      </c>
    </row>
    <row r="33" spans="1:32" x14ac:dyDescent="0.3">
      <c r="A33" s="208" t="s">
        <v>133</v>
      </c>
      <c r="B33" s="209"/>
      <c r="C33" s="210">
        <v>322334806</v>
      </c>
      <c r="D33" s="210">
        <v>340971037</v>
      </c>
      <c r="E33" s="210">
        <v>340071700</v>
      </c>
      <c r="F33" s="210">
        <f>'Evolutive SFP'!P39+'Evolutive SFP'!P41+'Evolutive SFP'!P42+'Evolutive SFP'!P43-'Evolutive SFP'!P8</f>
        <v>348484983</v>
      </c>
      <c r="G33" s="210">
        <f>'Evolutive SFP'!AC39+'Evolutive SFP'!AC41+'Evolutive SFP'!AC42+'Evolutive SFP'!AC43-'Evolutive SFP'!AC8</f>
        <v>401268090</v>
      </c>
      <c r="H33" s="211">
        <v>118637256575.37</v>
      </c>
      <c r="I33" s="210">
        <f>'Evolutive SFP'!AD39+'Evolutive SFP'!AD41+'Evolutive SFP'!AD42+'Evolutive SFP'!AD43-'Evolutive SFP'!AD8</f>
        <v>396806896.04000002</v>
      </c>
      <c r="J33" s="210">
        <f>'Evolutive SFP'!AE39+'Evolutive SFP'!AE41+'Evolutive SFP'!AE42+'Evolutive SFP'!AE43-'Evolutive SFP'!AE8</f>
        <v>403568234</v>
      </c>
      <c r="K33" s="210">
        <f>'Evolutive SFP'!AF39+'Evolutive SFP'!AF41+'Evolutive SFP'!AF42+'Evolutive SFP'!AF43-'Evolutive SFP'!AF8</f>
        <v>403318662</v>
      </c>
      <c r="L33" s="210">
        <f>'Evolutive SFP'!AG39+'Evolutive SFP'!AG41+'Evolutive SFP'!AG42+'Evolutive SFP'!AG43-'Evolutive SFP'!AG8</f>
        <v>393860172</v>
      </c>
      <c r="M33" s="210">
        <f>'Evolutive SFP'!AH39+'Evolutive SFP'!AH41+'Evolutive SFP'!AH42+'Evolutive SFP'!AH43-'Evolutive SFP'!AH8</f>
        <v>401859213</v>
      </c>
      <c r="N33" s="210">
        <f>'Evolutive SFP'!AI39+'Evolutive SFP'!AI41+'Evolutive SFP'!AI42+'Evolutive SFP'!AI43-'Evolutive SFP'!AI8</f>
        <v>416965110</v>
      </c>
      <c r="O33" s="210">
        <f>'Evolutive SFP'!AJ39+'Evolutive SFP'!AJ41+'Evolutive SFP'!AJ42+'Evolutive SFP'!AJ43-'Evolutive SFP'!AJ8</f>
        <v>0</v>
      </c>
      <c r="P33" s="210">
        <f>'Evolutive SFP'!AK39+'Evolutive SFP'!AK41+'Evolutive SFP'!AK42+'Evolutive SFP'!AK43-'Evolutive SFP'!AK8</f>
        <v>0</v>
      </c>
      <c r="Q33" s="210">
        <f>'Evolutive SFP'!AL39+'Evolutive SFP'!AL41+'Evolutive SFP'!AL42+'Evolutive SFP'!AL43-'Evolutive SFP'!AL8</f>
        <v>0</v>
      </c>
      <c r="R33" s="210">
        <f>'Evolutive SFP'!AM39+'Evolutive SFP'!AM41+'Evolutive SFP'!AM42+'Evolutive SFP'!AM43-'Evolutive SFP'!AM8</f>
        <v>0</v>
      </c>
      <c r="S33" s="210">
        <f>'Evolutive SFP'!AN39+'Evolutive SFP'!AN41+'Evolutive SFP'!AN42+'Evolutive SFP'!AN43-'Evolutive SFP'!AN8</f>
        <v>0</v>
      </c>
      <c r="T33" s="210">
        <f>'Evolutive SFP'!AO39+'Evolutive SFP'!AO41+'Evolutive SFP'!AO42+'Evolutive SFP'!AO43-'Evolutive SFP'!AO8</f>
        <v>0</v>
      </c>
      <c r="U33" s="210">
        <f>'Evolutive SFP'!AP39+'Evolutive SFP'!AP41+'Evolutive SFP'!AP42+'Evolutive SFP'!AP43-'Evolutive SFP'!AP8</f>
        <v>0</v>
      </c>
      <c r="V33" s="210">
        <f>'Evolutive SFP'!AQ39+'Evolutive SFP'!AQ41+'Evolutive SFP'!AQ42+'Evolutive SFP'!AQ43-'Evolutive SFP'!AQ8</f>
        <v>0</v>
      </c>
      <c r="W33" s="210">
        <f>'Evolutive SFP'!AR39+'Evolutive SFP'!AR41+'Evolutive SFP'!AR42+'Evolutive SFP'!AR43-'Evolutive SFP'!AR8</f>
        <v>0</v>
      </c>
      <c r="X33" s="210">
        <f>'Evolutive SFP'!AS39+'Evolutive SFP'!AS41+'Evolutive SFP'!AS42+'Evolutive SFP'!AS43-'Evolutive SFP'!AS8</f>
        <v>0</v>
      </c>
      <c r="Y33" s="210">
        <f>'Evolutive SFP'!AT39+'Evolutive SFP'!AT41+'Evolutive SFP'!AT42+'Evolutive SFP'!AT43-'Evolutive SFP'!AT8</f>
        <v>0</v>
      </c>
      <c r="Z33" s="210">
        <f>'Evolutive SFP'!AU39+'Evolutive SFP'!AU41+'Evolutive SFP'!AU42+'Evolutive SFP'!AU43-'Evolutive SFP'!AU8</f>
        <v>0</v>
      </c>
      <c r="AA33" s="210">
        <f>'Evolutive SFP'!AV39+'Evolutive SFP'!AV41+'Evolutive SFP'!AV42+'Evolutive SFP'!AV43-'Evolutive SFP'!AV8</f>
        <v>0</v>
      </c>
      <c r="AB33" s="210">
        <f>'Evolutive SFP'!AW39+'Evolutive SFP'!AW41+'Evolutive SFP'!AW42+'Evolutive SFP'!AW43-'Evolutive SFP'!AW8</f>
        <v>0</v>
      </c>
      <c r="AC33" s="210">
        <f>'Evolutive SFP'!AX39+'Evolutive SFP'!AX41+'Evolutive SFP'!AX42+'Evolutive SFP'!AX43-'Evolutive SFP'!AX8</f>
        <v>0</v>
      </c>
      <c r="AD33" s="210">
        <f>'Evolutive SFP'!AY39+'Evolutive SFP'!AY41+'Evolutive SFP'!AY42+'Evolutive SFP'!AY43-'Evolutive SFP'!AY8</f>
        <v>0</v>
      </c>
      <c r="AE33" s="210">
        <f>'Evolutive SFP'!AZ39+'Evolutive SFP'!AZ41+'Evolutive SFP'!AZ42+'Evolutive SFP'!AZ43-'Evolutive SFP'!AZ8</f>
        <v>0</v>
      </c>
      <c r="AF33" s="210">
        <f>'Evolutive SFP'!BA39+'Evolutive SFP'!BA41+'Evolutive SFP'!BA42+'Evolutive SFP'!BA43-'Evolutive SFP'!BA8</f>
        <v>0</v>
      </c>
    </row>
    <row r="34" spans="1:32" x14ac:dyDescent="0.3">
      <c r="A34" s="208" t="s">
        <v>134</v>
      </c>
      <c r="B34" s="209"/>
      <c r="C34" s="210">
        <v>235443728</v>
      </c>
      <c r="D34" s="210">
        <v>242151627</v>
      </c>
      <c r="E34" s="210">
        <v>236968448</v>
      </c>
      <c r="F34" s="210">
        <f>F33-'Evolutive SFP'!P39</f>
        <v>245381731</v>
      </c>
      <c r="G34" s="210">
        <f>G33-'Evolutive SFP'!AC39</f>
        <v>276716279</v>
      </c>
      <c r="H34" s="211">
        <v>72996254530.865005</v>
      </c>
      <c r="I34" s="210">
        <f>I33-'Evolutive SFP'!AD39</f>
        <v>270907133.04000002</v>
      </c>
      <c r="J34" s="210">
        <f>J33-'Evolutive SFP'!AE39</f>
        <v>274658727</v>
      </c>
      <c r="K34" s="210">
        <f>K33-'Evolutive SFP'!AF39</f>
        <v>271826378</v>
      </c>
      <c r="L34" s="210">
        <f>L33-'Evolutive SFP'!AG39</f>
        <v>260967390</v>
      </c>
      <c r="M34" s="210">
        <f>M33-'Evolutive SFP'!AH39</f>
        <v>267399432</v>
      </c>
      <c r="N34" s="210">
        <f>N33-'Evolutive SFP'!AI39</f>
        <v>280441248</v>
      </c>
      <c r="O34" s="210">
        <f>O33-'Evolutive SFP'!AJ39</f>
        <v>0</v>
      </c>
      <c r="P34" s="210">
        <f>P33-'Evolutive SFP'!AK39</f>
        <v>0</v>
      </c>
      <c r="Q34" s="210">
        <f>Q33-'Evolutive SFP'!AL39</f>
        <v>0</v>
      </c>
      <c r="R34" s="210">
        <f>R33-'Evolutive SFP'!AM39</f>
        <v>0</v>
      </c>
      <c r="S34" s="210">
        <f>S33-'Evolutive SFP'!AN39</f>
        <v>0</v>
      </c>
      <c r="T34" s="210">
        <f>T33-'Evolutive SFP'!AO39</f>
        <v>0</v>
      </c>
      <c r="U34" s="210">
        <f>U33-'Evolutive SFP'!AP39</f>
        <v>0</v>
      </c>
      <c r="V34" s="210">
        <f>V33-'Evolutive SFP'!AQ39</f>
        <v>0</v>
      </c>
      <c r="W34" s="210">
        <f>W33-'Evolutive SFP'!AR39</f>
        <v>0</v>
      </c>
      <c r="X34" s="210">
        <f>X33-'Evolutive SFP'!AS39</f>
        <v>0</v>
      </c>
      <c r="Y34" s="210">
        <f>Y33-'Evolutive SFP'!AT39</f>
        <v>0</v>
      </c>
      <c r="Z34" s="210">
        <f>Z33-'Evolutive SFP'!AU39</f>
        <v>0</v>
      </c>
      <c r="AA34" s="210">
        <f>AA33-'Evolutive SFP'!AV39</f>
        <v>0</v>
      </c>
      <c r="AB34" s="210">
        <f>AB33-'Evolutive SFP'!AW39</f>
        <v>0</v>
      </c>
      <c r="AC34" s="210">
        <f>AC33-'Evolutive SFP'!AX39</f>
        <v>0</v>
      </c>
      <c r="AD34" s="210">
        <f>AD33-'Evolutive SFP'!AY39</f>
        <v>0</v>
      </c>
      <c r="AE34" s="210">
        <f>AE33-'Evolutive SFP'!AZ39</f>
        <v>0</v>
      </c>
      <c r="AF34" s="210">
        <f>AF33-'Evolutive SFP'!BA39</f>
        <v>0</v>
      </c>
    </row>
    <row r="35" spans="1:32" x14ac:dyDescent="0.3">
      <c r="A35" s="208" t="s">
        <v>135</v>
      </c>
      <c r="B35" s="209"/>
      <c r="C35" s="211">
        <v>0</v>
      </c>
      <c r="D35" s="211">
        <v>229737313</v>
      </c>
      <c r="E35" s="211">
        <v>244239681</v>
      </c>
      <c r="F35" s="211">
        <f>'FORM 4 2021'!D42+'FORM 4 2021'!D43+'FORM 4 2021'!D44</f>
        <v>244239681</v>
      </c>
      <c r="G35" s="211">
        <f>'FORM 4 2022'!D42+'FORM 4 2022'!D43+'FORM 4 2022'!D44</f>
        <v>391413462</v>
      </c>
      <c r="H35" s="211">
        <v>42212403556.929001</v>
      </c>
      <c r="I35" s="211">
        <f>'FORM 4 2022'!E42+'FORM 4 2022'!E43+'FORM 4 2022'!E44</f>
        <v>1.75</v>
      </c>
      <c r="J35" s="211">
        <f>'FORM 4 2022'!F42+'FORM 4 2022'!F43+'FORM 4 2022'!F44</f>
        <v>199850436.75</v>
      </c>
      <c r="K35" s="211">
        <f>'FORM 4 2022'!G42+'FORM 4 2022'!G43+'FORM 4 2022'!G44</f>
        <v>0</v>
      </c>
      <c r="L35" s="211" t="e">
        <f>'FORM 4 2022'!H42+'FORM 4 2022'!H43+'FORM 4 2022'!H44</f>
        <v>#VALUE!</v>
      </c>
      <c r="M35" s="211">
        <f>'FORM 4 2022'!I42+'FORM 4 2022'!I43+'FORM 4 2022'!I44</f>
        <v>0.42974594746848294</v>
      </c>
      <c r="N35" s="211">
        <f>'FORM 4 2022'!J42+'FORM 4 2022'!J43+'FORM 4 2022'!J44</f>
        <v>0</v>
      </c>
      <c r="O35" s="211">
        <f>'FORM 4 2022'!K42+'FORM 4 2022'!K43+'FORM 4 2022'!K44</f>
        <v>0</v>
      </c>
      <c r="P35" s="211">
        <f>'FORM 4 2022'!L42+'FORM 4 2022'!L43+'FORM 4 2022'!L44</f>
        <v>0</v>
      </c>
      <c r="Q35" s="211">
        <f>'FORM 4 2022'!M42+'FORM 4 2022'!M43+'FORM 4 2022'!M44</f>
        <v>0</v>
      </c>
      <c r="R35" s="211">
        <f>'FORM 4 2022'!N42+'FORM 4 2022'!N43+'FORM 4 2022'!N44</f>
        <v>0</v>
      </c>
      <c r="S35" s="211">
        <f>'FORM 4 2022'!O42+'FORM 4 2022'!O43+'FORM 4 2022'!O44</f>
        <v>0</v>
      </c>
      <c r="T35" s="211">
        <f>'FORM 4 2022'!P42+'FORM 4 2022'!P43+'FORM 4 2022'!P44</f>
        <v>0</v>
      </c>
      <c r="U35" s="211">
        <f>'FORM 4 2022'!Q42+'FORM 4 2022'!Q43+'FORM 4 2022'!Q44</f>
        <v>0</v>
      </c>
      <c r="V35" s="211">
        <f>'FORM 4 2022'!R42+'FORM 4 2022'!R43+'FORM 4 2022'!R44</f>
        <v>0</v>
      </c>
      <c r="W35" s="211">
        <f>'FORM 4 2022'!S42+'FORM 4 2022'!S43+'FORM 4 2022'!S44</f>
        <v>0</v>
      </c>
      <c r="X35" s="211">
        <f>'FORM 4 2022'!T42+'FORM 4 2022'!T43+'FORM 4 2022'!T44</f>
        <v>0</v>
      </c>
      <c r="Y35" s="211">
        <f>'FORM 4 2022'!U42+'FORM 4 2022'!U43+'FORM 4 2022'!U44</f>
        <v>0</v>
      </c>
      <c r="Z35" s="211">
        <f>'FORM 4 2022'!V42+'FORM 4 2022'!V43+'FORM 4 2022'!V44</f>
        <v>0</v>
      </c>
      <c r="AA35" s="211">
        <f>'FORM 4 2022'!W42+'FORM 4 2022'!W43+'FORM 4 2022'!W44</f>
        <v>0</v>
      </c>
      <c r="AB35" s="211">
        <f>'FORM 4 2022'!X42+'FORM 4 2022'!X43+'FORM 4 2022'!X44</f>
        <v>0</v>
      </c>
      <c r="AC35" s="211">
        <f>'FORM 4 2022'!Y42+'FORM 4 2022'!Y43+'FORM 4 2022'!Y44</f>
        <v>0</v>
      </c>
      <c r="AD35" s="211">
        <f>'FORM 4 2022'!Z42+'FORM 4 2022'!Z43+'FORM 4 2022'!Z44</f>
        <v>0</v>
      </c>
      <c r="AE35" s="211">
        <f>'FORM 4 2022'!AA42+'FORM 4 2022'!AA43+'FORM 4 2022'!AA44</f>
        <v>0</v>
      </c>
      <c r="AF35" s="211">
        <f>'FORM 4 2022'!AB42+'FORM 4 2022'!AB43+'FORM 4 2022'!AB44</f>
        <v>0</v>
      </c>
    </row>
    <row r="36" spans="1:32" x14ac:dyDescent="0.3">
      <c r="A36" s="208" t="s">
        <v>105</v>
      </c>
      <c r="B36" s="209"/>
      <c r="C36" s="212">
        <v>14341369</v>
      </c>
      <c r="D36" s="212">
        <v>19036779</v>
      </c>
      <c r="E36" s="212">
        <v>13812113</v>
      </c>
      <c r="F36" s="212">
        <f>'Evolutive SFP'!P23+'Evolutive SFP'!P25</f>
        <v>13812113</v>
      </c>
      <c r="G36" s="212">
        <f>'Evolutive SFP'!Q23+'Evolutive SFP'!Q25</f>
        <v>13812112</v>
      </c>
      <c r="H36" s="211">
        <v>68070829354.471001</v>
      </c>
      <c r="I36" s="212">
        <f>'Evolutive SFP'!R23+'Evolutive SFP'!R25</f>
        <v>13812113</v>
      </c>
      <c r="J36" s="212">
        <f>'Evolutive SFP'!S23+'Evolutive SFP'!S25</f>
        <v>13812112</v>
      </c>
      <c r="K36" s="212">
        <f>'Evolutive SFP'!T23+'Evolutive SFP'!T25</f>
        <v>13812112</v>
      </c>
      <c r="L36" s="212">
        <f>'Evolutive SFP'!U23+'Evolutive SFP'!U25</f>
        <v>13812112</v>
      </c>
      <c r="M36" s="212">
        <f>'Evolutive SFP'!V23+'Evolutive SFP'!V25</f>
        <v>13812112</v>
      </c>
      <c r="N36" s="212">
        <f>'Evolutive SFP'!W23+'Evolutive SFP'!W25</f>
        <v>13812113</v>
      </c>
      <c r="O36" s="212">
        <f>'Evolutive SFP'!X23+'Evolutive SFP'!X25</f>
        <v>13812112</v>
      </c>
      <c r="P36" s="212">
        <f>'Evolutive SFP'!Y23+'Evolutive SFP'!Y25</f>
        <v>13812112</v>
      </c>
      <c r="Q36" s="212">
        <f>'Evolutive SFP'!Z23+'Evolutive SFP'!Z25</f>
        <v>13812112</v>
      </c>
      <c r="R36" s="212">
        <f>'Evolutive SFP'!AA23+'Evolutive SFP'!AA25</f>
        <v>13812112</v>
      </c>
      <c r="S36" s="212">
        <f>'Evolutive SFP'!AB23+'Evolutive SFP'!AB25</f>
        <v>14933825</v>
      </c>
      <c r="T36" s="212">
        <f>'Evolutive SFP'!AC23+'Evolutive SFP'!AC25</f>
        <v>18527651</v>
      </c>
      <c r="U36" s="212">
        <f>'Evolutive SFP'!AD23+'Evolutive SFP'!AD25</f>
        <v>18527651</v>
      </c>
      <c r="V36" s="212">
        <f>'Evolutive SFP'!AE23+'Evolutive SFP'!AE25</f>
        <v>18527651</v>
      </c>
      <c r="W36" s="212">
        <f>'Evolutive SFP'!AF23+'Evolutive SFP'!AF25</f>
        <v>18527651</v>
      </c>
      <c r="X36" s="212">
        <f>'Evolutive SFP'!AG23+'Evolutive SFP'!AG25</f>
        <v>18527651</v>
      </c>
      <c r="Y36" s="212">
        <f>'Evolutive SFP'!AH23+'Evolutive SFP'!AH25</f>
        <v>18527651</v>
      </c>
      <c r="Z36" s="212">
        <f>'Evolutive SFP'!AI23+'Evolutive SFP'!AI25</f>
        <v>18527651</v>
      </c>
      <c r="AA36" s="212">
        <f>'Evolutive SFP'!AJ23+'Evolutive SFP'!AJ25</f>
        <v>0</v>
      </c>
      <c r="AB36" s="212">
        <f>'Evolutive SFP'!AK23+'Evolutive SFP'!AK25</f>
        <v>0</v>
      </c>
      <c r="AC36" s="212">
        <f>'Evolutive SFP'!AL23+'Evolutive SFP'!AL25</f>
        <v>0</v>
      </c>
      <c r="AD36" s="212">
        <f>'Evolutive SFP'!AM23+'Evolutive SFP'!AM25</f>
        <v>0</v>
      </c>
      <c r="AE36" s="212">
        <f>'Evolutive SFP'!AN23+'Evolutive SFP'!AN25</f>
        <v>0</v>
      </c>
      <c r="AF36" s="212">
        <f>'Evolutive SFP'!AO23+'Evolutive SFP'!AO25</f>
        <v>0</v>
      </c>
    </row>
    <row r="37" spans="1:32" x14ac:dyDescent="0.3">
      <c r="A37" s="208" t="s">
        <v>23</v>
      </c>
      <c r="B37" s="209"/>
      <c r="C37" s="210">
        <v>14341369</v>
      </c>
      <c r="D37" s="210">
        <v>14341370</v>
      </c>
      <c r="E37" s="210">
        <v>13812113</v>
      </c>
      <c r="F37" s="210">
        <f>'Evolutive SFP'!P23+'Evolutive SFP'!P25</f>
        <v>13812113</v>
      </c>
      <c r="G37" s="210">
        <f>'Evolutive SFP'!AC23+'Evolutive SFP'!AC25</f>
        <v>18527651</v>
      </c>
      <c r="H37" s="211">
        <v>19634988553.241001</v>
      </c>
      <c r="I37" s="210">
        <f>'Evolutive SFP'!AD23+'Evolutive SFP'!AD25</f>
        <v>18527651</v>
      </c>
      <c r="J37" s="210">
        <f>'Evolutive SFP'!AE23+'Evolutive SFP'!AE25</f>
        <v>18527651</v>
      </c>
      <c r="K37" s="210">
        <f>'Evolutive SFP'!AF23+'Evolutive SFP'!AF25</f>
        <v>18527651</v>
      </c>
      <c r="L37" s="210">
        <f>'Evolutive SFP'!AG23+'Evolutive SFP'!AG25</f>
        <v>18527651</v>
      </c>
      <c r="M37" s="210">
        <f>'Evolutive SFP'!AH23+'Evolutive SFP'!AH25</f>
        <v>18527651</v>
      </c>
      <c r="N37" s="210">
        <f>'Evolutive SFP'!AI23+'Evolutive SFP'!AI25</f>
        <v>18527651</v>
      </c>
      <c r="O37" s="210">
        <f>'Evolutive SFP'!AJ23+'Evolutive SFP'!AJ25</f>
        <v>0</v>
      </c>
      <c r="P37" s="210">
        <f>'Evolutive SFP'!AK23+'Evolutive SFP'!AK25</f>
        <v>0</v>
      </c>
      <c r="Q37" s="210">
        <f>'Evolutive SFP'!AL23+'Evolutive SFP'!AL25</f>
        <v>0</v>
      </c>
      <c r="R37" s="210">
        <f>'Evolutive SFP'!AM23+'Evolutive SFP'!AM25</f>
        <v>0</v>
      </c>
      <c r="S37" s="210">
        <f>'Evolutive SFP'!AN23+'Evolutive SFP'!AN25</f>
        <v>0</v>
      </c>
      <c r="T37" s="210">
        <f>'Evolutive SFP'!AO23+'Evolutive SFP'!AO25</f>
        <v>0</v>
      </c>
      <c r="U37" s="210">
        <f>'Evolutive SFP'!AP23+'Evolutive SFP'!AP25</f>
        <v>0</v>
      </c>
      <c r="V37" s="210">
        <f>'Evolutive SFP'!AQ23+'Evolutive SFP'!AQ25</f>
        <v>0</v>
      </c>
      <c r="W37" s="210">
        <f>'Evolutive SFP'!AR23+'Evolutive SFP'!AR25</f>
        <v>0</v>
      </c>
      <c r="X37" s="210">
        <f>'Evolutive SFP'!AS23+'Evolutive SFP'!AS25</f>
        <v>0</v>
      </c>
      <c r="Y37" s="210">
        <f>'Evolutive SFP'!AT23+'Evolutive SFP'!AT25</f>
        <v>0</v>
      </c>
      <c r="Z37" s="210">
        <f>'Evolutive SFP'!AU23+'Evolutive SFP'!AU25</f>
        <v>0</v>
      </c>
      <c r="AA37" s="210">
        <f>'Evolutive SFP'!AV23+'Evolutive SFP'!AV25</f>
        <v>0</v>
      </c>
      <c r="AB37" s="210">
        <f>'Evolutive SFP'!AW23+'Evolutive SFP'!AW25</f>
        <v>0</v>
      </c>
      <c r="AC37" s="210">
        <f>'Evolutive SFP'!AX23+'Evolutive SFP'!AX25</f>
        <v>0</v>
      </c>
      <c r="AD37" s="210">
        <f>'Evolutive SFP'!AY23+'Evolutive SFP'!AY25</f>
        <v>0</v>
      </c>
      <c r="AE37" s="210">
        <f>'Evolutive SFP'!AZ23+'Evolutive SFP'!AZ25</f>
        <v>0</v>
      </c>
      <c r="AF37" s="210">
        <f>'Evolutive SFP'!BA23+'Evolutive SFP'!BA25</f>
        <v>0</v>
      </c>
    </row>
    <row r="38" spans="1:32" x14ac:dyDescent="0.3">
      <c r="A38" s="208" t="s">
        <v>136</v>
      </c>
      <c r="B38" s="209"/>
      <c r="C38" s="210">
        <v>50000</v>
      </c>
      <c r="D38" s="210">
        <v>4919167</v>
      </c>
      <c r="E38" s="210">
        <v>6006550</v>
      </c>
      <c r="F38" s="210">
        <f>'Evolutive SFP'!P13+'Evolutive SFP'!P12</f>
        <v>4606550</v>
      </c>
      <c r="G38" s="210">
        <f>'Evolutive SFP'!AC13+'Evolutive SFP'!AC12</f>
        <v>4702814</v>
      </c>
      <c r="H38" s="211">
        <v>13319101327.559999</v>
      </c>
      <c r="I38" s="210">
        <f>'Evolutive SFP'!AD13+'Evolutive SFP'!AD12</f>
        <v>4752850</v>
      </c>
      <c r="J38" s="210">
        <f>'Evolutive SFP'!AE13+'Evolutive SFP'!AE12</f>
        <v>4752850</v>
      </c>
      <c r="K38" s="210">
        <f>'Evolutive SFP'!AF13+'Evolutive SFP'!AF12</f>
        <v>4752850</v>
      </c>
      <c r="L38" s="210">
        <f>'Evolutive SFP'!AG13+'Evolutive SFP'!AG12</f>
        <v>4752850</v>
      </c>
      <c r="M38" s="210">
        <f>'Evolutive SFP'!AH13+'Evolutive SFP'!AH12</f>
        <v>4752850</v>
      </c>
      <c r="N38" s="210">
        <f>'Evolutive SFP'!AI13+'Evolutive SFP'!AI12</f>
        <v>4752850</v>
      </c>
      <c r="O38" s="210">
        <f>'Evolutive SFP'!AJ13+'Evolutive SFP'!AJ12</f>
        <v>0</v>
      </c>
      <c r="P38" s="210">
        <f>'Evolutive SFP'!AK13+'Evolutive SFP'!AK12</f>
        <v>0</v>
      </c>
      <c r="Q38" s="210">
        <f>'Evolutive SFP'!AL13+'Evolutive SFP'!AL12</f>
        <v>0</v>
      </c>
      <c r="R38" s="210">
        <f>'Evolutive SFP'!AM13+'Evolutive SFP'!AM12</f>
        <v>0</v>
      </c>
      <c r="S38" s="210">
        <f>'Evolutive SFP'!AN13+'Evolutive SFP'!AN12</f>
        <v>0</v>
      </c>
      <c r="T38" s="210">
        <f>'Evolutive SFP'!AO13+'Evolutive SFP'!AO12</f>
        <v>0</v>
      </c>
      <c r="U38" s="210">
        <f>'Evolutive SFP'!AP13+'Evolutive SFP'!AP12</f>
        <v>0</v>
      </c>
      <c r="V38" s="210">
        <f>'Evolutive SFP'!AQ13+'Evolutive SFP'!AQ12</f>
        <v>0</v>
      </c>
      <c r="W38" s="210">
        <f>'Evolutive SFP'!AR13+'Evolutive SFP'!AR12</f>
        <v>0</v>
      </c>
      <c r="X38" s="210">
        <f>'Evolutive SFP'!AS13+'Evolutive SFP'!AS12</f>
        <v>0</v>
      </c>
      <c r="Y38" s="210">
        <f>'Evolutive SFP'!AT13+'Evolutive SFP'!AT12</f>
        <v>0</v>
      </c>
      <c r="Z38" s="210">
        <f>'Evolutive SFP'!AU13+'Evolutive SFP'!AU12</f>
        <v>0</v>
      </c>
      <c r="AA38" s="210">
        <f>'Evolutive SFP'!AV13+'Evolutive SFP'!AV12</f>
        <v>0</v>
      </c>
      <c r="AB38" s="210">
        <f>'Evolutive SFP'!AW13+'Evolutive SFP'!AW12</f>
        <v>0</v>
      </c>
      <c r="AC38" s="210">
        <f>'Evolutive SFP'!AX13+'Evolutive SFP'!AX12</f>
        <v>0</v>
      </c>
      <c r="AD38" s="210">
        <f>'Evolutive SFP'!AY13+'Evolutive SFP'!AY12</f>
        <v>0</v>
      </c>
      <c r="AE38" s="210">
        <f>'Evolutive SFP'!AZ13+'Evolutive SFP'!AZ12</f>
        <v>0</v>
      </c>
      <c r="AF38" s="210">
        <f>'Evolutive SFP'!BA13+'Evolutive SFP'!BA12</f>
        <v>0</v>
      </c>
    </row>
    <row r="39" spans="1:32" x14ac:dyDescent="0.3">
      <c r="A39" s="208" t="s">
        <v>137</v>
      </c>
      <c r="B39" s="209"/>
      <c r="C39" s="210">
        <v>121401170</v>
      </c>
      <c r="D39" s="210">
        <v>18693600</v>
      </c>
      <c r="E39" s="210">
        <v>19780983</v>
      </c>
      <c r="F39" s="210">
        <f>'Evolutive SFP'!P8</f>
        <v>4606550</v>
      </c>
      <c r="G39" s="210">
        <f>'Evolutive SFP'!AC8</f>
        <v>4702814</v>
      </c>
      <c r="H39" s="211">
        <v>29832959947.650002</v>
      </c>
      <c r="I39" s="210">
        <f>'Evolutive SFP'!AD8</f>
        <v>21094256</v>
      </c>
      <c r="J39" s="210">
        <f>'Evolutive SFP'!AE8</f>
        <v>21094256</v>
      </c>
      <c r="K39" s="210">
        <f>'Evolutive SFP'!AF8</f>
        <v>21094256</v>
      </c>
      <c r="L39" s="210">
        <f>'Evolutive SFP'!AG8</f>
        <v>21094256</v>
      </c>
      <c r="M39" s="210">
        <f>'Evolutive SFP'!AH8</f>
        <v>22571526</v>
      </c>
      <c r="N39" s="210">
        <f>'Evolutive SFP'!AI8</f>
        <v>21094256</v>
      </c>
      <c r="O39" s="210">
        <f>'Evolutive SFP'!AJ8</f>
        <v>0</v>
      </c>
      <c r="P39" s="210">
        <f>'Evolutive SFP'!AK8</f>
        <v>0</v>
      </c>
      <c r="Q39" s="210">
        <f>'Evolutive SFP'!AL8</f>
        <v>0</v>
      </c>
      <c r="R39" s="210">
        <f>'Evolutive SFP'!AM8</f>
        <v>0</v>
      </c>
      <c r="S39" s="210">
        <f>'Evolutive SFP'!AN8</f>
        <v>0</v>
      </c>
      <c r="T39" s="210">
        <f>'Evolutive SFP'!AO8</f>
        <v>0</v>
      </c>
      <c r="U39" s="210">
        <f>'Evolutive SFP'!AP8</f>
        <v>0</v>
      </c>
      <c r="V39" s="210">
        <f>'Evolutive SFP'!AQ8</f>
        <v>0</v>
      </c>
      <c r="W39" s="210">
        <f>'Evolutive SFP'!AR8</f>
        <v>0</v>
      </c>
      <c r="X39" s="210">
        <f>'Evolutive SFP'!AS8</f>
        <v>0</v>
      </c>
      <c r="Y39" s="210">
        <f>'Evolutive SFP'!AT8</f>
        <v>0</v>
      </c>
      <c r="Z39" s="210">
        <f>'Evolutive SFP'!AU8</f>
        <v>0</v>
      </c>
      <c r="AA39" s="210">
        <f>'Evolutive SFP'!AV8</f>
        <v>0</v>
      </c>
      <c r="AB39" s="210">
        <f>'Evolutive SFP'!AW8</f>
        <v>0</v>
      </c>
      <c r="AC39" s="210">
        <f>'Evolutive SFP'!AX8</f>
        <v>0</v>
      </c>
      <c r="AD39" s="210">
        <f>'Evolutive SFP'!AY8</f>
        <v>0</v>
      </c>
      <c r="AE39" s="210">
        <f>'Evolutive SFP'!AZ8</f>
        <v>0</v>
      </c>
      <c r="AF39" s="210">
        <f>'Evolutive SFP'!BA8</f>
        <v>0</v>
      </c>
    </row>
    <row r="40" spans="1:32" x14ac:dyDescent="0.3">
      <c r="A40" s="208" t="s">
        <v>138</v>
      </c>
      <c r="B40" s="209"/>
      <c r="C40" s="210">
        <v>76480338.780000001</v>
      </c>
      <c r="D40" s="210">
        <v>-9537991</v>
      </c>
      <c r="E40" s="210">
        <v>96822468</v>
      </c>
      <c r="F40" s="210">
        <f>'Evolutive SFP'!P4</f>
        <v>111409082</v>
      </c>
      <c r="G40" s="210">
        <f>'Evolutive SFP'!AC4</f>
        <v>175369190</v>
      </c>
      <c r="H40" s="211">
        <v>95397835097.679901</v>
      </c>
      <c r="I40" s="210">
        <f>'Evolutive SFP'!AD4</f>
        <v>141728487</v>
      </c>
      <c r="J40" s="210">
        <f>'Evolutive SFP'!AE4</f>
        <v>88776627</v>
      </c>
      <c r="K40" s="210">
        <f>'Evolutive SFP'!AF4</f>
        <v>90535570</v>
      </c>
      <c r="L40" s="210">
        <f>'Evolutive SFP'!AG4</f>
        <v>58803054</v>
      </c>
      <c r="M40" s="210">
        <f>'Evolutive SFP'!AH4</f>
        <v>39744613</v>
      </c>
      <c r="N40" s="210">
        <f>'Evolutive SFP'!AI4</f>
        <v>86346638</v>
      </c>
      <c r="O40" s="210">
        <f>'Evolutive SFP'!AJ4</f>
        <v>0</v>
      </c>
      <c r="P40" s="210">
        <f>'Evolutive SFP'!AK4</f>
        <v>0</v>
      </c>
      <c r="Q40" s="210">
        <f>'Evolutive SFP'!AL4</f>
        <v>0</v>
      </c>
      <c r="R40" s="210">
        <f>'Evolutive SFP'!AM4</f>
        <v>0</v>
      </c>
      <c r="S40" s="210">
        <f>'Evolutive SFP'!AN4</f>
        <v>0</v>
      </c>
      <c r="T40" s="210">
        <f>'Evolutive SFP'!AO4</f>
        <v>0</v>
      </c>
      <c r="U40" s="210">
        <f>'Evolutive SFP'!AP4</f>
        <v>0</v>
      </c>
      <c r="V40" s="210">
        <f>'Evolutive SFP'!AQ4</f>
        <v>0</v>
      </c>
      <c r="W40" s="210">
        <f>'Evolutive SFP'!AR4</f>
        <v>0</v>
      </c>
      <c r="X40" s="210">
        <f>'Evolutive SFP'!AS4</f>
        <v>0</v>
      </c>
      <c r="Y40" s="210">
        <f>'Evolutive SFP'!AT4</f>
        <v>0</v>
      </c>
      <c r="Z40" s="210">
        <f>'Evolutive SFP'!AU4</f>
        <v>0</v>
      </c>
      <c r="AA40" s="210">
        <f>'Evolutive SFP'!AV4</f>
        <v>0</v>
      </c>
      <c r="AB40" s="210">
        <f>'Evolutive SFP'!AW4</f>
        <v>0</v>
      </c>
      <c r="AC40" s="210">
        <f>'Evolutive SFP'!AX4</f>
        <v>0</v>
      </c>
      <c r="AD40" s="210">
        <f>'Evolutive SFP'!AY4</f>
        <v>0</v>
      </c>
      <c r="AE40" s="210">
        <f>'Evolutive SFP'!AZ4</f>
        <v>0</v>
      </c>
      <c r="AF40" s="210">
        <f>'Evolutive SFP'!BA4</f>
        <v>0</v>
      </c>
    </row>
    <row r="41" spans="1:32" x14ac:dyDescent="0.3">
      <c r="A41" s="208" t="s">
        <v>139</v>
      </c>
      <c r="B41" s="209"/>
      <c r="C41" s="210">
        <v>239923940</v>
      </c>
      <c r="D41" s="210">
        <v>122195327</v>
      </c>
      <c r="E41" s="210">
        <v>179203957</v>
      </c>
      <c r="F41" s="210">
        <f>'Evolutive SFP'!P28+'Evolutive SFP'!P29+'Evolutive SFP'!P33+'Evolutive SFP'!P36</f>
        <v>179086146</v>
      </c>
      <c r="G41" s="210">
        <f>'Evolutive SFP'!AC28+'Evolutive SFP'!AC29+'Evolutive SFP'!AC33+'Evolutive SFP'!AC36</f>
        <v>222749630</v>
      </c>
      <c r="H41" s="211">
        <v>135983946027.10001</v>
      </c>
      <c r="I41" s="210">
        <f>'Evolutive SFP'!AD28+'Evolutive SFP'!AD29+'Evolutive SFP'!AD33+'Evolutive SFP'!AD36</f>
        <v>206245982</v>
      </c>
      <c r="J41" s="210">
        <f>'Evolutive SFP'!AE28+'Evolutive SFP'!AE29+'Evolutive SFP'!AE33+'Evolutive SFP'!AE36</f>
        <v>199980843</v>
      </c>
      <c r="K41" s="210">
        <f>'Evolutive SFP'!AF28+'Evolutive SFP'!AF29+'Evolutive SFP'!AF33+'Evolutive SFP'!AF36</f>
        <v>207515174</v>
      </c>
      <c r="L41" s="210">
        <f>'Evolutive SFP'!AG28+'Evolutive SFP'!AG29+'Evolutive SFP'!AG33+'Evolutive SFP'!AG36</f>
        <v>196626631</v>
      </c>
      <c r="M41" s="210">
        <f>'Evolutive SFP'!AH28+'Evolutive SFP'!AH29+'Evolutive SFP'!AH33+'Evolutive SFP'!AH36</f>
        <v>197179064</v>
      </c>
      <c r="N41" s="210">
        <f>'Evolutive SFP'!AI28+'Evolutive SFP'!AI29+'Evolutive SFP'!AI33+'Evolutive SFP'!AI36</f>
        <v>206051403</v>
      </c>
      <c r="O41" s="210">
        <f>'Evolutive SFP'!AJ28+'Evolutive SFP'!AJ29+'Evolutive SFP'!AJ33+'Evolutive SFP'!AJ36</f>
        <v>0</v>
      </c>
      <c r="P41" s="210">
        <f>'Evolutive SFP'!AK28+'Evolutive SFP'!AK29+'Evolutive SFP'!AK33+'Evolutive SFP'!AK36</f>
        <v>0</v>
      </c>
      <c r="Q41" s="210">
        <f>'Evolutive SFP'!AL28+'Evolutive SFP'!AL29+'Evolutive SFP'!AL33+'Evolutive SFP'!AL36</f>
        <v>0</v>
      </c>
      <c r="R41" s="210">
        <f>'Evolutive SFP'!AM28+'Evolutive SFP'!AM29+'Evolutive SFP'!AM33+'Evolutive SFP'!AM36</f>
        <v>0</v>
      </c>
      <c r="S41" s="210">
        <f>'Evolutive SFP'!AN28+'Evolutive SFP'!AN29+'Evolutive SFP'!AN33+'Evolutive SFP'!AN36</f>
        <v>0</v>
      </c>
      <c r="T41" s="210">
        <f>'Evolutive SFP'!AO28+'Evolutive SFP'!AO29+'Evolutive SFP'!AO33+'Evolutive SFP'!AO36</f>
        <v>0</v>
      </c>
      <c r="U41" s="210">
        <f>'Evolutive SFP'!AP28+'Evolutive SFP'!AP29+'Evolutive SFP'!AP33+'Evolutive SFP'!AP36</f>
        <v>0</v>
      </c>
      <c r="V41" s="210">
        <f>'Evolutive SFP'!AQ28+'Evolutive SFP'!AQ29+'Evolutive SFP'!AQ33+'Evolutive SFP'!AQ36</f>
        <v>0</v>
      </c>
      <c r="W41" s="210">
        <f>'Evolutive SFP'!AR28+'Evolutive SFP'!AR29+'Evolutive SFP'!AR33+'Evolutive SFP'!AR36</f>
        <v>0</v>
      </c>
      <c r="X41" s="210">
        <f>'Evolutive SFP'!AS28+'Evolutive SFP'!AS29+'Evolutive SFP'!AS33+'Evolutive SFP'!AS36</f>
        <v>0</v>
      </c>
      <c r="Y41" s="210">
        <f>'Evolutive SFP'!AT28+'Evolutive SFP'!AT29+'Evolutive SFP'!AT33+'Evolutive SFP'!AT36</f>
        <v>0</v>
      </c>
      <c r="Z41" s="210">
        <f>'Evolutive SFP'!AU28+'Evolutive SFP'!AU29+'Evolutive SFP'!AU33+'Evolutive SFP'!AU36</f>
        <v>0</v>
      </c>
      <c r="AA41" s="210">
        <f>'Evolutive SFP'!AV28+'Evolutive SFP'!AV29+'Evolutive SFP'!AV33+'Evolutive SFP'!AV36</f>
        <v>0</v>
      </c>
      <c r="AB41" s="210">
        <f>'Evolutive SFP'!AW28+'Evolutive SFP'!AW29+'Evolutive SFP'!AW33+'Evolutive SFP'!AW36</f>
        <v>0</v>
      </c>
      <c r="AC41" s="210">
        <f>'Evolutive SFP'!AX28+'Evolutive SFP'!AX29+'Evolutive SFP'!AX33+'Evolutive SFP'!AX36</f>
        <v>0</v>
      </c>
      <c r="AD41" s="210">
        <f>'Evolutive SFP'!AY28+'Evolutive SFP'!AY29+'Evolutive SFP'!AY33+'Evolutive SFP'!AY36</f>
        <v>0</v>
      </c>
      <c r="AE41" s="210">
        <f>'Evolutive SFP'!AZ28+'Evolutive SFP'!AZ29+'Evolutive SFP'!AZ33+'Evolutive SFP'!AZ36</f>
        <v>0</v>
      </c>
      <c r="AF41" s="210">
        <f>'Evolutive SFP'!BA28+'Evolutive SFP'!BA29+'Evolutive SFP'!BA33+'Evolutive SFP'!BA36</f>
        <v>0</v>
      </c>
    </row>
    <row r="42" spans="1:32" x14ac:dyDescent="0.3">
      <c r="A42" s="208" t="s">
        <v>140</v>
      </c>
      <c r="B42" s="209"/>
      <c r="C42" s="210">
        <v>0</v>
      </c>
      <c r="D42" s="210">
        <v>0</v>
      </c>
      <c r="E42" s="210">
        <v>0</v>
      </c>
      <c r="F42" s="210"/>
      <c r="G42" s="210"/>
      <c r="H42" s="211">
        <v>24665396673.470001</v>
      </c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</row>
    <row r="43" spans="1:32" x14ac:dyDescent="0.3">
      <c r="A43" s="208" t="s">
        <v>141</v>
      </c>
      <c r="B43" s="209"/>
      <c r="C43" s="210">
        <v>580185390.5</v>
      </c>
      <c r="D43" s="210">
        <v>694489982</v>
      </c>
      <c r="E43" s="210">
        <v>728589773.5</v>
      </c>
      <c r="F43" s="210">
        <f>('Evolutive SFP'!C15+'Evolutive SFP'!P15)/2</f>
        <v>728590783.5</v>
      </c>
      <c r="G43" s="210">
        <f>('Evolutive SFP'!P15+'Evolutive SFP'!AC15)/2</f>
        <v>851695598.5</v>
      </c>
      <c r="H43" s="211">
        <v>492326061304.25</v>
      </c>
      <c r="I43" s="210">
        <f>('Evolutive SFP'!Q15+'Evolutive SFP'!AD15)/2</f>
        <v>860403263</v>
      </c>
      <c r="J43" s="210">
        <f>('Evolutive SFP'!R15+'Evolutive SFP'!AE15)/2</f>
        <v>897273603</v>
      </c>
      <c r="K43" s="210">
        <f>('Evolutive SFP'!S15+'Evolutive SFP'!AF15)/2</f>
        <v>922421906</v>
      </c>
      <c r="L43" s="210">
        <f>('Evolutive SFP'!T15+'Evolutive SFP'!AG15)/2</f>
        <v>938915335.5</v>
      </c>
      <c r="M43" s="210">
        <f>('Evolutive SFP'!U15+'Evolutive SFP'!AH15)/2</f>
        <v>967352237</v>
      </c>
      <c r="N43" s="210">
        <f>('Evolutive SFP'!V15+'Evolutive SFP'!AI15)/2</f>
        <v>979078770.5</v>
      </c>
      <c r="O43" s="210">
        <f>('Evolutive SFP'!W15+'Evolutive SFP'!AJ15)/2</f>
        <v>381038567</v>
      </c>
      <c r="P43" s="210">
        <f>('Evolutive SFP'!X15+'Evolutive SFP'!AK15)/2</f>
        <v>398977004</v>
      </c>
      <c r="Q43" s="210">
        <f>('Evolutive SFP'!Y15+'Evolutive SFP'!AL15)/2</f>
        <v>415425455.5</v>
      </c>
      <c r="R43" s="210">
        <f>('Evolutive SFP'!Z15+'Evolutive SFP'!AM15)/2</f>
        <v>431295086</v>
      </c>
      <c r="S43" s="210">
        <f>('Evolutive SFP'!AA15+'Evolutive SFP'!AN15)/2</f>
        <v>444258370.5</v>
      </c>
      <c r="T43" s="210">
        <f>('Evolutive SFP'!AB15+'Evolutive SFP'!AO15)/2</f>
        <v>455400993</v>
      </c>
      <c r="U43" s="210">
        <f>('Evolutive SFP'!AC15+'Evolutive SFP'!AP15)/2</f>
        <v>455400993</v>
      </c>
      <c r="V43" s="210">
        <f>('Evolutive SFP'!AD15+'Evolutive SFP'!AQ15)/2</f>
        <v>453667609.5</v>
      </c>
      <c r="W43" s="210">
        <f>('Evolutive SFP'!AE15+'Evolutive SFP'!AR15)/2</f>
        <v>484760739.5</v>
      </c>
      <c r="X43" s="210">
        <f>('Evolutive SFP'!AF15+'Evolutive SFP'!AS15)/2</f>
        <v>502820555</v>
      </c>
      <c r="Y43" s="210">
        <f>('Evolutive SFP'!AG15+'Evolutive SFP'!AT15)/2</f>
        <v>513484282.5</v>
      </c>
      <c r="Z43" s="210">
        <f>('Evolutive SFP'!AH15+'Evolutive SFP'!AU15)/2</f>
        <v>527260819.5</v>
      </c>
      <c r="AA43" s="210">
        <f>('Evolutive SFP'!AI15+'Evolutive SFP'!AV15)/2</f>
        <v>530784879.5</v>
      </c>
      <c r="AB43" s="210">
        <f>('Evolutive SFP'!AJ15+'Evolutive SFP'!AW15)/2</f>
        <v>0</v>
      </c>
      <c r="AC43" s="210">
        <f>('Evolutive SFP'!AK15+'Evolutive SFP'!AX15)/2</f>
        <v>0</v>
      </c>
      <c r="AD43" s="210">
        <f>('Evolutive SFP'!AL15+'Evolutive SFP'!AY15)/2</f>
        <v>0</v>
      </c>
      <c r="AE43" s="210">
        <f>('Evolutive SFP'!AM15+'Evolutive SFP'!AZ15)/2</f>
        <v>0</v>
      </c>
      <c r="AF43" s="210">
        <f>('Evolutive SFP'!AN15+'Evolutive SFP'!BA15)/2</f>
        <v>0</v>
      </c>
    </row>
    <row r="44" spans="1:32" x14ac:dyDescent="0.3">
      <c r="A44" s="208" t="s">
        <v>142</v>
      </c>
      <c r="B44" s="209"/>
      <c r="C44" s="210">
        <v>89988820.390000001</v>
      </c>
      <c r="D44" s="210">
        <v>86902586</v>
      </c>
      <c r="E44" s="210">
        <v>123491760</v>
      </c>
      <c r="F44" s="210">
        <f>'Evolutitve SCI'!P3</f>
        <v>127629687</v>
      </c>
      <c r="G44" s="210">
        <f>'Evolutitve SCI'!AC3</f>
        <v>163297222</v>
      </c>
      <c r="H44" s="211">
        <v>96251717769.830002</v>
      </c>
      <c r="I44" s="210">
        <f>'Evolutitve SCI'!AD3</f>
        <v>16792269</v>
      </c>
      <c r="J44" s="210">
        <f>'Evolutitve SCI'!AE3</f>
        <v>29513360.640000001</v>
      </c>
      <c r="K44" s="210">
        <f>'Evolutitve SCI'!AF3</f>
        <v>47589433.5</v>
      </c>
      <c r="L44" s="210">
        <f>'Evolutitve SCI'!AG3</f>
        <v>59820666.709999993</v>
      </c>
      <c r="M44" s="210">
        <f>'Evolutitve SCI'!AH3</f>
        <v>73068153.099999994</v>
      </c>
      <c r="N44" s="210">
        <f>'Evolutitve SCI'!AI3</f>
        <v>89135469.129999995</v>
      </c>
      <c r="O44" s="210">
        <f>'Evolutitve SCI'!AJ3</f>
        <v>0</v>
      </c>
      <c r="P44" s="210">
        <f>'Evolutitve SCI'!AK3</f>
        <v>0</v>
      </c>
      <c r="Q44" s="210">
        <f>'Evolutitve SCI'!AL3</f>
        <v>0</v>
      </c>
      <c r="R44" s="210">
        <f>'Evolutitve SCI'!AM3</f>
        <v>0</v>
      </c>
      <c r="S44" s="210">
        <f>'Evolutitve SCI'!AN3</f>
        <v>0</v>
      </c>
      <c r="T44" s="210">
        <f>'Evolutitve SCI'!AO3</f>
        <v>0</v>
      </c>
      <c r="U44" s="210">
        <f>'Evolutitve SCI'!AP3</f>
        <v>0</v>
      </c>
      <c r="V44" s="210">
        <f>'Evolutitve SCI'!AQ3</f>
        <v>0</v>
      </c>
      <c r="W44" s="210">
        <f>'Evolutitve SCI'!AR3</f>
        <v>0</v>
      </c>
      <c r="X44" s="210">
        <f>'Evolutitve SCI'!AS3</f>
        <v>0</v>
      </c>
      <c r="Y44" s="210">
        <f>'Evolutitve SCI'!AT3</f>
        <v>0</v>
      </c>
      <c r="Z44" s="210">
        <f>'Evolutitve SCI'!AU3</f>
        <v>0</v>
      </c>
      <c r="AA44" s="210">
        <f>'Evolutitve SCI'!AV3</f>
        <v>0</v>
      </c>
      <c r="AB44" s="210">
        <f>'Evolutitve SCI'!AW3</f>
        <v>0</v>
      </c>
      <c r="AC44" s="210">
        <f>'Evolutitve SCI'!AX3</f>
        <v>0</v>
      </c>
      <c r="AD44" s="210">
        <f>'Evolutitve SCI'!AY3</f>
        <v>0</v>
      </c>
      <c r="AE44" s="210">
        <f>'Evolutitve SCI'!AZ3</f>
        <v>0</v>
      </c>
      <c r="AF44" s="210">
        <f>'Evolutitve SCI'!BA3</f>
        <v>0</v>
      </c>
    </row>
    <row r="45" spans="1:32" x14ac:dyDescent="0.3">
      <c r="A45" s="208" t="s">
        <v>143</v>
      </c>
      <c r="B45" s="209"/>
      <c r="C45" s="210">
        <v>82846137.390000001</v>
      </c>
      <c r="D45" s="210">
        <v>81638986</v>
      </c>
      <c r="E45" s="210">
        <v>107606388</v>
      </c>
      <c r="F45" s="210">
        <f>'Evolutitve SCI'!P19</f>
        <v>118329027</v>
      </c>
      <c r="G45" s="210">
        <f>'Evolutitve SCI'!AC19</f>
        <v>149907262.25</v>
      </c>
      <c r="H45" s="211">
        <v>59024775620.75</v>
      </c>
      <c r="I45" s="210">
        <f>'Evolutitve SCI'!AD19</f>
        <v>16557544</v>
      </c>
      <c r="J45" s="210">
        <f>'Evolutitve SCI'!AE19</f>
        <v>29218790.640000001</v>
      </c>
      <c r="K45" s="210">
        <f>'Evolutitve SCI'!AF19</f>
        <v>46929235.5</v>
      </c>
      <c r="L45" s="210">
        <f>'Evolutitve SCI'!AG19</f>
        <v>59245635.709999993</v>
      </c>
      <c r="M45" s="210">
        <f>'Evolutitve SCI'!AH19</f>
        <v>72265602.099999994</v>
      </c>
      <c r="N45" s="210">
        <f>'Evolutitve SCI'!AI19</f>
        <v>88142836.979999989</v>
      </c>
      <c r="O45" s="210">
        <f>'Evolutitve SCI'!AJ19</f>
        <v>0</v>
      </c>
      <c r="P45" s="210">
        <f>'Evolutitve SCI'!AK19</f>
        <v>0</v>
      </c>
      <c r="Q45" s="210">
        <f>'Evolutitve SCI'!AL19</f>
        <v>0</v>
      </c>
      <c r="R45" s="210">
        <f>'Evolutitve SCI'!AM19</f>
        <v>0</v>
      </c>
      <c r="S45" s="210">
        <f>'Evolutitve SCI'!AN19</f>
        <v>0</v>
      </c>
      <c r="T45" s="210">
        <f>'Evolutitve SCI'!AO19</f>
        <v>0</v>
      </c>
      <c r="U45" s="210">
        <f>'Evolutitve SCI'!AP19</f>
        <v>0</v>
      </c>
      <c r="V45" s="210">
        <f>'Evolutitve SCI'!AQ19</f>
        <v>0</v>
      </c>
      <c r="W45" s="210">
        <f>'Evolutitve SCI'!AR19</f>
        <v>0</v>
      </c>
      <c r="X45" s="210">
        <f>'Evolutitve SCI'!AS19</f>
        <v>0</v>
      </c>
      <c r="Y45" s="210">
        <f>'Evolutitve SCI'!AT19</f>
        <v>0</v>
      </c>
      <c r="Z45" s="210">
        <f>'Evolutitve SCI'!AU19</f>
        <v>0</v>
      </c>
      <c r="AA45" s="210">
        <f>'Evolutitve SCI'!AV19</f>
        <v>0</v>
      </c>
      <c r="AB45" s="210">
        <f>'Evolutitve SCI'!AW19</f>
        <v>0</v>
      </c>
      <c r="AC45" s="210">
        <f>'Evolutitve SCI'!AX19</f>
        <v>0</v>
      </c>
      <c r="AD45" s="210">
        <f>'Evolutitve SCI'!AY19</f>
        <v>0</v>
      </c>
      <c r="AE45" s="210">
        <f>'Evolutitve SCI'!AZ19</f>
        <v>0</v>
      </c>
      <c r="AF45" s="210">
        <f>'Evolutitve SCI'!BA19</f>
        <v>0</v>
      </c>
    </row>
    <row r="46" spans="1:32" x14ac:dyDescent="0.3">
      <c r="A46" s="208" t="s">
        <v>144</v>
      </c>
      <c r="B46" s="209"/>
      <c r="C46" s="210">
        <v>4015405</v>
      </c>
      <c r="D46" s="210">
        <v>0</v>
      </c>
      <c r="E46" s="210">
        <v>7910004</v>
      </c>
      <c r="F46" s="210">
        <f>'Evolutitve SCI'!P13</f>
        <v>6368527</v>
      </c>
      <c r="G46" s="210">
        <f>'Evolutitve SCI'!AC13</f>
        <v>7829871.75</v>
      </c>
      <c r="H46" s="211">
        <v>31005668817.139999</v>
      </c>
      <c r="I46" s="210">
        <f>'Evolutitve SCI'!AD13</f>
        <v>0</v>
      </c>
      <c r="J46" s="210">
        <f>'Evolutitve SCI'!AE13</f>
        <v>0</v>
      </c>
      <c r="K46" s="210">
        <f>'Evolutitve SCI'!AF13</f>
        <v>0</v>
      </c>
      <c r="L46" s="210">
        <f>'Evolutitve SCI'!AG13</f>
        <v>0</v>
      </c>
      <c r="M46" s="210">
        <f>'Evolutitve SCI'!AH13</f>
        <v>0</v>
      </c>
      <c r="N46" s="210">
        <f>'Evolutitve SCI'!AI13</f>
        <v>0</v>
      </c>
      <c r="O46" s="210">
        <f>'Evolutitve SCI'!AJ13</f>
        <v>0</v>
      </c>
      <c r="P46" s="210">
        <f>'Evolutitve SCI'!AK13</f>
        <v>0</v>
      </c>
      <c r="Q46" s="210">
        <f>'Evolutitve SCI'!AL13</f>
        <v>0</v>
      </c>
      <c r="R46" s="210">
        <f>'Evolutitve SCI'!AM13</f>
        <v>0</v>
      </c>
      <c r="S46" s="210">
        <f>'Evolutitve SCI'!AN13</f>
        <v>0</v>
      </c>
      <c r="T46" s="210">
        <f>'Evolutitve SCI'!AO13</f>
        <v>0</v>
      </c>
      <c r="U46" s="210">
        <f>'Evolutitve SCI'!AP13</f>
        <v>0</v>
      </c>
      <c r="V46" s="210">
        <f>'Evolutitve SCI'!AQ13</f>
        <v>0</v>
      </c>
      <c r="W46" s="210">
        <f>'Evolutitve SCI'!AR13</f>
        <v>0</v>
      </c>
      <c r="X46" s="210">
        <f>'Evolutitve SCI'!AS13</f>
        <v>0</v>
      </c>
      <c r="Y46" s="210">
        <f>'Evolutitve SCI'!AT13</f>
        <v>0</v>
      </c>
      <c r="Z46" s="210">
        <f>'Evolutitve SCI'!AU13</f>
        <v>0</v>
      </c>
      <c r="AA46" s="210">
        <f>'Evolutitve SCI'!AV13</f>
        <v>0</v>
      </c>
      <c r="AB46" s="210">
        <f>'Evolutitve SCI'!AW13</f>
        <v>0</v>
      </c>
      <c r="AC46" s="210">
        <f>'Evolutitve SCI'!AX13</f>
        <v>0</v>
      </c>
      <c r="AD46" s="210">
        <f>'Evolutitve SCI'!AY13</f>
        <v>0</v>
      </c>
      <c r="AE46" s="210">
        <f>'Evolutitve SCI'!AZ13</f>
        <v>0</v>
      </c>
      <c r="AF46" s="210">
        <f>'Evolutitve SCI'!BA13</f>
        <v>0</v>
      </c>
    </row>
    <row r="47" spans="1:32" x14ac:dyDescent="0.3">
      <c r="A47" s="208" t="s">
        <v>145</v>
      </c>
      <c r="B47" s="209"/>
      <c r="C47" s="210">
        <v>38826599</v>
      </c>
      <c r="D47" s="210">
        <v>24219227</v>
      </c>
      <c r="E47" s="210">
        <v>43081642</v>
      </c>
      <c r="F47" s="210">
        <f>'Evolutitve SCI'!P23</f>
        <v>47387554</v>
      </c>
      <c r="G47" s="210">
        <f>'Evolutitve SCI'!AC23</f>
        <v>50646966</v>
      </c>
      <c r="H47" s="211">
        <v>31376902878.380001</v>
      </c>
      <c r="I47" s="210">
        <f>'Evolutitve SCI'!AD23</f>
        <v>4442931</v>
      </c>
      <c r="J47" s="210">
        <f>'Evolutitve SCI'!AE23</f>
        <v>9751671.0099999998</v>
      </c>
      <c r="K47" s="210">
        <f>'Evolutitve SCI'!AF23</f>
        <v>15114694</v>
      </c>
      <c r="L47" s="210">
        <f>'Evolutitve SCI'!AG23</f>
        <v>19130429.689999998</v>
      </c>
      <c r="M47" s="210">
        <f>'Evolutitve SCI'!AH23</f>
        <v>24476548.560000002</v>
      </c>
      <c r="N47" s="210">
        <f>'Evolutitve SCI'!AI23</f>
        <v>29343211.960000001</v>
      </c>
      <c r="O47" s="210">
        <f>'Evolutitve SCI'!AJ23</f>
        <v>0</v>
      </c>
      <c r="P47" s="210">
        <f>'Evolutitve SCI'!AK23</f>
        <v>0</v>
      </c>
      <c r="Q47" s="210">
        <f>'Evolutitve SCI'!AL23</f>
        <v>0</v>
      </c>
      <c r="R47" s="210">
        <f>'Evolutitve SCI'!AM23</f>
        <v>0</v>
      </c>
      <c r="S47" s="210">
        <f>'Evolutitve SCI'!AN23</f>
        <v>0</v>
      </c>
      <c r="T47" s="210">
        <f>'Evolutitve SCI'!AO23</f>
        <v>0</v>
      </c>
      <c r="U47" s="210">
        <f>'Evolutitve SCI'!AP23</f>
        <v>0</v>
      </c>
      <c r="V47" s="210">
        <f>'Evolutitve SCI'!AQ23</f>
        <v>0</v>
      </c>
      <c r="W47" s="210">
        <f>'Evolutitve SCI'!AR23</f>
        <v>0</v>
      </c>
      <c r="X47" s="210">
        <f>'Evolutitve SCI'!AS23</f>
        <v>0</v>
      </c>
      <c r="Y47" s="210">
        <f>'Evolutitve SCI'!AT23</f>
        <v>0</v>
      </c>
      <c r="Z47" s="210">
        <f>'Evolutitve SCI'!AU23</f>
        <v>0</v>
      </c>
      <c r="AA47" s="210">
        <f>'Evolutitve SCI'!AV23</f>
        <v>0</v>
      </c>
      <c r="AB47" s="210">
        <f>'Evolutitve SCI'!AW23</f>
        <v>0</v>
      </c>
      <c r="AC47" s="210">
        <f>'Evolutitve SCI'!AX23</f>
        <v>0</v>
      </c>
      <c r="AD47" s="210">
        <f>'Evolutitve SCI'!AY23</f>
        <v>0</v>
      </c>
      <c r="AE47" s="210">
        <f>'Evolutitve SCI'!AZ23</f>
        <v>0</v>
      </c>
      <c r="AF47" s="210">
        <f>'Evolutitve SCI'!BA23</f>
        <v>0</v>
      </c>
    </row>
    <row r="48" spans="1:32" x14ac:dyDescent="0.3">
      <c r="A48" s="208" t="s">
        <v>146</v>
      </c>
      <c r="B48" s="209"/>
      <c r="C48" s="210">
        <v>52206140</v>
      </c>
      <c r="D48" s="210">
        <v>64803293</v>
      </c>
      <c r="E48" s="210">
        <v>91126237</v>
      </c>
      <c r="F48" s="210">
        <f>'Evolutitve SCI'!P5+'Evolutitve SCI'!P6</f>
        <v>117126237</v>
      </c>
      <c r="G48" s="210">
        <f>'Evolutitve SCI'!AC5+'Evolutitve SCI'!AC6</f>
        <v>145787327</v>
      </c>
      <c r="H48" s="211">
        <v>82630840854.470001</v>
      </c>
      <c r="I48" s="210">
        <f>'Evolutitve SCI'!AD5+'Evolutitve SCI'!AD6</f>
        <v>12566054</v>
      </c>
      <c r="J48" s="210">
        <f>'Evolutitve SCI'!AE5+'Evolutitve SCI'!AE6</f>
        <v>22398966.140000001</v>
      </c>
      <c r="K48" s="210">
        <f>'Evolutitve SCI'!AF5+'Evolutitve SCI'!AF6</f>
        <v>37979821</v>
      </c>
      <c r="L48" s="210">
        <f>'Evolutitve SCI'!AG5+'Evolutitve SCI'!AG6</f>
        <v>47081343.709999993</v>
      </c>
      <c r="M48" s="210">
        <f>'Evolutitve SCI'!AH5+'Evolutitve SCI'!AH6</f>
        <v>57757853.600000001</v>
      </c>
      <c r="N48" s="210">
        <f>'Evolutitve SCI'!AI5+'Evolutitve SCI'!AI6</f>
        <v>70837913.129999995</v>
      </c>
      <c r="O48" s="210">
        <f>'Evolutitve SCI'!AJ5+'Evolutitve SCI'!AJ6</f>
        <v>0</v>
      </c>
      <c r="P48" s="210">
        <f>'Evolutitve SCI'!AK5+'Evolutitve SCI'!AK6</f>
        <v>0</v>
      </c>
      <c r="Q48" s="210">
        <f>'Evolutitve SCI'!AL5+'Evolutitve SCI'!AL6</f>
        <v>0</v>
      </c>
      <c r="R48" s="210">
        <f>'Evolutitve SCI'!AM5+'Evolutitve SCI'!AM6</f>
        <v>0</v>
      </c>
      <c r="S48" s="210">
        <f>'Evolutitve SCI'!AN5+'Evolutitve SCI'!AN6</f>
        <v>0</v>
      </c>
      <c r="T48" s="210">
        <f>'Evolutitve SCI'!AO5+'Evolutitve SCI'!AO6</f>
        <v>0</v>
      </c>
      <c r="U48" s="210">
        <f>'Evolutitve SCI'!AP5+'Evolutitve SCI'!AP6</f>
        <v>0</v>
      </c>
      <c r="V48" s="210">
        <f>'Evolutitve SCI'!AQ5+'Evolutitve SCI'!AQ6</f>
        <v>0</v>
      </c>
      <c r="W48" s="210">
        <f>'Evolutitve SCI'!AR5+'Evolutitve SCI'!AR6</f>
        <v>0</v>
      </c>
      <c r="X48" s="210">
        <f>'Evolutitve SCI'!AS5+'Evolutitve SCI'!AS6</f>
        <v>0</v>
      </c>
      <c r="Y48" s="210">
        <f>'Evolutitve SCI'!AT5+'Evolutitve SCI'!AT6</f>
        <v>0</v>
      </c>
      <c r="Z48" s="210">
        <f>'Evolutitve SCI'!AU5+'Evolutitve SCI'!AU6</f>
        <v>0</v>
      </c>
      <c r="AA48" s="210">
        <f>'Evolutitve SCI'!AV5+'Evolutitve SCI'!AV6</f>
        <v>0</v>
      </c>
      <c r="AB48" s="210">
        <f>'Evolutitve SCI'!AW5+'Evolutitve SCI'!AW6</f>
        <v>0</v>
      </c>
      <c r="AC48" s="210">
        <f>'Evolutitve SCI'!AX5+'Evolutitve SCI'!AX6</f>
        <v>0</v>
      </c>
      <c r="AD48" s="210">
        <f>'Evolutitve SCI'!AY5+'Evolutitve SCI'!AY6</f>
        <v>0</v>
      </c>
      <c r="AE48" s="210">
        <f>'Evolutitve SCI'!AZ5+'Evolutitve SCI'!AZ6</f>
        <v>0</v>
      </c>
      <c r="AF48" s="210">
        <f>'Evolutitve SCI'!BA5+'Evolutitve SCI'!BA6</f>
        <v>0</v>
      </c>
    </row>
    <row r="49" spans="1:32" x14ac:dyDescent="0.3">
      <c r="A49" s="208" t="s">
        <v>85</v>
      </c>
      <c r="B49" s="209"/>
      <c r="C49" s="210">
        <v>45969282</v>
      </c>
      <c r="D49" s="210">
        <v>29436831</v>
      </c>
      <c r="E49" s="210">
        <v>58717608</v>
      </c>
      <c r="F49" s="210">
        <f>'Evolutitve SCI'!P39</f>
        <v>56688214</v>
      </c>
      <c r="G49" s="210">
        <f>'Evolutitve SCI'!AC39</f>
        <v>64036925.75</v>
      </c>
      <c r="H49" s="211">
        <v>68485692296.839996</v>
      </c>
      <c r="I49" s="210">
        <f>'Evolutitve SCI'!AD39</f>
        <v>4677656</v>
      </c>
      <c r="J49" s="210">
        <f>'Evolutitve SCI'!AE39</f>
        <v>10046241.01</v>
      </c>
      <c r="K49" s="210">
        <f>'Evolutitve SCI'!AF39</f>
        <v>15774892</v>
      </c>
      <c r="L49" s="210">
        <f>'Evolutitve SCI'!AG39</f>
        <v>0</v>
      </c>
      <c r="M49" s="210">
        <f>'Evolutitve SCI'!AH39</f>
        <v>0</v>
      </c>
      <c r="N49" s="210">
        <f>'Evolutitve SCI'!AI39</f>
        <v>0</v>
      </c>
      <c r="O49" s="210">
        <f>'Evolutitve SCI'!AJ39</f>
        <v>0</v>
      </c>
      <c r="P49" s="210">
        <f>'Evolutitve SCI'!AK39</f>
        <v>0</v>
      </c>
      <c r="Q49" s="210">
        <f>'Evolutitve SCI'!AL39</f>
        <v>0</v>
      </c>
      <c r="R49" s="210">
        <f>'Evolutitve SCI'!AM39</f>
        <v>0</v>
      </c>
      <c r="S49" s="210">
        <f>'Evolutitve SCI'!AN39</f>
        <v>0</v>
      </c>
      <c r="T49" s="210">
        <f>'Evolutitve SCI'!AO39</f>
        <v>0</v>
      </c>
      <c r="U49" s="210">
        <f>'Evolutitve SCI'!AP39</f>
        <v>0</v>
      </c>
      <c r="V49" s="210">
        <f>'Evolutitve SCI'!AQ39</f>
        <v>0</v>
      </c>
      <c r="W49" s="210">
        <f>'Evolutitve SCI'!AR39</f>
        <v>0</v>
      </c>
      <c r="X49" s="210">
        <f>'Evolutitve SCI'!AS39</f>
        <v>0</v>
      </c>
      <c r="Y49" s="210">
        <f>'Evolutitve SCI'!AT39</f>
        <v>0</v>
      </c>
      <c r="Z49" s="210">
        <f>'Evolutitve SCI'!AU39</f>
        <v>0</v>
      </c>
      <c r="AA49" s="210">
        <f>'Evolutitve SCI'!AV39</f>
        <v>0</v>
      </c>
      <c r="AB49" s="210">
        <f>'Evolutitve SCI'!AW39</f>
        <v>0</v>
      </c>
      <c r="AC49" s="210">
        <f>'Evolutitve SCI'!AX39</f>
        <v>0</v>
      </c>
      <c r="AD49" s="210">
        <f>'Evolutitve SCI'!AY39</f>
        <v>0</v>
      </c>
      <c r="AE49" s="210">
        <f>'Evolutitve SCI'!AZ39</f>
        <v>0</v>
      </c>
      <c r="AF49" s="210">
        <f>'Evolutitve SCI'!BA39</f>
        <v>0</v>
      </c>
    </row>
    <row r="50" spans="1:32" x14ac:dyDescent="0.3">
      <c r="A50" s="208" t="s">
        <v>147</v>
      </c>
      <c r="B50" s="209"/>
      <c r="C50" s="210">
        <v>37288428.390000001</v>
      </c>
      <c r="D50" s="210">
        <v>23154132</v>
      </c>
      <c r="E50" s="210">
        <v>14962540</v>
      </c>
      <c r="F50" s="210">
        <f>'Evolutitve SCI'!P37</f>
        <v>19555429</v>
      </c>
      <c r="G50" s="210">
        <f>'Evolutitve SCI'!AC37</f>
        <v>39683249.950000003</v>
      </c>
      <c r="H50" s="211">
        <v>24476622262.630001</v>
      </c>
      <c r="I50" s="210">
        <f>'Evolutitve SCI'!AD37</f>
        <v>11631964</v>
      </c>
      <c r="J50" s="210">
        <f>'Evolutitve SCI'!AE37</f>
        <v>15383558.380000001</v>
      </c>
      <c r="K50" s="210">
        <f>'Evolutitve SCI'!AF37</f>
        <v>11501541.5</v>
      </c>
      <c r="L50" s="210">
        <f>'Evolutitve SCI'!AG37</f>
        <v>1692221.179999996</v>
      </c>
      <c r="M50" s="210">
        <f>'Evolutitve SCI'!AH37</f>
        <v>9601533.5899999924</v>
      </c>
      <c r="N50" s="210">
        <f>'Evolutitve SCI'!AI37</f>
        <v>20116411.069999989</v>
      </c>
      <c r="O50" s="210">
        <f>'Evolutitve SCI'!AJ37</f>
        <v>0</v>
      </c>
      <c r="P50" s="210">
        <f>'Evolutitve SCI'!AK37</f>
        <v>0</v>
      </c>
      <c r="Q50" s="210">
        <f>'Evolutitve SCI'!AL37</f>
        <v>0</v>
      </c>
      <c r="R50" s="210">
        <f>'Evolutitve SCI'!AM37</f>
        <v>0</v>
      </c>
      <c r="S50" s="210">
        <f>'Evolutitve SCI'!AN37</f>
        <v>0</v>
      </c>
      <c r="T50" s="210">
        <f>'Evolutitve SCI'!AO37</f>
        <v>0</v>
      </c>
      <c r="U50" s="210">
        <f>'Evolutitve SCI'!AP37</f>
        <v>0</v>
      </c>
      <c r="V50" s="210">
        <f>'Evolutitve SCI'!AQ37</f>
        <v>0</v>
      </c>
      <c r="W50" s="210">
        <f>'Evolutitve SCI'!AR37</f>
        <v>0</v>
      </c>
      <c r="X50" s="210">
        <f>'Evolutitve SCI'!AS37</f>
        <v>0</v>
      </c>
      <c r="Y50" s="210">
        <f>'Evolutitve SCI'!AT37</f>
        <v>0</v>
      </c>
      <c r="Z50" s="210">
        <f>'Evolutitve SCI'!AU37</f>
        <v>0</v>
      </c>
      <c r="AA50" s="210">
        <f>'Evolutitve SCI'!AV37</f>
        <v>0</v>
      </c>
      <c r="AB50" s="210">
        <f>'Evolutitve SCI'!AW37</f>
        <v>0</v>
      </c>
      <c r="AC50" s="210">
        <f>'Evolutitve SCI'!AX37</f>
        <v>0</v>
      </c>
      <c r="AD50" s="210">
        <f>'Evolutitve SCI'!AY37</f>
        <v>0</v>
      </c>
      <c r="AE50" s="210">
        <f>'Evolutitve SCI'!AZ37</f>
        <v>0</v>
      </c>
      <c r="AF50" s="210">
        <f>'Evolutitve SCI'!BA37</f>
        <v>0</v>
      </c>
    </row>
    <row r="51" spans="1:32" x14ac:dyDescent="0.3">
      <c r="A51" s="213" t="s">
        <v>148</v>
      </c>
      <c r="B51" s="214"/>
      <c r="C51" s="215"/>
      <c r="D51" s="215"/>
      <c r="E51" s="216"/>
      <c r="F51" s="215"/>
      <c r="G51" s="215"/>
      <c r="H51" s="217"/>
      <c r="I51" s="217"/>
      <c r="J51" s="215"/>
    </row>
  </sheetData>
  <mergeCells count="12">
    <mergeCell ref="A28:H28"/>
    <mergeCell ref="A1:H1"/>
    <mergeCell ref="A2:H2"/>
    <mergeCell ref="B3:B4"/>
    <mergeCell ref="D3:E3"/>
    <mergeCell ref="F3:F4"/>
    <mergeCell ref="H3:H4"/>
    <mergeCell ref="A5:H5"/>
    <mergeCell ref="A9:H9"/>
    <mergeCell ref="A14:H14"/>
    <mergeCell ref="A19:H19"/>
    <mergeCell ref="A23:H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6" sqref="I16"/>
    </sheetView>
  </sheetViews>
  <sheetFormatPr defaultRowHeight="14.4" x14ac:dyDescent="0.3"/>
  <cols>
    <col min="1" max="1" width="54.88671875" style="114" bestFit="1" customWidth="1"/>
    <col min="2" max="2" width="15" style="114" bestFit="1" customWidth="1"/>
    <col min="3" max="3" width="15.109375" style="114" customWidth="1"/>
    <col min="4" max="4" width="17.6640625" style="118" bestFit="1" customWidth="1"/>
    <col min="5" max="5" width="13.5546875" bestFit="1" customWidth="1"/>
    <col min="6" max="6" width="11.5546875" bestFit="1" customWidth="1"/>
    <col min="8" max="8" width="16" bestFit="1" customWidth="1"/>
    <col min="10" max="10" width="10.6640625" bestFit="1" customWidth="1"/>
  </cols>
  <sheetData>
    <row r="1" spans="1:10" x14ac:dyDescent="0.3">
      <c r="A1" s="265" t="s">
        <v>296</v>
      </c>
      <c r="B1" s="265"/>
      <c r="C1" s="265"/>
    </row>
    <row r="2" spans="1:10" ht="15.6" x14ac:dyDescent="0.3">
      <c r="A2" s="77"/>
      <c r="B2" s="78">
        <v>2020</v>
      </c>
      <c r="C2" s="78">
        <v>2021</v>
      </c>
      <c r="D2" s="119" t="s">
        <v>297</v>
      </c>
      <c r="E2" t="s">
        <v>298</v>
      </c>
    </row>
    <row r="3" spans="1:10" x14ac:dyDescent="0.3">
      <c r="A3" s="79" t="s">
        <v>299</v>
      </c>
      <c r="B3" s="80"/>
      <c r="C3" s="81"/>
    </row>
    <row r="4" spans="1:10" x14ac:dyDescent="0.3">
      <c r="A4" s="82" t="s">
        <v>300</v>
      </c>
      <c r="B4" s="83"/>
      <c r="C4" s="84"/>
    </row>
    <row r="5" spans="1:10" x14ac:dyDescent="0.3">
      <c r="A5" s="85" t="s">
        <v>301</v>
      </c>
      <c r="B5" s="86"/>
      <c r="C5" s="87"/>
      <c r="J5" t="s">
        <v>302</v>
      </c>
    </row>
    <row r="6" spans="1:10" ht="15.6" x14ac:dyDescent="0.4">
      <c r="A6" s="85" t="s">
        <v>303</v>
      </c>
      <c r="B6" s="88"/>
      <c r="C6" s="89"/>
      <c r="D6" s="120"/>
      <c r="J6" t="s">
        <v>302</v>
      </c>
    </row>
    <row r="7" spans="1:10" ht="15.6" x14ac:dyDescent="0.4">
      <c r="A7" s="85" t="s">
        <v>304</v>
      </c>
      <c r="B7" s="83"/>
      <c r="C7" s="87"/>
      <c r="D7" s="120"/>
      <c r="E7" s="88"/>
      <c r="F7" s="89"/>
    </row>
    <row r="8" spans="1:10" ht="17.399999999999999" x14ac:dyDescent="0.55000000000000004">
      <c r="A8" s="90" t="s">
        <v>305</v>
      </c>
      <c r="B8" s="91">
        <f>B4+B5+B6+B7</f>
        <v>0</v>
      </c>
      <c r="C8" s="92">
        <f>SUM(C4:C7)</f>
        <v>0</v>
      </c>
      <c r="D8" s="121">
        <f>SUM(D4:D7)</f>
        <v>0</v>
      </c>
      <c r="H8" s="93"/>
    </row>
    <row r="9" spans="1:10" x14ac:dyDescent="0.3">
      <c r="A9" s="85" t="s">
        <v>306</v>
      </c>
      <c r="B9" s="86"/>
      <c r="C9" s="87"/>
      <c r="D9" s="120"/>
      <c r="E9" s="94"/>
    </row>
    <row r="10" spans="1:10" x14ac:dyDescent="0.3">
      <c r="A10" s="85" t="s">
        <v>307</v>
      </c>
      <c r="B10" s="86"/>
      <c r="C10" s="87"/>
    </row>
    <row r="11" spans="1:10" x14ac:dyDescent="0.3">
      <c r="A11" s="85" t="s">
        <v>308</v>
      </c>
      <c r="B11" s="86"/>
      <c r="C11" s="87"/>
      <c r="D11" s="120"/>
    </row>
    <row r="12" spans="1:10" x14ac:dyDescent="0.3">
      <c r="A12" s="85" t="s">
        <v>309</v>
      </c>
      <c r="B12" s="86"/>
      <c r="C12" s="87"/>
    </row>
    <row r="13" spans="1:10" ht="15.6" x14ac:dyDescent="0.4">
      <c r="A13" s="85" t="s">
        <v>310</v>
      </c>
      <c r="B13" s="95"/>
      <c r="C13" s="89"/>
      <c r="H13" s="118"/>
    </row>
    <row r="14" spans="1:10" x14ac:dyDescent="0.3">
      <c r="A14" s="96" t="s">
        <v>311</v>
      </c>
      <c r="B14" s="97">
        <f>SUM(B9:B13)</f>
        <v>0</v>
      </c>
      <c r="C14" s="98">
        <f>SUM(C9:C13)</f>
        <v>0</v>
      </c>
      <c r="D14" s="122">
        <f>SUM(D9:D13)</f>
        <v>0</v>
      </c>
      <c r="H14" s="118"/>
    </row>
    <row r="15" spans="1:10" x14ac:dyDescent="0.3">
      <c r="A15" s="99" t="s">
        <v>312</v>
      </c>
      <c r="B15" s="86"/>
      <c r="C15" s="87"/>
      <c r="H15" s="118"/>
    </row>
    <row r="16" spans="1:10" x14ac:dyDescent="0.3">
      <c r="A16" s="99" t="s">
        <v>313</v>
      </c>
      <c r="B16" s="83"/>
      <c r="C16" s="87"/>
      <c r="H16" s="118"/>
    </row>
    <row r="17" spans="1:8" ht="15.6" x14ac:dyDescent="0.4">
      <c r="A17" s="99" t="s">
        <v>314</v>
      </c>
      <c r="B17" s="95"/>
      <c r="C17" s="89"/>
      <c r="H17" s="118"/>
    </row>
    <row r="18" spans="1:8" x14ac:dyDescent="0.3">
      <c r="A18" s="100" t="s">
        <v>315</v>
      </c>
      <c r="B18" s="101">
        <f>B8+B14+B15+B16+B17</f>
        <v>0</v>
      </c>
      <c r="C18" s="102">
        <f>C8+C14+C15+C16+C17</f>
        <v>0</v>
      </c>
      <c r="D18" s="122">
        <f>D8+D14+D15+D16+D17</f>
        <v>0</v>
      </c>
      <c r="H18" s="118"/>
    </row>
    <row r="19" spans="1:8" ht="15.6" x14ac:dyDescent="0.4">
      <c r="A19" s="99" t="s">
        <v>316</v>
      </c>
      <c r="B19" s="95"/>
      <c r="C19" s="89"/>
      <c r="H19" s="118"/>
    </row>
    <row r="20" spans="1:8" ht="17.399999999999999" x14ac:dyDescent="0.55000000000000004">
      <c r="A20" s="100" t="s">
        <v>317</v>
      </c>
      <c r="B20" s="103"/>
      <c r="C20" s="104"/>
      <c r="D20" s="121"/>
      <c r="F20" s="118"/>
      <c r="H20" s="49"/>
    </row>
    <row r="21" spans="1:8" x14ac:dyDescent="0.3">
      <c r="A21" s="99"/>
      <c r="B21" s="105"/>
      <c r="C21" s="87"/>
    </row>
    <row r="22" spans="1:8" x14ac:dyDescent="0.3">
      <c r="A22" s="100" t="s">
        <v>318</v>
      </c>
      <c r="B22" s="106"/>
      <c r="C22" s="107"/>
      <c r="D22" s="123"/>
    </row>
    <row r="23" spans="1:8" x14ac:dyDescent="0.3">
      <c r="A23" s="99" t="s">
        <v>319</v>
      </c>
      <c r="B23" s="83"/>
      <c r="C23" s="87"/>
    </row>
    <row r="24" spans="1:8" x14ac:dyDescent="0.3">
      <c r="A24" s="99" t="s">
        <v>320</v>
      </c>
      <c r="B24" s="83"/>
      <c r="C24" s="87"/>
    </row>
    <row r="25" spans="1:8" x14ac:dyDescent="0.3">
      <c r="A25" s="99" t="s">
        <v>321</v>
      </c>
      <c r="B25" s="83"/>
      <c r="C25" s="87"/>
    </row>
    <row r="26" spans="1:8" x14ac:dyDescent="0.3">
      <c r="A26" s="99" t="s">
        <v>322</v>
      </c>
      <c r="B26" s="83"/>
      <c r="C26" s="87"/>
      <c r="D26" s="120"/>
    </row>
    <row r="27" spans="1:8" ht="15.6" x14ac:dyDescent="0.4">
      <c r="A27" s="99" t="s">
        <v>323</v>
      </c>
      <c r="B27" s="95"/>
      <c r="C27" s="89"/>
      <c r="D27" s="120"/>
    </row>
    <row r="28" spans="1:8" ht="17.399999999999999" x14ac:dyDescent="0.55000000000000004">
      <c r="A28" s="100" t="s">
        <v>324</v>
      </c>
      <c r="B28" s="91">
        <f>SUM(B23:B27)</f>
        <v>0</v>
      </c>
      <c r="C28" s="92">
        <f>SUM(C23:C27)</f>
        <v>0</v>
      </c>
      <c r="D28" s="121">
        <f>SUM(D23:D27)</f>
        <v>0</v>
      </c>
    </row>
    <row r="29" spans="1:8" x14ac:dyDescent="0.3">
      <c r="A29" s="99"/>
      <c r="B29" s="105"/>
      <c r="C29" s="108"/>
    </row>
    <row r="30" spans="1:8" x14ac:dyDescent="0.3">
      <c r="A30" s="100" t="s">
        <v>325</v>
      </c>
      <c r="B30" s="106"/>
      <c r="C30" s="107"/>
      <c r="D30" s="123"/>
    </row>
    <row r="31" spans="1:8" x14ac:dyDescent="0.3">
      <c r="A31" s="99" t="s">
        <v>326</v>
      </c>
      <c r="B31" s="83"/>
      <c r="C31" s="87"/>
    </row>
    <row r="32" spans="1:8" x14ac:dyDescent="0.3">
      <c r="A32" s="99" t="s">
        <v>327</v>
      </c>
      <c r="B32" s="83"/>
      <c r="C32" s="87"/>
    </row>
    <row r="33" spans="1:4" x14ac:dyDescent="0.3">
      <c r="A33" s="99" t="s">
        <v>328</v>
      </c>
      <c r="B33" s="83"/>
      <c r="C33" s="87"/>
    </row>
    <row r="34" spans="1:4" x14ac:dyDescent="0.3">
      <c r="A34" s="99" t="s">
        <v>329</v>
      </c>
      <c r="B34" s="83"/>
      <c r="C34" s="87"/>
      <c r="D34" s="120"/>
    </row>
    <row r="35" spans="1:4" x14ac:dyDescent="0.3">
      <c r="A35" s="99" t="s">
        <v>330</v>
      </c>
      <c r="B35" s="83"/>
      <c r="C35" s="87"/>
      <c r="D35" s="120"/>
    </row>
    <row r="36" spans="1:4" x14ac:dyDescent="0.3">
      <c r="A36" s="99" t="s">
        <v>331</v>
      </c>
      <c r="B36" s="83"/>
      <c r="C36" s="87"/>
      <c r="D36" s="120"/>
    </row>
    <row r="37" spans="1:4" ht="17.399999999999999" x14ac:dyDescent="0.55000000000000004">
      <c r="A37" s="100" t="s">
        <v>332</v>
      </c>
      <c r="B37" s="91">
        <f>SUM(B31:B36)</f>
        <v>0</v>
      </c>
      <c r="C37" s="92">
        <f>SUM(C31:C36)</f>
        <v>0</v>
      </c>
      <c r="D37" s="121">
        <f>SUM(D31:D36)</f>
        <v>0</v>
      </c>
    </row>
    <row r="38" spans="1:4" x14ac:dyDescent="0.3">
      <c r="A38" s="100" t="s">
        <v>333</v>
      </c>
      <c r="B38" s="109">
        <f>B20+B28+B37</f>
        <v>0</v>
      </c>
      <c r="C38" s="110">
        <f>C20+C28+C37</f>
        <v>0</v>
      </c>
      <c r="D38" s="123">
        <f>D20+D28+D37</f>
        <v>0</v>
      </c>
    </row>
    <row r="39" spans="1:4" ht="15.6" x14ac:dyDescent="0.4">
      <c r="A39" s="99" t="s">
        <v>334</v>
      </c>
      <c r="B39" s="111"/>
      <c r="C39" s="112"/>
      <c r="D39" s="120"/>
    </row>
    <row r="40" spans="1:4" ht="17.399999999999999" x14ac:dyDescent="0.55000000000000004">
      <c r="A40" s="100" t="s">
        <v>335</v>
      </c>
      <c r="B40" s="103">
        <f>SUM(B38:B39)</f>
        <v>0</v>
      </c>
      <c r="C40" s="113">
        <f>SUM(C38:C39)</f>
        <v>0</v>
      </c>
      <c r="D40" s="124">
        <f>SUM(D38:D39)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T14"/>
  <sheetViews>
    <sheetView topLeftCell="B1" workbookViewId="0">
      <selection activeCell="D14" sqref="D14"/>
    </sheetView>
  </sheetViews>
  <sheetFormatPr defaultRowHeight="14.4" x14ac:dyDescent="0.3"/>
  <cols>
    <col min="1" max="1" width="16.88671875" bestFit="1" customWidth="1"/>
    <col min="2" max="2" width="15.5546875" bestFit="1" customWidth="1"/>
    <col min="3" max="4" width="15.88671875" bestFit="1" customWidth="1"/>
    <col min="5" max="5" width="15.5546875" bestFit="1" customWidth="1"/>
    <col min="6" max="6" width="15.88671875" bestFit="1" customWidth="1"/>
    <col min="7" max="8" width="15.5546875" bestFit="1" customWidth="1"/>
    <col min="9" max="9" width="15.88671875" bestFit="1" customWidth="1"/>
    <col min="10" max="10" width="14.6640625" bestFit="1" customWidth="1"/>
    <col min="11" max="14" width="15.88671875" bestFit="1" customWidth="1"/>
    <col min="15" max="15" width="15.109375" bestFit="1" customWidth="1"/>
    <col min="16" max="20" width="15.88671875" bestFit="1" customWidth="1"/>
  </cols>
  <sheetData>
    <row r="2" spans="1:20" ht="15" x14ac:dyDescent="0.3">
      <c r="B2" s="145" t="s">
        <v>0</v>
      </c>
      <c r="C2" s="145" t="s">
        <v>283</v>
      </c>
      <c r="D2" s="165">
        <v>44197</v>
      </c>
      <c r="E2" s="165">
        <v>44229</v>
      </c>
      <c r="F2" s="165">
        <v>44258</v>
      </c>
      <c r="G2" s="165">
        <v>44290</v>
      </c>
      <c r="H2" s="165">
        <v>44321</v>
      </c>
      <c r="I2" s="165">
        <v>44353</v>
      </c>
      <c r="J2" s="165">
        <v>44384</v>
      </c>
      <c r="K2" s="165">
        <v>44416</v>
      </c>
      <c r="L2" s="165">
        <v>44448</v>
      </c>
      <c r="M2" s="165">
        <v>44479</v>
      </c>
      <c r="N2" s="165">
        <v>44511</v>
      </c>
      <c r="O2" s="165">
        <v>44542</v>
      </c>
      <c r="P2" s="165" t="s">
        <v>284</v>
      </c>
      <c r="Q2" s="165">
        <v>44563</v>
      </c>
      <c r="R2" s="165">
        <v>44595</v>
      </c>
      <c r="S2" s="165">
        <v>44624</v>
      </c>
      <c r="T2" s="165">
        <v>44656</v>
      </c>
    </row>
    <row r="3" spans="1:20" x14ac:dyDescent="0.3">
      <c r="A3" s="146" t="s">
        <v>261</v>
      </c>
      <c r="B3" s="2" t="str">
        <f>IF(CAELS!D3&gt;10,"Compliant","Non-Compliant")</f>
        <v>Compliant</v>
      </c>
      <c r="C3" s="2" t="str">
        <f>IF(CAELS!E3&gt;10,"Compliant","Non-Compliant")</f>
        <v>Compliant</v>
      </c>
      <c r="D3" s="2" t="str">
        <f>IF(CAELS!F3&gt;10,"Compliant","Non-Compliant")</f>
        <v>Compliant</v>
      </c>
      <c r="E3" s="2" t="str">
        <f>IF(CAELS!G3&gt;10,"Compliant","Non-Compliant")</f>
        <v>Compliant</v>
      </c>
      <c r="F3" s="2" t="str">
        <f>IF(CAELS!H3&gt;10,"Compliant","Non-Compliant")</f>
        <v>Compliant</v>
      </c>
      <c r="G3" s="2" t="str">
        <f>IF(CAELS!I3&gt;10,"Compliant","Non-Compliant")</f>
        <v>Compliant</v>
      </c>
      <c r="H3" s="2" t="str">
        <f>IF(CAELS!J3&gt;10,"Compliant","Non-Compliant")</f>
        <v>Compliant</v>
      </c>
      <c r="I3" s="2" t="str">
        <f>IF(CAELS!K3&gt;10,"Compliant","Non-Compliant")</f>
        <v>Compliant</v>
      </c>
      <c r="J3" s="2" t="str">
        <f>IF(CAELS!L3&gt;10,"Compliant","Non-Compliant")</f>
        <v>Compliant</v>
      </c>
      <c r="K3" s="2" t="str">
        <f>IF(CAELS!M3&gt;10,"Compliant","Non-Compliant")</f>
        <v>Compliant</v>
      </c>
      <c r="L3" s="2" t="str">
        <f>IF(CAELS!N3&gt;10,"Compliant","Non-Compliant")</f>
        <v>Compliant</v>
      </c>
      <c r="M3" s="2" t="str">
        <f>IF(CAELS!O3&gt;10,"Compliant","Non-Compliant")</f>
        <v>Compliant</v>
      </c>
      <c r="N3" s="2" t="str">
        <f>IF(CAELS!P3&gt;10,"Compliant","Non-Compliant")</f>
        <v>Compliant</v>
      </c>
      <c r="O3" s="2" t="str">
        <f>IF(CAELS!Q3&gt;10,"Compliant","Non-Compliant")</f>
        <v>Compliant</v>
      </c>
      <c r="P3" s="2" t="str">
        <f>IF(CAELS!R3&gt;10,"Compliant","Non-Compliant")</f>
        <v>Compliant</v>
      </c>
      <c r="Q3" s="2" t="str">
        <f>IF(CAELS!S3&gt;10,"Compliant","Non-Compliant")</f>
        <v>Compliant</v>
      </c>
      <c r="R3" s="2" t="str">
        <f>IF(CAELS!T3&gt;10,"Compliant","Non-Compliant")</f>
        <v>Compliant</v>
      </c>
      <c r="S3" s="2" t="str">
        <f>IF(CAELS!U3&gt;10,"Compliant","Non-Compliant")</f>
        <v>Compliant</v>
      </c>
      <c r="T3" s="2" t="str">
        <f>IF(CAELS!V3&gt;10,"Compliant","Non-Compliant")</f>
        <v>Compliant</v>
      </c>
    </row>
    <row r="4" spans="1:20" x14ac:dyDescent="0.3">
      <c r="A4" s="147" t="s">
        <v>285</v>
      </c>
      <c r="B4" s="2" t="str">
        <f>IF(CAELS!D4&gt;10%,"Compliant","Non-Compliant")</f>
        <v>Compliant</v>
      </c>
      <c r="C4" s="2" t="str">
        <f>IF(CAELS!E4&gt;10%,"Compliant","Non-Compliant")</f>
        <v>Compliant</v>
      </c>
      <c r="D4" s="2" t="str">
        <f>IF(CAELS!F4&gt;10%,"Compliant","Non-Compliant")</f>
        <v>Compliant</v>
      </c>
      <c r="E4" s="2" t="str">
        <f>IF(CAELS!G4&gt;10%,"Compliant","Non-Compliant")</f>
        <v>Compliant</v>
      </c>
      <c r="F4" s="2" t="str">
        <f>IF(CAELS!H4&gt;10%,"Compliant","Non-Compliant")</f>
        <v>Compliant</v>
      </c>
      <c r="G4" s="2" t="str">
        <f>IF(CAELS!I4&gt;10%,"Compliant","Non-Compliant")</f>
        <v>Compliant</v>
      </c>
      <c r="H4" s="2" t="str">
        <f>IF(CAELS!J4&gt;10%,"Compliant","Non-Compliant")</f>
        <v>Compliant</v>
      </c>
      <c r="I4" s="2" t="str">
        <f>IF(CAELS!K4&gt;10%,"Compliant","Non-Compliant")</f>
        <v>Compliant</v>
      </c>
      <c r="J4" s="2" t="str">
        <f>IF(CAELS!L4&gt;10%,"Compliant","Non-Compliant")</f>
        <v>Compliant</v>
      </c>
      <c r="K4" s="2" t="str">
        <f>IF(CAELS!M4&gt;10%,"Compliant","Non-Compliant")</f>
        <v>Compliant</v>
      </c>
      <c r="L4" s="2" t="str">
        <f>IF(CAELS!N4&gt;10%,"Compliant","Non-Compliant")</f>
        <v>Compliant</v>
      </c>
      <c r="M4" s="2" t="str">
        <f>IF(CAELS!O4&gt;10%,"Compliant","Non-Compliant")</f>
        <v>Compliant</v>
      </c>
      <c r="N4" s="2" t="str">
        <f>IF(CAELS!P4&gt;10%,"Compliant","Non-Compliant")</f>
        <v>Compliant</v>
      </c>
      <c r="O4" s="2" t="str">
        <f>IF(CAELS!Q4&gt;10%,"Compliant","Non-Compliant")</f>
        <v>Compliant</v>
      </c>
      <c r="P4" s="2" t="str">
        <f>IF(CAELS!R4&gt;10%,"Compliant","Non-Compliant")</f>
        <v>Compliant</v>
      </c>
      <c r="Q4" s="2" t="str">
        <f>IF(CAELS!S4&gt;10%,"Compliant","Non-Compliant")</f>
        <v>Compliant</v>
      </c>
      <c r="R4" s="2" t="str">
        <f>IF(CAELS!T4&gt;10%,"Compliant","Non-Compliant")</f>
        <v>Compliant</v>
      </c>
      <c r="S4" s="2" t="str">
        <f>IF(CAELS!U4&gt;10%,"Compliant","Non-Compliant")</f>
        <v>Compliant</v>
      </c>
      <c r="T4" s="2" t="str">
        <f>IF(CAELS!V4&gt;10%,"Compliant","Non-Compliant")</f>
        <v>Compliant</v>
      </c>
    </row>
    <row r="5" spans="1:20" x14ac:dyDescent="0.3">
      <c r="A5" s="147" t="s">
        <v>286</v>
      </c>
      <c r="B5" s="2" t="str">
        <f>IF(CAELS!D6&gt;8%,"Compliant","Non-Compliant")</f>
        <v>Non-Compliant</v>
      </c>
      <c r="C5" s="2" t="str">
        <f>IF(CAELS!E6&gt;8%,"Compliant","Non-Compliant")</f>
        <v>Compliant</v>
      </c>
      <c r="D5" s="2" t="str">
        <f>IF(CAELS!F6&gt;8%,"Compliant","Non-Compliant")</f>
        <v>Compliant</v>
      </c>
      <c r="E5" s="2" t="str">
        <f>IF(CAELS!G6&gt;8%,"Compliant","Non-Compliant")</f>
        <v>Compliant</v>
      </c>
      <c r="F5" s="2" t="str">
        <f>IF(CAELS!H6&gt;8%,"Compliant","Non-Compliant")</f>
        <v>Compliant</v>
      </c>
      <c r="G5" s="2" t="str">
        <f>IF(CAELS!I6&gt;8%,"Compliant","Non-Compliant")</f>
        <v>Compliant</v>
      </c>
      <c r="H5" s="2" t="str">
        <f>IF(CAELS!J6&gt;8%,"Compliant","Non-Compliant")</f>
        <v>Compliant</v>
      </c>
      <c r="I5" s="2" t="str">
        <f>IF(CAELS!K6&gt;8%,"Compliant","Non-Compliant")</f>
        <v>Compliant</v>
      </c>
      <c r="J5" s="2" t="str">
        <f>IF(CAELS!L6&gt;8%,"Compliant","Non-Compliant")</f>
        <v>Compliant</v>
      </c>
      <c r="K5" s="2" t="str">
        <f>IF(CAELS!M6&gt;8%,"Compliant","Non-Compliant")</f>
        <v>Compliant</v>
      </c>
      <c r="L5" s="2" t="str">
        <f>IF(CAELS!N6&gt;8%,"Compliant","Non-Compliant")</f>
        <v>Compliant</v>
      </c>
      <c r="M5" s="2" t="str">
        <f>IF(CAELS!O6&gt;8%,"Compliant","Non-Compliant")</f>
        <v>Compliant</v>
      </c>
      <c r="N5" s="2" t="str">
        <f>IF(CAELS!P6&gt;8%,"Compliant","Non-Compliant")</f>
        <v>Compliant</v>
      </c>
      <c r="O5" s="2" t="str">
        <f>IF(CAELS!Q6&gt;8%,"Compliant","Non-Compliant")</f>
        <v>Compliant</v>
      </c>
      <c r="P5" s="2" t="str">
        <f>IF(CAELS!R6&gt;8%,"Compliant","Non-Compliant")</f>
        <v>Compliant</v>
      </c>
      <c r="Q5" s="2" t="str">
        <f>IF(CAELS!S6&gt;8%,"Compliant","Non-Compliant")</f>
        <v>Compliant</v>
      </c>
      <c r="R5" s="2" t="str">
        <f>IF(CAELS!T6&gt;8%,"Compliant","Non-Compliant")</f>
        <v>Compliant</v>
      </c>
      <c r="S5" s="2" t="str">
        <f>IF(CAELS!U6&gt;8%,"Compliant","Non-Compliant")</f>
        <v>Compliant</v>
      </c>
      <c r="T5" s="2" t="str">
        <f>IF(CAELS!V6&gt;8%,"Compliant","Non-Compliant")</f>
        <v>Compliant</v>
      </c>
    </row>
    <row r="6" spans="1:20" x14ac:dyDescent="0.3">
      <c r="A6" s="147" t="s">
        <v>287</v>
      </c>
      <c r="B6" s="2" t="str">
        <f>IF(CAELS!D5&gt;8%,"Compliant","Non-Compiant")</f>
        <v>Compliant</v>
      </c>
      <c r="C6" s="2" t="str">
        <f>IF(CAELS!E5&gt;8%,"Compliant","Non-Compiant")</f>
        <v>Compliant</v>
      </c>
      <c r="D6" s="2" t="str">
        <f>IF(CAELS!F5&gt;8%,"Compliant","Non-Compiant")</f>
        <v>Compliant</v>
      </c>
      <c r="E6" s="2" t="str">
        <f>IF(CAELS!G5&gt;8%,"Compliant","Non-Compiant")</f>
        <v>Compliant</v>
      </c>
      <c r="F6" s="2" t="str">
        <f>IF(CAELS!H5&gt;8%,"Compliant","Non-Compiant")</f>
        <v>Compliant</v>
      </c>
      <c r="G6" s="2" t="str">
        <f>IF(CAELS!I5&gt;8%,"Compliant","Non-Compiant")</f>
        <v>Compliant</v>
      </c>
      <c r="H6" s="2" t="str">
        <f>IF(CAELS!J5&gt;8%,"Compliant","Non-Compiant")</f>
        <v>Compliant</v>
      </c>
      <c r="I6" s="2" t="str">
        <f>IF(CAELS!K5&gt;8%,"Compliant","Non-Compiant")</f>
        <v>Compliant</v>
      </c>
      <c r="J6" s="2" t="str">
        <f>IF(CAELS!L5&gt;8%,"Compliant","Non-Compiant")</f>
        <v>Compliant</v>
      </c>
      <c r="K6" s="2" t="str">
        <f>IF(CAELS!M5&gt;8%,"Compliant","Non-Compiant")</f>
        <v>Compliant</v>
      </c>
      <c r="L6" s="2" t="str">
        <f>IF(CAELS!N5&gt;8%,"Compliant","Non-Compiant")</f>
        <v>Compliant</v>
      </c>
      <c r="M6" s="2" t="str">
        <f>IF(CAELS!O5&gt;8%,"Compliant","Non-Compiant")</f>
        <v>Compliant</v>
      </c>
      <c r="N6" s="2" t="str">
        <f>IF(CAELS!P5&gt;8%,"Compliant","Non-Compiant")</f>
        <v>Compliant</v>
      </c>
      <c r="O6" s="2" t="str">
        <f>IF(CAELS!Q5&gt;8%,"Compliant","Non-Compiant")</f>
        <v>Compliant</v>
      </c>
      <c r="P6" s="2" t="str">
        <f>IF(CAELS!R5&gt;8%,"Compliant","Non-Compiant")</f>
        <v>Compliant</v>
      </c>
      <c r="Q6" s="2" t="str">
        <f>IF(CAELS!S5&gt;8%,"Compliant","Non-Compiant")</f>
        <v>Compliant</v>
      </c>
      <c r="R6" s="2" t="str">
        <f>IF(CAELS!T5&gt;8%,"Compliant","Non-Compiant")</f>
        <v>Compliant</v>
      </c>
      <c r="S6" s="2" t="str">
        <f>IF(CAELS!U5&gt;8%,"Compliant","Non-Compiant")</f>
        <v>Compliant</v>
      </c>
      <c r="T6" s="2" t="str">
        <f>IF(CAELS!V5&gt;8%,"Compliant","Non-Compiant")</f>
        <v>Compliant</v>
      </c>
    </row>
    <row r="7" spans="1:20" x14ac:dyDescent="0.3">
      <c r="A7" s="147" t="s">
        <v>288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">
      <c r="A8" s="147" t="s">
        <v>289</v>
      </c>
      <c r="B8" s="2" t="str">
        <f>IF(CAELS!D12&gt;15%,"Compliant","Non-Compliant")</f>
        <v>Compliant</v>
      </c>
      <c r="C8" s="2" t="str">
        <f>IF(CAELS!E12&gt;15%,"Compliant","Non-Compliant")</f>
        <v>Compliant</v>
      </c>
      <c r="D8" s="2" t="str">
        <f>IF(CAELS!F12&gt;15%,"Compliant","Non-Compliant")</f>
        <v>Compliant</v>
      </c>
      <c r="E8" s="2" t="str">
        <f>IF(CAELS!G12&gt;15%,"Compliant","Non-Compliant")</f>
        <v>Compliant</v>
      </c>
      <c r="F8" s="2" t="str">
        <f>IF(CAELS!H12&gt;15%,"Compliant","Non-Compliant")</f>
        <v>Compliant</v>
      </c>
      <c r="G8" s="2" t="str">
        <f>IF(CAELS!I12&gt;15%,"Compliant","Non-Compliant")</f>
        <v>Compliant</v>
      </c>
      <c r="H8" s="2" t="str">
        <f>IF(CAELS!J12&gt;15%,"Compliant","Non-Compliant")</f>
        <v>Compliant</v>
      </c>
      <c r="I8" s="2" t="str">
        <f>IF(CAELS!K12&gt;15%,"Compliant","Non-Compliant")</f>
        <v>Compliant</v>
      </c>
      <c r="J8" s="2" t="str">
        <f>IF(CAELS!L12&gt;15%,"Compliant","Non-Compliant")</f>
        <v>Compliant</v>
      </c>
      <c r="K8" s="2" t="str">
        <f>IF(CAELS!M12&gt;15%,"Compliant","Non-Compliant")</f>
        <v>Compliant</v>
      </c>
      <c r="L8" s="2" t="str">
        <f>IF(CAELS!N12&gt;15%,"Compliant","Non-Compliant")</f>
        <v>Non-Compliant</v>
      </c>
      <c r="M8" s="2" t="str">
        <f>IF(CAELS!O12&gt;15%,"Compliant","Non-Compliant")</f>
        <v>Compliant</v>
      </c>
      <c r="N8" s="2" t="str">
        <f>IF(CAELS!P12&gt;15%,"Compliant","Non-Compliant")</f>
        <v>Compliant</v>
      </c>
      <c r="O8" s="2" t="str">
        <f>IF(CAELS!Q12&gt;15%,"Compliant","Non-Compliant")</f>
        <v>Compliant</v>
      </c>
      <c r="P8" s="2" t="str">
        <f>IF(CAELS!R12&gt;15%,"Compliant","Non-Compliant")</f>
        <v>Compliant</v>
      </c>
      <c r="Q8" s="2" t="str">
        <f>IF(CAELS!S12&gt;15%,"Compliant","Non-Compliant")</f>
        <v>Compliant</v>
      </c>
      <c r="R8" s="2" t="str">
        <f>IF(CAELS!T12&gt;15%,"Compliant","Non-Compliant")</f>
        <v>Compliant</v>
      </c>
      <c r="S8" s="2" t="str">
        <f>IF(CAELS!U12&gt;15%,"Compliant","Non-Compliant")</f>
        <v>Compliant</v>
      </c>
      <c r="T8" s="2" t="str">
        <f>IF(CAELS!V12&gt;15%,"Compliant","Non-Compliant")</f>
        <v>Compliant</v>
      </c>
    </row>
    <row r="9" spans="1:20" x14ac:dyDescent="0.3">
      <c r="A9" s="147" t="s">
        <v>290</v>
      </c>
      <c r="B9" s="2" t="str">
        <f>IF(CAELS!D16&lt;10%,"Compliant","Non-Compliant")</f>
        <v>Non-Compliant</v>
      </c>
      <c r="C9" s="2" t="str">
        <f>IF(CAELS!E16&lt;10%,"Compliant","Non-Compliant")</f>
        <v>Compliant</v>
      </c>
      <c r="D9" s="2" t="str">
        <f>IF(CAELS!F16&lt;10%,"Compliant","Non-Compliant")</f>
        <v>Compliant</v>
      </c>
      <c r="E9" s="2" t="str">
        <f>IF(CAELS!G16&lt;10%,"Compliant","Non-Compliant")</f>
        <v>Compliant</v>
      </c>
      <c r="F9" s="2" t="str">
        <f>IF(CAELS!H16&lt;10%,"Compliant","Non-Compliant")</f>
        <v>Compliant</v>
      </c>
      <c r="G9" s="2" t="str">
        <f>IF(CAELS!I16&lt;10%,"Compliant","Non-Compliant")</f>
        <v>Compliant</v>
      </c>
      <c r="H9" s="2" t="str">
        <f>IF(CAELS!J16&lt;10%,"Compliant","Non-Compliant")</f>
        <v>Compliant</v>
      </c>
      <c r="I9" s="2" t="str">
        <f>IF(CAELS!K16&lt;10%,"Compliant","Non-Compliant")</f>
        <v>Compliant</v>
      </c>
      <c r="J9" s="2" t="str">
        <f>IF(CAELS!L16&lt;10%,"Compliant","Non-Compliant")</f>
        <v>Compliant</v>
      </c>
      <c r="K9" s="2" t="str">
        <f>IF(CAELS!M16&lt;10%,"Compliant","Non-Compliant")</f>
        <v>Compliant</v>
      </c>
      <c r="L9" s="2" t="str">
        <f>IF(CAELS!N16&lt;10%,"Compliant","Non-Compliant")</f>
        <v>Compliant</v>
      </c>
      <c r="M9" s="2" t="str">
        <f>IF(CAELS!O16&lt;10%,"Compliant","Non-Compliant")</f>
        <v>Compliant</v>
      </c>
      <c r="N9" s="2" t="str">
        <f>IF(CAELS!P16&lt;10%,"Compliant","Non-Compliant")</f>
        <v>Compliant</v>
      </c>
      <c r="O9" s="2" t="str">
        <f>IF(CAELS!Q16&lt;10%,"Compliant","Non-Compliant")</f>
        <v>Compliant</v>
      </c>
      <c r="P9" s="2" t="str">
        <f>IF(CAELS!R16&lt;10%,"Compliant","Non-Compliant")</f>
        <v>Compliant</v>
      </c>
      <c r="Q9" s="2" t="str">
        <f>IF(CAELS!S16&lt;10%,"Compliant","Non-Compliant")</f>
        <v>Compliant</v>
      </c>
      <c r="R9" s="2" t="str">
        <f>IF(CAELS!T16&lt;10%,"Compliant","Non-Compliant")</f>
        <v>Compliant</v>
      </c>
      <c r="S9" s="2" t="str">
        <f>IF(CAELS!U16&lt;10%,"Compliant","Non-Compliant")</f>
        <v>Compliant</v>
      </c>
      <c r="T9" s="2" t="str">
        <f>IF(CAELS!V16&lt;10%,"Compliant","Non-Compliant")</f>
        <v>Compliant</v>
      </c>
    </row>
    <row r="10" spans="1:20" x14ac:dyDescent="0.3">
      <c r="A10" s="147" t="s">
        <v>291</v>
      </c>
      <c r="B10" s="2" t="str">
        <f>IF(CAELS!D17&lt;5%,"Compliant","Non-Compliant")</f>
        <v>Compliant</v>
      </c>
      <c r="C10" s="2" t="str">
        <f>IF(CAELS!E17&lt;5%,"Compliant","Non-Compliant")</f>
        <v>Compliant</v>
      </c>
      <c r="D10" s="2" t="str">
        <f>IF(CAELS!F17&lt;5%,"Compliant","Non-Compliant")</f>
        <v>Compliant</v>
      </c>
      <c r="E10" s="2" t="str">
        <f>IF(CAELS!G17&lt;5%,"Compliant","Non-Compliant")</f>
        <v>Compliant</v>
      </c>
      <c r="F10" s="2" t="str">
        <f>IF(CAELS!H17&lt;5%,"Compliant","Non-Compliant")</f>
        <v>Compliant</v>
      </c>
      <c r="G10" s="2" t="str">
        <f>IF(CAELS!I17&lt;5%,"Compliant","Non-Compliant")</f>
        <v>Compliant</v>
      </c>
      <c r="H10" s="2" t="str">
        <f>IF(CAELS!J17&lt;5%,"Compliant","Non-Compliant")</f>
        <v>Compliant</v>
      </c>
      <c r="I10" s="2" t="str">
        <f>IF(CAELS!K17&lt;5%,"Compliant","Non-Compliant")</f>
        <v>Compliant</v>
      </c>
      <c r="J10" s="2" t="str">
        <f>IF(CAELS!L17&lt;5%,"Compliant","Non-Compliant")</f>
        <v>Compliant</v>
      </c>
      <c r="K10" s="2" t="str">
        <f>IF(CAELS!M17&lt;5%,"Compliant","Non-Compliant")</f>
        <v>Compliant</v>
      </c>
      <c r="L10" s="2" t="str">
        <f>IF(CAELS!N17&lt;5%,"Compliant","Non-Compliant")</f>
        <v>Compliant</v>
      </c>
      <c r="M10" s="2" t="str">
        <f>IF(CAELS!O17&lt;5%,"Compliant","Non-Compliant")</f>
        <v>Compliant</v>
      </c>
      <c r="N10" s="2" t="str">
        <f>IF(CAELS!P17&lt;5%,"Compliant","Non-Compliant")</f>
        <v>Compliant</v>
      </c>
      <c r="O10" s="2" t="str">
        <f>IF(CAELS!Q17&lt;5%,"Compliant","Non-Compliant")</f>
        <v>Compliant</v>
      </c>
      <c r="P10" s="2" t="str">
        <f>IF(CAELS!R17&lt;5%,"Compliant","Non-Compliant")</f>
        <v>Compliant</v>
      </c>
      <c r="Q10" s="2" t="str">
        <f>IF(CAELS!S17&lt;5%,"Compliant","Non-Compliant")</f>
        <v>Compliant</v>
      </c>
      <c r="R10" s="2" t="str">
        <f>IF(CAELS!T17&lt;5%,"Compliant","Non-Compliant")</f>
        <v>Compliant</v>
      </c>
      <c r="S10" s="2" t="str">
        <f>IF(CAELS!U17&lt;5%,"Compliant","Non-Compliant")</f>
        <v>Compliant</v>
      </c>
      <c r="T10" s="2" t="str">
        <f>IF(CAELS!V17&lt;5%,"Compliant","Non-Compliant")</f>
        <v>Compliant</v>
      </c>
    </row>
    <row r="11" spans="1:20" x14ac:dyDescent="0.3">
      <c r="A11" s="147" t="s">
        <v>292</v>
      </c>
      <c r="B11" s="2" t="str">
        <f>IF(CAELS!D18&lt;5%,"Compliant","Non-Compliant")</f>
        <v>Compliant</v>
      </c>
      <c r="C11" s="2" t="str">
        <f>IF(CAELS!E18&lt;5%,"Compliant","Non-Compliant")</f>
        <v>Compliant</v>
      </c>
      <c r="D11" s="2" t="str">
        <f>IF(CAELS!F18&lt;5%,"Compliant","Non-Compliant")</f>
        <v>Compliant</v>
      </c>
      <c r="E11" s="2" t="str">
        <f>IF(CAELS!G18&lt;5%,"Compliant","Non-Compliant")</f>
        <v>Compliant</v>
      </c>
      <c r="F11" s="2" t="str">
        <f>IF(CAELS!H18&lt;5%,"Compliant","Non-Compliant")</f>
        <v>Compliant</v>
      </c>
      <c r="G11" s="2" t="str">
        <f>IF(CAELS!I18&lt;5%,"Compliant","Non-Compliant")</f>
        <v>Compliant</v>
      </c>
      <c r="H11" s="2" t="str">
        <f>IF(CAELS!J18&lt;5%,"Compliant","Non-Compliant")</f>
        <v>Compliant</v>
      </c>
      <c r="I11" s="2" t="str">
        <f>IF(CAELS!K18&lt;5%,"Compliant","Non-Compliant")</f>
        <v>Compliant</v>
      </c>
      <c r="J11" s="2" t="str">
        <f>IF(CAELS!L18&lt;5%,"Compliant","Non-Compliant")</f>
        <v>Compliant</v>
      </c>
      <c r="K11" s="2" t="str">
        <f>IF(CAELS!M18&lt;5%,"Compliant","Non-Compliant")</f>
        <v>Compliant</v>
      </c>
      <c r="L11" s="2" t="str">
        <f>IF(CAELS!N18&lt;5%,"Compliant","Non-Compliant")</f>
        <v>Compliant</v>
      </c>
      <c r="M11" s="2" t="str">
        <f>IF(CAELS!O18&lt;5%,"Compliant","Non-Compliant")</f>
        <v>Compliant</v>
      </c>
      <c r="N11" s="2" t="str">
        <f>IF(CAELS!P18&lt;5%,"Compliant","Non-Compliant")</f>
        <v>Compliant</v>
      </c>
      <c r="O11" s="2" t="str">
        <f>IF(CAELS!Q18&lt;5%,"Compliant","Non-Compliant")</f>
        <v>Compliant</v>
      </c>
      <c r="P11" s="2" t="str">
        <f>IF(CAELS!R18&lt;5%,"Compliant","Non-Compliant")</f>
        <v>Compliant</v>
      </c>
      <c r="Q11" s="2" t="str">
        <f>IF(CAELS!S18&lt;5%,"Compliant","Non-Compliant")</f>
        <v>Compliant</v>
      </c>
      <c r="R11" s="2" t="str">
        <f>IF(CAELS!T18&lt;5%,"Compliant","Non-Compliant")</f>
        <v>Compliant</v>
      </c>
      <c r="S11" s="2" t="str">
        <f>IF(CAELS!U18&lt;5%,"Compliant","Non-Compliant")</f>
        <v>Compliant</v>
      </c>
      <c r="T11" s="2" t="str">
        <f>IF(CAELS!V18&lt;5%,"Compliant","Non-Compliant")</f>
        <v>Compliant</v>
      </c>
    </row>
    <row r="12" spans="1:20" x14ac:dyDescent="0.3">
      <c r="A12" s="147" t="s">
        <v>293</v>
      </c>
      <c r="B12" s="2" t="str">
        <f>IF(CAELS!D19&lt;40%,"Compliant","Non-Compliant")</f>
        <v>Compliant</v>
      </c>
      <c r="C12" s="2" t="str">
        <f>IF(CAELS!E19&lt;40%,"Compliant","Non-Compliant")</f>
        <v>Compliant</v>
      </c>
      <c r="D12" s="2" t="str">
        <f>IF(CAELS!F19&lt;40%,"Compliant","Non-Compliant")</f>
        <v>Compliant</v>
      </c>
      <c r="E12" s="2" t="str">
        <f>IF(CAELS!G19&lt;40%,"Compliant","Non-Compliant")</f>
        <v>Compliant</v>
      </c>
      <c r="F12" s="2" t="str">
        <f>IF(CAELS!H19&lt;40%,"Compliant","Non-Compliant")</f>
        <v>Compliant</v>
      </c>
      <c r="G12" s="2" t="str">
        <f>IF(CAELS!I19&lt;40%,"Compliant","Non-Compliant")</f>
        <v>Compliant</v>
      </c>
      <c r="H12" s="2" t="str">
        <f>IF(CAELS!J19&lt;40%,"Compliant","Non-Compliant")</f>
        <v>Compliant</v>
      </c>
      <c r="I12" s="2" t="str">
        <f>IF(CAELS!K19&lt;40%,"Compliant","Non-Compliant")</f>
        <v>Compliant</v>
      </c>
      <c r="J12" s="2" t="str">
        <f>IF(CAELS!L19&lt;40%,"Compliant","Non-Compliant")</f>
        <v>Compliant</v>
      </c>
      <c r="K12" s="2" t="str">
        <f>IF(CAELS!M19&lt;40%,"Compliant","Non-Compliant")</f>
        <v>Compliant</v>
      </c>
      <c r="L12" s="2" t="str">
        <f>IF(CAELS!N19&lt;40%,"Compliant","Non-Compliant")</f>
        <v>Compliant</v>
      </c>
      <c r="M12" s="2" t="str">
        <f>IF(CAELS!O19&lt;40%,"Compliant","Non-Compliant")</f>
        <v>Compliant</v>
      </c>
      <c r="N12" s="2" t="str">
        <f>IF(CAELS!P19&lt;40%,"Compliant","Non-Compliant")</f>
        <v>Compliant</v>
      </c>
      <c r="O12" s="2" t="str">
        <f>IF(CAELS!Q19&lt;40%,"Compliant","Non-Compliant")</f>
        <v>Compliant</v>
      </c>
      <c r="P12" s="2" t="str">
        <f>IF(CAELS!R19&lt;40%,"Compliant","Non-Compliant")</f>
        <v>Compliant</v>
      </c>
      <c r="Q12" s="2" t="str">
        <f>IF(CAELS!S19&lt;40%,"Compliant","Non-Compliant")</f>
        <v>Compliant</v>
      </c>
      <c r="R12" s="2" t="str">
        <f>IF(CAELS!T19&lt;40%,"Compliant","Non-Compliant")</f>
        <v>Compliant</v>
      </c>
      <c r="S12" s="2" t="str">
        <f>IF(CAELS!U19&lt;40%,"Compliant","Non-Compliant")</f>
        <v>Compliant</v>
      </c>
      <c r="T12" s="2" t="str">
        <f>IF(CAELS!V19&lt;40%,"Compliant","Non-Compliant")</f>
        <v>Compliant</v>
      </c>
    </row>
    <row r="13" spans="1:20" x14ac:dyDescent="0.3">
      <c r="A13" s="147" t="s">
        <v>294</v>
      </c>
      <c r="B13" s="2" t="str">
        <f>IF(CAELS!D14&lt;25%,"Compliant","Non-Compliant")</f>
        <v>Compliant</v>
      </c>
      <c r="C13" s="2" t="str">
        <f>IF(CAELS!E14&lt;25%,"Compliant","Non-Compliant")</f>
        <v>Compliant</v>
      </c>
      <c r="D13" s="2" t="str">
        <f>IF(CAELS!F14&lt;25%,"Compliant","Non-Compliant")</f>
        <v>Compliant</v>
      </c>
      <c r="E13" s="2" t="str">
        <f>IF(CAELS!G14&lt;25%,"Compliant","Non-Compliant")</f>
        <v>Compliant</v>
      </c>
      <c r="F13" s="2" t="str">
        <f>IF(CAELS!H14&lt;25%,"Compliant","Non-Compliant")</f>
        <v>Compliant</v>
      </c>
      <c r="G13" s="2" t="str">
        <f>IF(CAELS!I14&lt;25%,"Compliant","Non-Compliant")</f>
        <v>Compliant</v>
      </c>
      <c r="H13" s="2" t="str">
        <f>IF(CAELS!J14&lt;25%,"Compliant","Non-Compliant")</f>
        <v>Compliant</v>
      </c>
      <c r="I13" s="2" t="str">
        <f>IF(CAELS!K14&lt;25%,"Compliant","Non-Compliant")</f>
        <v>Compliant</v>
      </c>
      <c r="J13" s="2" t="str">
        <f>IF(CAELS!L14&lt;25%,"Compliant","Non-Compliant")</f>
        <v>Compliant</v>
      </c>
      <c r="K13" s="2" t="str">
        <f>IF(CAELS!M14&lt;25%,"Compliant","Non-Compliant")</f>
        <v>Compliant</v>
      </c>
      <c r="L13" s="2" t="str">
        <f>IF(CAELS!N14&lt;25%,"Compliant","Non-Compliant")</f>
        <v>Compliant</v>
      </c>
      <c r="M13" s="2" t="str">
        <f>IF(CAELS!O14&lt;25%,"Compliant","Non-Compliant")</f>
        <v>Compliant</v>
      </c>
      <c r="N13" s="2" t="str">
        <f>IF(CAELS!P14&lt;25%,"Compliant","Non-Compliant")</f>
        <v>Compliant</v>
      </c>
      <c r="O13" s="2" t="str">
        <f>IF(CAELS!Q14&lt;25%,"Compliant","Non-Compliant")</f>
        <v>Compliant</v>
      </c>
      <c r="P13" s="2" t="str">
        <f>IF(CAELS!R14&lt;25%,"Compliant","Non-Compliant")</f>
        <v>Compliant</v>
      </c>
      <c r="Q13" s="2" t="str">
        <f>IF(CAELS!S14&lt;25%,"Compliant","Non-Compliant")</f>
        <v>Compliant</v>
      </c>
      <c r="R13" s="2" t="str">
        <f>IF(CAELS!T14&lt;25%,"Compliant","Non-Compliant")</f>
        <v>Compliant</v>
      </c>
      <c r="S13" s="2" t="str">
        <f>IF(CAELS!U14&lt;25%,"Compliant","Non-Compliant")</f>
        <v>Compliant</v>
      </c>
      <c r="T13" s="2" t="str">
        <f>IF(CAELS!V14&lt;25%,"Compliant","Non-Compliant")</f>
        <v>Compliant</v>
      </c>
    </row>
    <row r="14" spans="1:20" x14ac:dyDescent="0.3">
      <c r="A14" s="147" t="s">
        <v>295</v>
      </c>
      <c r="B14" s="2" t="str">
        <f>IF('Evolutive SFP'!B27='Evolutive SFP'!B49,"BALANCING","NOT BALANCING")</f>
        <v>BALANCING</v>
      </c>
      <c r="C14" s="2" t="str">
        <f>IF('Evolutive SFP'!C27='Evolutive SFP'!C49,"BALANCING","NOT BALANCING")</f>
        <v>BALANCING</v>
      </c>
      <c r="D14" s="2" t="str">
        <f>IF('Evolutive SFP'!D27='Evolutive SFP'!D49,"BALANCING","NOT BALANCING")</f>
        <v>NOT BALANCING</v>
      </c>
      <c r="E14" s="2" t="str">
        <f>IF('Evolutive SFP'!E27='Evolutive SFP'!E49,"BALANCING","NOT BALANCING")</f>
        <v>BALANCING</v>
      </c>
      <c r="F14" s="2" t="str">
        <f>IF('Evolutive SFP'!F27='Evolutive SFP'!F49,"BALANCING","NOT BALANCING")</f>
        <v>NOT BALANCING</v>
      </c>
      <c r="G14" s="2" t="str">
        <f>IF('Evolutive SFP'!G27='Evolutive SFP'!G49,"BALANCING","NOT BALANCING")</f>
        <v>BALANCING</v>
      </c>
      <c r="H14" s="2" t="str">
        <f>IF('Evolutive SFP'!H27='Evolutive SFP'!H49,"BALANCING","NOT BALANCING")</f>
        <v>NOT BALANCING</v>
      </c>
      <c r="I14" s="2" t="str">
        <f>IF('Evolutive SFP'!I27='Evolutive SFP'!I49,"BALANCING","NOT BALANCING")</f>
        <v>NOT BALANCING</v>
      </c>
      <c r="J14" s="2" t="str">
        <f>IF('Evolutive SFP'!J27='Evolutive SFP'!J49,"BALANCING","NOT BALANCING")</f>
        <v>BALANCING</v>
      </c>
      <c r="K14" s="2" t="str">
        <f>IF('Evolutive SFP'!K27='Evolutive SFP'!K49,"BALANCING","NOT BALANCING")</f>
        <v>BALANCING</v>
      </c>
      <c r="L14" s="2" t="str">
        <f>IF('Evolutive SFP'!L27='Evolutive SFP'!L49,"BALANCING","NOT BALANCING")</f>
        <v>BALANCING</v>
      </c>
      <c r="M14" s="2" t="str">
        <f>IF('Evolutive SFP'!M27='Evolutive SFP'!M49,"BALANCING","NOT BALANCING")</f>
        <v>BALANCING</v>
      </c>
      <c r="N14" s="2" t="str">
        <f>IF('Evolutive SFP'!N27='Evolutive SFP'!N49,"BALANCING","NOT BALANCING")</f>
        <v>BALANCING</v>
      </c>
      <c r="O14" s="2" t="str">
        <f>IF('Evolutive SFP'!O27='Evolutive SFP'!O49,"BALANCING","NOT BALANCING")</f>
        <v>BALANCING</v>
      </c>
      <c r="P14" s="2" t="str">
        <f>IF('Evolutive SFP'!P27='Evolutive SFP'!P49,"BALANCING","NOT BALANCING")</f>
        <v>NOT BALANCING</v>
      </c>
      <c r="Q14" s="2" t="e">
        <f>IF('Evolutive SFP'!#REF!='Evolutive SFP'!#REF!,"BALANCING","NOT BALANCING")</f>
        <v>#REF!</v>
      </c>
      <c r="R14" s="2" t="e">
        <f>IF('Evolutive SFP'!#REF!='Evolutive SFP'!#REF!,"BALANCING","NOT BALANCING")</f>
        <v>#REF!</v>
      </c>
      <c r="S14" s="2" t="str">
        <f>IF('Evolutive SFP'!Q27='Evolutive SFP'!Q49,"BALANCING","NOT BALANCING")</f>
        <v>BALANCING</v>
      </c>
      <c r="T14" s="2" t="str">
        <f>IF('Evolutive SFP'!R27='Evolutive SFP'!R49,"BALANCING","NOT BALANCING")</f>
        <v>BALANCING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Props1.xml><?xml version="1.0" encoding="utf-8"?>
<ds:datastoreItem xmlns:ds="http://schemas.openxmlformats.org/officeDocument/2006/customXml" ds:itemID="{AA1D2049-80D7-41D1-BDC6-4495F01403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3db4b3-2b3b-4352-9127-36718d9c05b9"/>
    <ds:schemaRef ds:uri="df647032-17c5-4266-af02-4596a72da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26559B-87AC-4435-9875-B2E7CC42E3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1F7A95-0B00-4E53-9D20-FD3E1C737E1B}">
  <ds:schemaRefs>
    <ds:schemaRef ds:uri="http://schemas.microsoft.com/office/2006/metadata/properties"/>
    <ds:schemaRef ds:uri="http://schemas.microsoft.com/office/infopath/2007/PartnerControls"/>
    <ds:schemaRef ds:uri="df647032-17c5-4266-af02-4596a72daf50"/>
    <ds:schemaRef ds:uri="6e3db4b3-2b3b-4352-9127-36718d9c05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Evolutive SFP</vt:lpstr>
      <vt:lpstr>Evolutitve SCI</vt:lpstr>
      <vt:lpstr>FORM 4 2021</vt:lpstr>
      <vt:lpstr>FORM 4 2022</vt:lpstr>
      <vt:lpstr>CAELS</vt:lpstr>
      <vt:lpstr>Financials</vt:lpstr>
      <vt:lpstr>CAELS Rating</vt:lpstr>
      <vt:lpstr>compliance audited 2021</vt:lpstr>
      <vt:lpstr>CashFlow Stmnt</vt:lpstr>
      <vt:lpstr>Compliance Status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Moses Lochit</cp:lastModifiedBy>
  <cp:revision/>
  <dcterms:created xsi:type="dcterms:W3CDTF">2012-11-01T05:11:14Z</dcterms:created>
  <dcterms:modified xsi:type="dcterms:W3CDTF">2023-07-31T05:49:22Z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ediaServiceImageTags">
    <vt:lpwstr/>
  </property>
  <property fmtid="{D5CDD505-2E9C-101B-9397-08002B2CF9AE}" pid="4" name="MSIP_Label_6294dde6-398b-42fd-9ab1-a1959fc6b9e2_Enabled">
    <vt:lpwstr>true</vt:lpwstr>
  </property>
  <property fmtid="{D5CDD505-2E9C-101B-9397-08002B2CF9AE}" pid="5" name="MSIP_Label_6294dde6-398b-42fd-9ab1-a1959fc6b9e2_SetDate">
    <vt:lpwstr>2023-03-15T09:05:15Z</vt:lpwstr>
  </property>
  <property fmtid="{D5CDD505-2E9C-101B-9397-08002B2CF9AE}" pid="6" name="MSIP_Label_6294dde6-398b-42fd-9ab1-a1959fc6b9e2_Method">
    <vt:lpwstr>Privileged</vt:lpwstr>
  </property>
  <property fmtid="{D5CDD505-2E9C-101B-9397-08002B2CF9AE}" pid="7" name="MSIP_Label_6294dde6-398b-42fd-9ab1-a1959fc6b9e2_Name">
    <vt:lpwstr>Public</vt:lpwstr>
  </property>
  <property fmtid="{D5CDD505-2E9C-101B-9397-08002B2CF9AE}" pid="8" name="MSIP_Label_6294dde6-398b-42fd-9ab1-a1959fc6b9e2_SiteId">
    <vt:lpwstr>d6c8161d-ccd5-4325-b291-dd442c369fe4</vt:lpwstr>
  </property>
  <property fmtid="{D5CDD505-2E9C-101B-9397-08002B2CF9AE}" pid="9" name="MSIP_Label_6294dde6-398b-42fd-9ab1-a1959fc6b9e2_ActionId">
    <vt:lpwstr>704c51ff-00e2-4fa4-9710-d2509d4b6f5a</vt:lpwstr>
  </property>
  <property fmtid="{D5CDD505-2E9C-101B-9397-08002B2CF9AE}" pid="10" name="MSIP_Label_6294dde6-398b-42fd-9ab1-a1959fc6b9e2_ContentBits">
    <vt:lpwstr>0</vt:lpwstr>
  </property>
</Properties>
</file>
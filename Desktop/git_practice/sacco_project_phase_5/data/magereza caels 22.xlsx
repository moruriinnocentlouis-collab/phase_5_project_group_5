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2/MAGEREZA- 1946/Accounts Approval/"/>
    </mc:Choice>
  </mc:AlternateContent>
  <xr:revisionPtr revIDLastSave="412" documentId="13_ncr:1_{370A79E3-E0D3-4126-B9AA-F784FB09A1E7}" xr6:coauthVersionLast="47" xr6:coauthVersionMax="47" xr10:uidLastSave="{D8C48970-3C11-4BF7-AF38-41457CA4BC91}"/>
  <bookViews>
    <workbookView xWindow="0" yWindow="0" windowWidth="23040" windowHeight="12360" xr2:uid="{00000000-000D-0000-FFFF-FFFF00000000}"/>
  </bookViews>
  <sheets>
    <sheet name="SFP" sheetId="4" r:id="rId1"/>
    <sheet name="SCI" sheetId="7" r:id="rId2"/>
    <sheet name="Financials" sheetId="6" r:id="rId3"/>
    <sheet name="Prudential Ratios" sheetId="5" r:id="rId4"/>
    <sheet name="form4 " sheetId="23" r:id="rId5"/>
    <sheet name="Sacco Performance" sheetId="24" r:id="rId6"/>
    <sheet name="Sheet2" sheetId="25" r:id="rId7"/>
  </sheets>
  <externalReferences>
    <externalReference r:id="rId8"/>
    <externalReference r:id="rId9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Ratios'!#REF!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5">'Sacco Performance'!$A$1:$H$53</definedName>
    <definedName name="_xlnm.Print_Area" localSheetId="0">SFP!$A$1:$A$51</definedName>
    <definedName name="units">'[1]SASRA B.S.'!$C$2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2" i="4" l="1"/>
  <c r="AE52" i="4"/>
  <c r="AF52" i="4"/>
  <c r="AG52" i="4"/>
  <c r="AH52" i="4"/>
  <c r="AI52" i="4"/>
  <c r="AJ52" i="4"/>
  <c r="AK6" i="5"/>
  <c r="AK7" i="5"/>
  <c r="AK8" i="5"/>
  <c r="AK9" i="5"/>
  <c r="AK10" i="5"/>
  <c r="AK14" i="5"/>
  <c r="AK15" i="5"/>
  <c r="AK16" i="5"/>
  <c r="AK19" i="5"/>
  <c r="AK20" i="5"/>
  <c r="AK21" i="5"/>
  <c r="AK24" i="5"/>
  <c r="AK25" i="5"/>
  <c r="AK26" i="5"/>
  <c r="AK27" i="5"/>
  <c r="AK30" i="5"/>
  <c r="AK31" i="5"/>
  <c r="AK32" i="5"/>
  <c r="AK33" i="5"/>
  <c r="AK34" i="5"/>
  <c r="AK35" i="5"/>
  <c r="AK36" i="5"/>
  <c r="AL36" i="5"/>
  <c r="AK37" i="5"/>
  <c r="AL37" i="5"/>
  <c r="AK40" i="5"/>
  <c r="AK41" i="5"/>
  <c r="AK42" i="5"/>
  <c r="AK43" i="5"/>
  <c r="AK44" i="5"/>
  <c r="AK47" i="5"/>
  <c r="AK48" i="5"/>
  <c r="AJ6" i="5"/>
  <c r="AJ7" i="5"/>
  <c r="AJ8" i="5"/>
  <c r="AJ9" i="5"/>
  <c r="AJ10" i="5"/>
  <c r="AJ14" i="5"/>
  <c r="AJ15" i="5"/>
  <c r="AJ16" i="5"/>
  <c r="AJ19" i="5"/>
  <c r="AJ20" i="5"/>
  <c r="AJ21" i="5"/>
  <c r="AJ24" i="5"/>
  <c r="AJ25" i="5"/>
  <c r="AJ26" i="5"/>
  <c r="AJ27" i="5"/>
  <c r="AJ30" i="5"/>
  <c r="AJ31" i="5"/>
  <c r="AJ32" i="5"/>
  <c r="AJ33" i="5"/>
  <c r="AJ34" i="5"/>
  <c r="AJ35" i="5"/>
  <c r="AJ36" i="5"/>
  <c r="AJ37" i="5"/>
  <c r="AJ40" i="5"/>
  <c r="AJ41" i="5"/>
  <c r="AJ42" i="5"/>
  <c r="AJ43" i="5"/>
  <c r="AJ44" i="5"/>
  <c r="AJ47" i="5"/>
  <c r="AJ48" i="5"/>
  <c r="AJ5" i="6"/>
  <c r="AK5" i="6"/>
  <c r="AJ6" i="6"/>
  <c r="AK6" i="6"/>
  <c r="AJ7" i="6"/>
  <c r="AK7" i="6"/>
  <c r="AL7" i="6"/>
  <c r="AJ8" i="6"/>
  <c r="AK8" i="6"/>
  <c r="AL8" i="6"/>
  <c r="AJ9" i="6"/>
  <c r="AK9" i="6"/>
  <c r="AL9" i="6"/>
  <c r="AJ10" i="6"/>
  <c r="AK10" i="6"/>
  <c r="AL10" i="6"/>
  <c r="AJ18" i="6"/>
  <c r="AK18" i="6"/>
  <c r="AL18" i="6"/>
  <c r="AJ19" i="6"/>
  <c r="AK19" i="6"/>
  <c r="AJ20" i="6"/>
  <c r="AK20" i="6"/>
  <c r="AL20" i="6"/>
  <c r="AJ21" i="6"/>
  <c r="AK21" i="6"/>
  <c r="AL21" i="6"/>
  <c r="AJ23" i="6"/>
  <c r="AK23" i="6"/>
  <c r="AL23" i="6"/>
  <c r="AJ27" i="6"/>
  <c r="AK27" i="6"/>
  <c r="AL27" i="6"/>
  <c r="AJ29" i="6"/>
  <c r="AK29" i="6"/>
  <c r="AL29" i="6"/>
  <c r="AJ32" i="6"/>
  <c r="AK32" i="6"/>
  <c r="AL32" i="6"/>
  <c r="AL16" i="5" s="1"/>
  <c r="AJ33" i="6"/>
  <c r="AK33" i="6"/>
  <c r="AL33" i="6"/>
  <c r="AJ34" i="6"/>
  <c r="AK34" i="6"/>
  <c r="AL34" i="6"/>
  <c r="AJ36" i="6"/>
  <c r="AK36" i="6"/>
  <c r="AJ38" i="6"/>
  <c r="AK38" i="6"/>
  <c r="AL38" i="6"/>
  <c r="AJ39" i="6"/>
  <c r="AK39" i="6"/>
  <c r="AL39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6" i="6"/>
  <c r="AK56" i="6"/>
  <c r="AL56" i="6"/>
  <c r="AJ57" i="6"/>
  <c r="AK57" i="6"/>
  <c r="AJ58" i="6"/>
  <c r="AK58" i="6"/>
  <c r="AL58" i="6"/>
  <c r="AJ59" i="6"/>
  <c r="AK59" i="6"/>
  <c r="AL59" i="6"/>
  <c r="AL37" i="7"/>
  <c r="AM37" i="7"/>
  <c r="AN37" i="7"/>
  <c r="AL35" i="7"/>
  <c r="AM35" i="7"/>
  <c r="AN35" i="7"/>
  <c r="AL33" i="7"/>
  <c r="AM33" i="7"/>
  <c r="AN33" i="7"/>
  <c r="AL29" i="7"/>
  <c r="AM29" i="7"/>
  <c r="AN29" i="7"/>
  <c r="AK30" i="7"/>
  <c r="AL30" i="7"/>
  <c r="AM30" i="7"/>
  <c r="AN30" i="7"/>
  <c r="AK23" i="7"/>
  <c r="AL23" i="7"/>
  <c r="AM23" i="7"/>
  <c r="AL19" i="7"/>
  <c r="AM19" i="7"/>
  <c r="AK20" i="7"/>
  <c r="AL20" i="7"/>
  <c r="AM20" i="7"/>
  <c r="AK12" i="7"/>
  <c r="AL12" i="7"/>
  <c r="AM12" i="7"/>
  <c r="AK7" i="7"/>
  <c r="AL7" i="7"/>
  <c r="AM7" i="7"/>
  <c r="AK4" i="7"/>
  <c r="AK3" i="7"/>
  <c r="AK19" i="7"/>
  <c r="AK29" i="7"/>
  <c r="AK33" i="7"/>
  <c r="AK35" i="7"/>
  <c r="AK37" i="7"/>
  <c r="AL4" i="7"/>
  <c r="AL3" i="7"/>
  <c r="AM4" i="7"/>
  <c r="AM3" i="7"/>
  <c r="AL50" i="4"/>
  <c r="AM50" i="4"/>
  <c r="AL51" i="4"/>
  <c r="AM51" i="4"/>
  <c r="AK44" i="4"/>
  <c r="AL44" i="4"/>
  <c r="AM44" i="4"/>
  <c r="AK41" i="4"/>
  <c r="AL19" i="6" s="1"/>
  <c r="AK50" i="4"/>
  <c r="AL41" i="4"/>
  <c r="AM41" i="4"/>
  <c r="AL38" i="4"/>
  <c r="AM38" i="4"/>
  <c r="AK30" i="4"/>
  <c r="AL6" i="6" s="1"/>
  <c r="AL30" i="4"/>
  <c r="AM30" i="4"/>
  <c r="AK31" i="4"/>
  <c r="AL31" i="4"/>
  <c r="AM31" i="4"/>
  <c r="AL26" i="4"/>
  <c r="AM26" i="4"/>
  <c r="AK20" i="4"/>
  <c r="AL20" i="4"/>
  <c r="AM20" i="4"/>
  <c r="AK16" i="4"/>
  <c r="AL16" i="4"/>
  <c r="AM16" i="4"/>
  <c r="AK13" i="4"/>
  <c r="AL13" i="4"/>
  <c r="AM13" i="4"/>
  <c r="AK8" i="4"/>
  <c r="AL8" i="4"/>
  <c r="AM8" i="4"/>
  <c r="AK4" i="4"/>
  <c r="AK26" i="4"/>
  <c r="AL4" i="4"/>
  <c r="AM4" i="4"/>
  <c r="AI6" i="5"/>
  <c r="AI7" i="5"/>
  <c r="AI8" i="5"/>
  <c r="AI9" i="5"/>
  <c r="AI10" i="5"/>
  <c r="AI14" i="5"/>
  <c r="AI15" i="5"/>
  <c r="AI16" i="5"/>
  <c r="AI19" i="5"/>
  <c r="AI20" i="5"/>
  <c r="AI21" i="5"/>
  <c r="AI24" i="5"/>
  <c r="AI25" i="5"/>
  <c r="AI26" i="5"/>
  <c r="AI27" i="5"/>
  <c r="AI30" i="5"/>
  <c r="AI31" i="5"/>
  <c r="AI32" i="5"/>
  <c r="AI33" i="5"/>
  <c r="AI34" i="5"/>
  <c r="AI35" i="5"/>
  <c r="AI36" i="5"/>
  <c r="AI37" i="5"/>
  <c r="AI40" i="5"/>
  <c r="AI41" i="5"/>
  <c r="AI42" i="5"/>
  <c r="AI43" i="5"/>
  <c r="AI44" i="5"/>
  <c r="AI47" i="5"/>
  <c r="AI48" i="5"/>
  <c r="AI5" i="6"/>
  <c r="AI6" i="6"/>
  <c r="AI7" i="6"/>
  <c r="AI8" i="6"/>
  <c r="AI9" i="6"/>
  <c r="AI10" i="6"/>
  <c r="AI18" i="6"/>
  <c r="AI19" i="6"/>
  <c r="AI20" i="6"/>
  <c r="AI21" i="6"/>
  <c r="AI23" i="6"/>
  <c r="AI27" i="6"/>
  <c r="AI29" i="6"/>
  <c r="AI32" i="6"/>
  <c r="AI33" i="6"/>
  <c r="AI34" i="6"/>
  <c r="AI36" i="6"/>
  <c r="AI38" i="6"/>
  <c r="AI39" i="6"/>
  <c r="AI42" i="6"/>
  <c r="AI43" i="6"/>
  <c r="AI44" i="6"/>
  <c r="AI45" i="6"/>
  <c r="AI48" i="6"/>
  <c r="AI49" i="6"/>
  <c r="AI50" i="6"/>
  <c r="AI51" i="6"/>
  <c r="AI52" i="6"/>
  <c r="AI53" i="6"/>
  <c r="AI56" i="6"/>
  <c r="AI57" i="6"/>
  <c r="AI58" i="6"/>
  <c r="AI59" i="6"/>
  <c r="AH30" i="7"/>
  <c r="AI30" i="7"/>
  <c r="AJ30" i="7"/>
  <c r="AH23" i="7"/>
  <c r="AI23" i="7"/>
  <c r="AJ23" i="7"/>
  <c r="AH20" i="7"/>
  <c r="AI20" i="7"/>
  <c r="AJ20" i="7"/>
  <c r="AH12" i="7"/>
  <c r="AI12" i="7"/>
  <c r="AJ12" i="7"/>
  <c r="AH7" i="7"/>
  <c r="AI7" i="7"/>
  <c r="AJ7" i="7"/>
  <c r="AH4" i="7"/>
  <c r="AH3" i="7"/>
  <c r="AH19" i="7"/>
  <c r="AH29" i="7"/>
  <c r="AH33" i="7"/>
  <c r="AH35" i="7"/>
  <c r="AH37" i="7"/>
  <c r="AI4" i="7"/>
  <c r="AI3" i="7"/>
  <c r="AI19" i="7"/>
  <c r="AI29" i="7"/>
  <c r="AI33" i="7"/>
  <c r="AI35" i="7"/>
  <c r="AI37" i="7"/>
  <c r="AJ4" i="7"/>
  <c r="AJ3" i="7"/>
  <c r="AJ19" i="7"/>
  <c r="AJ29" i="7"/>
  <c r="AJ33" i="7"/>
  <c r="AJ35" i="7"/>
  <c r="AJ37" i="7"/>
  <c r="AH44" i="4"/>
  <c r="AH50" i="4"/>
  <c r="AH51" i="4"/>
  <c r="AI44" i="4"/>
  <c r="AJ44" i="4"/>
  <c r="AH41" i="4"/>
  <c r="AI41" i="4"/>
  <c r="AI50" i="4"/>
  <c r="AJ41" i="4"/>
  <c r="AJ50" i="4"/>
  <c r="AH30" i="4"/>
  <c r="AI30" i="4"/>
  <c r="AJ30" i="4"/>
  <c r="AH31" i="4"/>
  <c r="AH38" i="4"/>
  <c r="AI31" i="4"/>
  <c r="AJ31" i="4"/>
  <c r="AH20" i="4"/>
  <c r="AI20" i="4"/>
  <c r="AJ20" i="4"/>
  <c r="AH16" i="4"/>
  <c r="AI16" i="4"/>
  <c r="AJ16" i="4"/>
  <c r="AH13" i="4"/>
  <c r="AI13" i="4"/>
  <c r="AJ13" i="4"/>
  <c r="AH8" i="4"/>
  <c r="AI8" i="4"/>
  <c r="AJ8" i="4"/>
  <c r="AI4" i="4"/>
  <c r="AI26" i="4"/>
  <c r="AJ4" i="4"/>
  <c r="AJ26" i="4"/>
  <c r="AH4" i="4"/>
  <c r="AH26" i="4"/>
  <c r="AH36" i="5"/>
  <c r="AH37" i="5"/>
  <c r="AH7" i="6"/>
  <c r="AH8" i="6"/>
  <c r="AH9" i="6"/>
  <c r="AH10" i="6"/>
  <c r="AH18" i="6"/>
  <c r="AH20" i="6"/>
  <c r="AH21" i="6"/>
  <c r="AH23" i="6"/>
  <c r="AH27" i="6"/>
  <c r="AH29" i="6"/>
  <c r="AH32" i="6"/>
  <c r="AH16" i="5"/>
  <c r="AH33" i="6"/>
  <c r="AH34" i="6"/>
  <c r="AH39" i="6"/>
  <c r="AH42" i="6"/>
  <c r="AH44" i="6"/>
  <c r="AH45" i="6"/>
  <c r="AH48" i="6"/>
  <c r="AH49" i="6"/>
  <c r="AH50" i="6"/>
  <c r="AH51" i="6"/>
  <c r="AH52" i="6"/>
  <c r="AH53" i="6"/>
  <c r="AH58" i="6"/>
  <c r="AH59" i="6"/>
  <c r="AG30" i="7"/>
  <c r="AG23" i="7"/>
  <c r="AG20" i="7"/>
  <c r="AG12" i="7"/>
  <c r="AG7" i="7"/>
  <c r="AH43" i="6"/>
  <c r="AG4" i="7"/>
  <c r="AG3" i="7"/>
  <c r="AG19" i="7"/>
  <c r="AG29" i="7"/>
  <c r="AG33" i="7"/>
  <c r="AG35" i="7"/>
  <c r="AG37" i="7"/>
  <c r="AH56" i="6"/>
  <c r="AG44" i="4"/>
  <c r="AG41" i="4"/>
  <c r="AG30" i="4"/>
  <c r="AG31" i="4"/>
  <c r="AG20" i="4"/>
  <c r="AG16" i="4"/>
  <c r="AH38" i="6"/>
  <c r="AG13" i="4"/>
  <c r="AG8" i="4"/>
  <c r="AG4" i="4"/>
  <c r="AD6" i="5"/>
  <c r="AE6" i="5"/>
  <c r="AF6" i="5"/>
  <c r="AG6" i="5"/>
  <c r="AD7" i="5"/>
  <c r="AE7" i="5"/>
  <c r="AF7" i="5"/>
  <c r="AG7" i="5"/>
  <c r="AD8" i="5"/>
  <c r="AE8" i="5"/>
  <c r="AF8" i="5"/>
  <c r="AG8" i="5"/>
  <c r="AD9" i="5"/>
  <c r="AE9" i="5"/>
  <c r="AF9" i="5"/>
  <c r="AG9" i="5"/>
  <c r="AD10" i="5"/>
  <c r="AE10" i="5"/>
  <c r="AF10" i="5"/>
  <c r="AG10" i="5"/>
  <c r="AD14" i="5"/>
  <c r="AE14" i="5"/>
  <c r="AF14" i="5"/>
  <c r="AG14" i="5"/>
  <c r="AD15" i="5"/>
  <c r="AE15" i="5"/>
  <c r="AF15" i="5"/>
  <c r="AG15" i="5"/>
  <c r="AD16" i="5"/>
  <c r="AE16" i="5"/>
  <c r="AF16" i="5"/>
  <c r="AG16" i="5"/>
  <c r="AD19" i="5"/>
  <c r="AE19" i="5"/>
  <c r="AF19" i="5"/>
  <c r="AG19" i="5"/>
  <c r="AD20" i="5"/>
  <c r="AE20" i="5"/>
  <c r="AF20" i="5"/>
  <c r="AG20" i="5"/>
  <c r="AD21" i="5"/>
  <c r="AE21" i="5"/>
  <c r="AF21" i="5"/>
  <c r="AG21" i="5"/>
  <c r="AD24" i="5"/>
  <c r="AE24" i="5"/>
  <c r="AF24" i="5"/>
  <c r="AG24" i="5"/>
  <c r="AD25" i="5"/>
  <c r="AE25" i="5"/>
  <c r="AF25" i="5"/>
  <c r="AG25" i="5"/>
  <c r="AD26" i="5"/>
  <c r="AE26" i="5"/>
  <c r="AF26" i="5"/>
  <c r="AG26" i="5"/>
  <c r="AD27" i="5"/>
  <c r="AE27" i="5"/>
  <c r="AF27" i="5"/>
  <c r="AG27" i="5"/>
  <c r="AD30" i="5"/>
  <c r="AE30" i="5"/>
  <c r="AF30" i="5"/>
  <c r="AG30" i="5"/>
  <c r="AD31" i="5"/>
  <c r="AE31" i="5"/>
  <c r="AF31" i="5"/>
  <c r="AG31" i="5"/>
  <c r="AD32" i="5"/>
  <c r="AE32" i="5"/>
  <c r="AF32" i="5"/>
  <c r="AG32" i="5"/>
  <c r="AD33" i="5"/>
  <c r="AE33" i="5"/>
  <c r="AF33" i="5"/>
  <c r="AG33" i="5"/>
  <c r="AD34" i="5"/>
  <c r="AE34" i="5"/>
  <c r="AF34" i="5"/>
  <c r="AG34" i="5"/>
  <c r="AD35" i="5"/>
  <c r="AE35" i="5"/>
  <c r="AF35" i="5"/>
  <c r="AG35" i="5"/>
  <c r="AD36" i="5"/>
  <c r="AE36" i="5"/>
  <c r="AF36" i="5"/>
  <c r="AG36" i="5"/>
  <c r="AD37" i="5"/>
  <c r="AE37" i="5"/>
  <c r="AF37" i="5"/>
  <c r="AG37" i="5"/>
  <c r="AD40" i="5"/>
  <c r="AE40" i="5"/>
  <c r="AF40" i="5"/>
  <c r="AG40" i="5"/>
  <c r="AD41" i="5"/>
  <c r="AE41" i="5"/>
  <c r="AF41" i="5"/>
  <c r="AG41" i="5"/>
  <c r="AD42" i="5"/>
  <c r="AE42" i="5"/>
  <c r="AF42" i="5"/>
  <c r="AG42" i="5"/>
  <c r="AD43" i="5"/>
  <c r="AE43" i="5"/>
  <c r="AF43" i="5"/>
  <c r="AG43" i="5"/>
  <c r="AD44" i="5"/>
  <c r="AE44" i="5"/>
  <c r="AF44" i="5"/>
  <c r="AG44" i="5"/>
  <c r="AD47" i="5"/>
  <c r="AE47" i="5"/>
  <c r="AF47" i="5"/>
  <c r="AG47" i="5"/>
  <c r="AD48" i="5"/>
  <c r="AE48" i="5"/>
  <c r="AF48" i="5"/>
  <c r="AG48" i="5"/>
  <c r="AG56" i="6"/>
  <c r="AG57" i="6"/>
  <c r="AG58" i="6"/>
  <c r="AG59" i="6"/>
  <c r="AG5" i="6"/>
  <c r="AG6" i="6"/>
  <c r="AG7" i="6"/>
  <c r="AG8" i="6"/>
  <c r="AG9" i="6"/>
  <c r="AG10" i="6"/>
  <c r="AG18" i="6"/>
  <c r="AG19" i="6"/>
  <c r="AG20" i="6"/>
  <c r="AG21" i="6"/>
  <c r="AG23" i="6"/>
  <c r="AG27" i="6"/>
  <c r="AG29" i="6"/>
  <c r="AG32" i="6"/>
  <c r="AG33" i="6"/>
  <c r="AG34" i="6"/>
  <c r="AG36" i="6"/>
  <c r="AG38" i="6"/>
  <c r="AG39" i="6"/>
  <c r="AG42" i="6"/>
  <c r="AG43" i="6"/>
  <c r="AG44" i="6"/>
  <c r="AG45" i="6"/>
  <c r="AG48" i="6"/>
  <c r="AG49" i="6"/>
  <c r="AG50" i="6"/>
  <c r="AG51" i="6"/>
  <c r="AG52" i="6"/>
  <c r="AG53" i="6"/>
  <c r="AD5" i="6"/>
  <c r="AE5" i="6"/>
  <c r="AF5" i="6"/>
  <c r="AD6" i="6"/>
  <c r="AE6" i="6"/>
  <c r="AF6" i="6"/>
  <c r="AD7" i="6"/>
  <c r="AE7" i="6"/>
  <c r="AF7" i="6"/>
  <c r="AD8" i="6"/>
  <c r="AE8" i="6"/>
  <c r="AF8" i="6"/>
  <c r="AD9" i="6"/>
  <c r="AE9" i="6"/>
  <c r="AF9" i="6"/>
  <c r="AD10" i="6"/>
  <c r="AE10" i="6"/>
  <c r="AF10" i="6"/>
  <c r="AD18" i="6"/>
  <c r="AE18" i="6"/>
  <c r="AF18" i="6"/>
  <c r="AD19" i="6"/>
  <c r="AE19" i="6"/>
  <c r="AF19" i="6"/>
  <c r="AD20" i="6"/>
  <c r="AE20" i="6"/>
  <c r="AF20" i="6"/>
  <c r="AD21" i="6"/>
  <c r="AE21" i="6"/>
  <c r="AF21" i="6"/>
  <c r="AD23" i="6"/>
  <c r="AE23" i="6"/>
  <c r="AF23" i="6"/>
  <c r="AD27" i="6"/>
  <c r="AE27" i="6"/>
  <c r="AF27" i="6"/>
  <c r="AD29" i="6"/>
  <c r="AE29" i="6"/>
  <c r="AF29" i="6"/>
  <c r="AD32" i="6"/>
  <c r="AE32" i="6"/>
  <c r="AF32" i="6"/>
  <c r="AD33" i="6"/>
  <c r="AE33" i="6"/>
  <c r="AF33" i="6"/>
  <c r="AD34" i="6"/>
  <c r="AE34" i="6"/>
  <c r="AF34" i="6"/>
  <c r="AD36" i="6"/>
  <c r="AE36" i="6"/>
  <c r="AF36" i="6"/>
  <c r="AD38" i="6"/>
  <c r="AE38" i="6"/>
  <c r="AF38" i="6"/>
  <c r="AD39" i="6"/>
  <c r="AE39" i="6"/>
  <c r="AF39" i="6"/>
  <c r="AD42" i="6"/>
  <c r="AE42" i="6"/>
  <c r="AF42" i="6"/>
  <c r="AD43" i="6"/>
  <c r="AE43" i="6"/>
  <c r="AF43" i="6"/>
  <c r="AD44" i="6"/>
  <c r="AE44" i="6"/>
  <c r="AF44" i="6"/>
  <c r="AD45" i="6"/>
  <c r="AE45" i="6"/>
  <c r="AF45" i="6"/>
  <c r="AD48" i="6"/>
  <c r="AE48" i="6"/>
  <c r="AF48" i="6"/>
  <c r="AD49" i="6"/>
  <c r="AE49" i="6"/>
  <c r="AF49" i="6"/>
  <c r="AD50" i="6"/>
  <c r="AE50" i="6"/>
  <c r="AF50" i="6"/>
  <c r="AD51" i="6"/>
  <c r="AE51" i="6"/>
  <c r="AF51" i="6"/>
  <c r="AD52" i="6"/>
  <c r="AE52" i="6"/>
  <c r="AF52" i="6"/>
  <c r="AD53" i="6"/>
  <c r="AE53" i="6"/>
  <c r="AF53" i="6"/>
  <c r="AD56" i="6"/>
  <c r="AE56" i="6"/>
  <c r="AF56" i="6"/>
  <c r="AD57" i="6"/>
  <c r="AE57" i="6"/>
  <c r="AF57" i="6"/>
  <c r="AD58" i="6"/>
  <c r="AE58" i="6"/>
  <c r="AF58" i="6"/>
  <c r="AD59" i="6"/>
  <c r="AE59" i="6"/>
  <c r="AF59" i="6"/>
  <c r="AC30" i="7"/>
  <c r="AD30" i="7"/>
  <c r="AE30" i="7"/>
  <c r="AF30" i="7"/>
  <c r="AC23" i="7"/>
  <c r="AD23" i="7"/>
  <c r="AE23" i="7"/>
  <c r="AF23" i="7"/>
  <c r="AC20" i="7"/>
  <c r="AD20" i="7"/>
  <c r="AE20" i="7"/>
  <c r="AF20" i="7"/>
  <c r="AC12" i="7"/>
  <c r="AD12" i="7"/>
  <c r="AE12" i="7"/>
  <c r="AF12" i="7"/>
  <c r="AC7" i="7"/>
  <c r="AD7" i="7"/>
  <c r="AE7" i="7"/>
  <c r="AF7" i="7"/>
  <c r="AC4" i="7"/>
  <c r="AD4" i="7"/>
  <c r="AE4" i="7"/>
  <c r="AF4" i="7"/>
  <c r="AC3" i="7"/>
  <c r="AC19" i="7"/>
  <c r="AC29" i="7"/>
  <c r="AC33" i="7"/>
  <c r="AC35" i="7"/>
  <c r="AC37" i="7"/>
  <c r="AD3" i="7"/>
  <c r="AD19" i="7"/>
  <c r="AD29" i="7"/>
  <c r="AD33" i="7"/>
  <c r="AD35" i="7"/>
  <c r="AD37" i="7"/>
  <c r="AE3" i="7"/>
  <c r="AE19" i="7"/>
  <c r="AE29" i="7"/>
  <c r="AE33" i="7"/>
  <c r="AE35" i="7"/>
  <c r="AE37" i="7"/>
  <c r="AF3" i="7"/>
  <c r="AF19" i="7"/>
  <c r="AF29" i="7"/>
  <c r="AF33" i="7"/>
  <c r="AF35" i="7"/>
  <c r="AF37" i="7"/>
  <c r="AC44" i="4"/>
  <c r="AD44" i="4"/>
  <c r="AE44" i="4"/>
  <c r="AF44" i="4"/>
  <c r="AC41" i="4"/>
  <c r="AC50" i="4"/>
  <c r="AD41" i="4"/>
  <c r="AD50" i="4"/>
  <c r="AE41" i="4"/>
  <c r="AE50" i="4"/>
  <c r="AF41" i="4"/>
  <c r="AF50" i="4"/>
  <c r="AC30" i="4"/>
  <c r="AD30" i="4"/>
  <c r="AE30" i="4"/>
  <c r="AF30" i="4"/>
  <c r="AC31" i="4"/>
  <c r="AD31" i="4"/>
  <c r="AE31" i="4"/>
  <c r="AF31" i="4"/>
  <c r="AC20" i="4"/>
  <c r="AD20" i="4"/>
  <c r="AE20" i="4"/>
  <c r="AF20" i="4"/>
  <c r="AC16" i="4"/>
  <c r="AD16" i="4"/>
  <c r="AE16" i="4"/>
  <c r="AF16" i="4"/>
  <c r="AC13" i="4"/>
  <c r="AD13" i="4"/>
  <c r="AE13" i="4"/>
  <c r="AF13" i="4"/>
  <c r="AC8" i="4"/>
  <c r="AD8" i="4"/>
  <c r="AE8" i="4"/>
  <c r="AF8" i="4"/>
  <c r="AC4" i="4"/>
  <c r="AC26" i="4"/>
  <c r="AD4" i="4"/>
  <c r="AD26" i="4"/>
  <c r="AE4" i="4"/>
  <c r="AE26" i="4"/>
  <c r="AF4" i="4"/>
  <c r="AF26" i="4"/>
  <c r="AB52" i="4"/>
  <c r="AB43" i="4"/>
  <c r="AB47" i="4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O18" i="6"/>
  <c r="N43" i="4"/>
  <c r="N41" i="4"/>
  <c r="O19" i="6"/>
  <c r="O20" i="6"/>
  <c r="N46" i="4"/>
  <c r="O21" i="6"/>
  <c r="O17" i="6"/>
  <c r="O14" i="6"/>
  <c r="O6" i="5"/>
  <c r="P18" i="6"/>
  <c r="O41" i="4"/>
  <c r="P19" i="6"/>
  <c r="P20" i="6"/>
  <c r="P21" i="6"/>
  <c r="P17" i="6"/>
  <c r="P14" i="6"/>
  <c r="P6" i="5"/>
  <c r="Q18" i="6"/>
  <c r="P41" i="4"/>
  <c r="Q19" i="6"/>
  <c r="Q20" i="6"/>
  <c r="Q21" i="6"/>
  <c r="Q17" i="6"/>
  <c r="Q14" i="6"/>
  <c r="Q6" i="5"/>
  <c r="R18" i="6"/>
  <c r="Q41" i="4"/>
  <c r="R19" i="6"/>
  <c r="R20" i="6"/>
  <c r="R21" i="6"/>
  <c r="R17" i="6"/>
  <c r="R14" i="6"/>
  <c r="R6" i="5"/>
  <c r="S18" i="6"/>
  <c r="R41" i="4"/>
  <c r="S19" i="6"/>
  <c r="S20" i="6"/>
  <c r="S21" i="6"/>
  <c r="S17" i="6"/>
  <c r="S14" i="6"/>
  <c r="S6" i="5"/>
  <c r="T18" i="6"/>
  <c r="S41" i="4"/>
  <c r="T19" i="6"/>
  <c r="T20" i="6"/>
  <c r="T21" i="6"/>
  <c r="T17" i="6"/>
  <c r="T14" i="6"/>
  <c r="T6" i="5"/>
  <c r="U18" i="6"/>
  <c r="T41" i="4"/>
  <c r="U19" i="6"/>
  <c r="U20" i="6"/>
  <c r="U21" i="6"/>
  <c r="U17" i="6"/>
  <c r="U14" i="6"/>
  <c r="U6" i="5"/>
  <c r="V18" i="6"/>
  <c r="U41" i="4"/>
  <c r="V19" i="6"/>
  <c r="V20" i="6"/>
  <c r="V21" i="6"/>
  <c r="V17" i="6"/>
  <c r="V14" i="6"/>
  <c r="V6" i="5"/>
  <c r="W18" i="6"/>
  <c r="V41" i="4"/>
  <c r="W19" i="6"/>
  <c r="W20" i="6"/>
  <c r="W21" i="6"/>
  <c r="W17" i="6"/>
  <c r="W14" i="6"/>
  <c r="W6" i="5"/>
  <c r="X18" i="6"/>
  <c r="W41" i="4"/>
  <c r="X19" i="6"/>
  <c r="X20" i="6"/>
  <c r="X21" i="6"/>
  <c r="X17" i="6"/>
  <c r="X14" i="6"/>
  <c r="X6" i="5"/>
  <c r="Y18" i="6"/>
  <c r="X41" i="4"/>
  <c r="Y19" i="6"/>
  <c r="Y20" i="6"/>
  <c r="Y21" i="6"/>
  <c r="Y17" i="6"/>
  <c r="Y14" i="6"/>
  <c r="Y6" i="5"/>
  <c r="Z18" i="6"/>
  <c r="Y41" i="4"/>
  <c r="Z19" i="6"/>
  <c r="Z20" i="6"/>
  <c r="Z21" i="6"/>
  <c r="Z17" i="6"/>
  <c r="Z14" i="6"/>
  <c r="Z6" i="5"/>
  <c r="AA18" i="6"/>
  <c r="Z41" i="4"/>
  <c r="AA19" i="6"/>
  <c r="AA20" i="6"/>
  <c r="AA21" i="6"/>
  <c r="AA17" i="6"/>
  <c r="AA14" i="6"/>
  <c r="AA6" i="5"/>
  <c r="AA39" i="4"/>
  <c r="AB18" i="6"/>
  <c r="AA41" i="4"/>
  <c r="AB19" i="6"/>
  <c r="AA45" i="4"/>
  <c r="AB20" i="6"/>
  <c r="AA46" i="4"/>
  <c r="AB21" i="6"/>
  <c r="AB17" i="6"/>
  <c r="AB14" i="6"/>
  <c r="AB6" i="5"/>
  <c r="AB41" i="4"/>
  <c r="AC19" i="6"/>
  <c r="AC18" i="6"/>
  <c r="AC20" i="6"/>
  <c r="AC21" i="6"/>
  <c r="AC17" i="6"/>
  <c r="AC14" i="6"/>
  <c r="AC6" i="5"/>
  <c r="N5" i="4"/>
  <c r="N6" i="4"/>
  <c r="N4" i="4"/>
  <c r="N9" i="4"/>
  <c r="N12" i="4"/>
  <c r="N8" i="4"/>
  <c r="N13" i="4"/>
  <c r="N16" i="4"/>
  <c r="N25" i="4"/>
  <c r="N20" i="4"/>
  <c r="N26" i="4"/>
  <c r="O5" i="6"/>
  <c r="O7" i="5"/>
  <c r="O4" i="4"/>
  <c r="O8" i="4"/>
  <c r="O13" i="4"/>
  <c r="O16" i="4"/>
  <c r="O20" i="4"/>
  <c r="O26" i="4"/>
  <c r="P5" i="6"/>
  <c r="P7" i="5"/>
  <c r="P4" i="4"/>
  <c r="P8" i="4"/>
  <c r="P13" i="4"/>
  <c r="P16" i="4"/>
  <c r="P20" i="4"/>
  <c r="P26" i="4"/>
  <c r="Q5" i="6"/>
  <c r="Q7" i="5"/>
  <c r="Q4" i="4"/>
  <c r="Q8" i="4"/>
  <c r="Q13" i="4"/>
  <c r="Q16" i="4"/>
  <c r="Q20" i="4"/>
  <c r="Q26" i="4"/>
  <c r="R5" i="6"/>
  <c r="R7" i="5"/>
  <c r="R4" i="4"/>
  <c r="R8" i="4"/>
  <c r="R13" i="4"/>
  <c r="R16" i="4"/>
  <c r="R20" i="4"/>
  <c r="R26" i="4"/>
  <c r="S5" i="6"/>
  <c r="S7" i="5"/>
  <c r="S4" i="4"/>
  <c r="S8" i="4"/>
  <c r="S13" i="4"/>
  <c r="S16" i="4"/>
  <c r="S20" i="4"/>
  <c r="S26" i="4"/>
  <c r="T5" i="6"/>
  <c r="T7" i="5"/>
  <c r="T4" i="4"/>
  <c r="T8" i="4"/>
  <c r="T13" i="4"/>
  <c r="T16" i="4"/>
  <c r="T20" i="4"/>
  <c r="T26" i="4"/>
  <c r="U5" i="6"/>
  <c r="U7" i="5"/>
  <c r="U4" i="4"/>
  <c r="U8" i="4"/>
  <c r="U13" i="4"/>
  <c r="U16" i="4"/>
  <c r="U20" i="4"/>
  <c r="U26" i="4"/>
  <c r="V5" i="6"/>
  <c r="V7" i="5"/>
  <c r="V4" i="4"/>
  <c r="V8" i="4"/>
  <c r="V13" i="4"/>
  <c r="V16" i="4"/>
  <c r="V20" i="4"/>
  <c r="V26" i="4"/>
  <c r="W5" i="6"/>
  <c r="W7" i="5"/>
  <c r="W4" i="4"/>
  <c r="W8" i="4"/>
  <c r="W13" i="4"/>
  <c r="W16" i="4"/>
  <c r="W20" i="4"/>
  <c r="W26" i="4"/>
  <c r="X5" i="6"/>
  <c r="X7" i="5"/>
  <c r="X4" i="4"/>
  <c r="X8" i="4"/>
  <c r="X13" i="4"/>
  <c r="X16" i="4"/>
  <c r="X20" i="4"/>
  <c r="X26" i="4"/>
  <c r="Y5" i="6"/>
  <c r="Y7" i="5"/>
  <c r="Y4" i="4"/>
  <c r="Y8" i="4"/>
  <c r="Y13" i="4"/>
  <c r="Y16" i="4"/>
  <c r="Y20" i="4"/>
  <c r="Y26" i="4"/>
  <c r="Z5" i="6"/>
  <c r="Z7" i="5"/>
  <c r="Z4" i="4"/>
  <c r="Z8" i="4"/>
  <c r="Z13" i="4"/>
  <c r="Z16" i="4"/>
  <c r="Z25" i="4"/>
  <c r="Z20" i="4"/>
  <c r="Z26" i="4"/>
  <c r="AA5" i="6"/>
  <c r="AA7" i="5"/>
  <c r="AA26" i="4"/>
  <c r="AB5" i="6"/>
  <c r="AB7" i="5"/>
  <c r="AB4" i="4"/>
  <c r="AB8" i="4"/>
  <c r="AB13" i="4"/>
  <c r="AB16" i="4"/>
  <c r="AB25" i="4"/>
  <c r="AB20" i="4"/>
  <c r="AB26" i="4"/>
  <c r="AC5" i="6"/>
  <c r="AC7" i="5"/>
  <c r="N27" i="4"/>
  <c r="N28" i="4"/>
  <c r="N29" i="4"/>
  <c r="N30" i="4"/>
  <c r="O6" i="6"/>
  <c r="O8" i="5"/>
  <c r="O30" i="4"/>
  <c r="P6" i="6"/>
  <c r="P8" i="5"/>
  <c r="P30" i="4"/>
  <c r="Q6" i="6"/>
  <c r="Q8" i="5"/>
  <c r="Q30" i="4"/>
  <c r="R6" i="6"/>
  <c r="R8" i="5"/>
  <c r="R30" i="4"/>
  <c r="S6" i="6"/>
  <c r="S8" i="5"/>
  <c r="S30" i="4"/>
  <c r="T6" i="6"/>
  <c r="T8" i="5"/>
  <c r="T30" i="4"/>
  <c r="U6" i="6"/>
  <c r="U8" i="5"/>
  <c r="U30" i="4"/>
  <c r="V6" i="6"/>
  <c r="V8" i="5"/>
  <c r="V30" i="4"/>
  <c r="W6" i="6"/>
  <c r="W8" i="5"/>
  <c r="W30" i="4"/>
  <c r="X6" i="6"/>
  <c r="X8" i="5"/>
  <c r="X30" i="4"/>
  <c r="Y6" i="6"/>
  <c r="Y8" i="5"/>
  <c r="Y30" i="4"/>
  <c r="Z6" i="6"/>
  <c r="Z8" i="5"/>
  <c r="Z30" i="4"/>
  <c r="AA6" i="6"/>
  <c r="AA8" i="5"/>
  <c r="AA30" i="4"/>
  <c r="AB6" i="6"/>
  <c r="AB8" i="5"/>
  <c r="AB30" i="4"/>
  <c r="AC6" i="6"/>
  <c r="AC8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O15" i="6"/>
  <c r="O10" i="5"/>
  <c r="P15" i="6"/>
  <c r="P10" i="5"/>
  <c r="Q15" i="6"/>
  <c r="Q10" i="5"/>
  <c r="R15" i="6"/>
  <c r="R10" i="5"/>
  <c r="S15" i="6"/>
  <c r="S10" i="5"/>
  <c r="T15" i="6"/>
  <c r="T10" i="5"/>
  <c r="U15" i="6"/>
  <c r="U10" i="5"/>
  <c r="V15" i="6"/>
  <c r="V10" i="5"/>
  <c r="W15" i="6"/>
  <c r="W10" i="5"/>
  <c r="X15" i="6"/>
  <c r="X10" i="5"/>
  <c r="Y15" i="6"/>
  <c r="Y10" i="5"/>
  <c r="Z15" i="6"/>
  <c r="Z10" i="5"/>
  <c r="AA15" i="6"/>
  <c r="AA10" i="5"/>
  <c r="AB15" i="6"/>
  <c r="AB10" i="5"/>
  <c r="AC15" i="6"/>
  <c r="AC10" i="5"/>
  <c r="O38" i="6"/>
  <c r="O14" i="5"/>
  <c r="P38" i="6"/>
  <c r="P14" i="5"/>
  <c r="Q38" i="6"/>
  <c r="Q14" i="5"/>
  <c r="R38" i="6"/>
  <c r="R14" i="5"/>
  <c r="S38" i="6"/>
  <c r="S14" i="5"/>
  <c r="T38" i="6"/>
  <c r="T14" i="5"/>
  <c r="U38" i="6"/>
  <c r="U14" i="5"/>
  <c r="V38" i="6"/>
  <c r="V14" i="5"/>
  <c r="W38" i="6"/>
  <c r="W14" i="5"/>
  <c r="X38" i="6"/>
  <c r="X14" i="5"/>
  <c r="Y38" i="6"/>
  <c r="Y14" i="5"/>
  <c r="Z38" i="6"/>
  <c r="Z14" i="5"/>
  <c r="AA38" i="6"/>
  <c r="AA14" i="5"/>
  <c r="AA7" i="4"/>
  <c r="AA16" i="4"/>
  <c r="AA22" i="4"/>
  <c r="AA23" i="4"/>
  <c r="AA24" i="4"/>
  <c r="AA25" i="4"/>
  <c r="AB38" i="6"/>
  <c r="AB14" i="5"/>
  <c r="AC38" i="6"/>
  <c r="AC14" i="5"/>
  <c r="O39" i="6"/>
  <c r="O15" i="5"/>
  <c r="P39" i="6"/>
  <c r="P15" i="5"/>
  <c r="Q39" i="6"/>
  <c r="Q15" i="5"/>
  <c r="R39" i="6"/>
  <c r="R15" i="5"/>
  <c r="S39" i="6"/>
  <c r="S15" i="5"/>
  <c r="T39" i="6"/>
  <c r="T15" i="5"/>
  <c r="U39" i="6"/>
  <c r="U15" i="5"/>
  <c r="V39" i="6"/>
  <c r="V15" i="5"/>
  <c r="W39" i="6"/>
  <c r="W15" i="5"/>
  <c r="X39" i="6"/>
  <c r="X15" i="5"/>
  <c r="Y39" i="6"/>
  <c r="Y15" i="5"/>
  <c r="Z39" i="6"/>
  <c r="Z15" i="5"/>
  <c r="AA39" i="6"/>
  <c r="AA15" i="5"/>
  <c r="AB39" i="6"/>
  <c r="AB15" i="5"/>
  <c r="AC39" i="6"/>
  <c r="AC15" i="5"/>
  <c r="O32" i="6"/>
  <c r="O16" i="5"/>
  <c r="P32" i="6"/>
  <c r="P16" i="5"/>
  <c r="Q32" i="6"/>
  <c r="Q16" i="5"/>
  <c r="R32" i="6"/>
  <c r="R16" i="5"/>
  <c r="S32" i="6"/>
  <c r="S16" i="5"/>
  <c r="T32" i="6"/>
  <c r="T16" i="5"/>
  <c r="U32" i="6"/>
  <c r="U16" i="5"/>
  <c r="V32" i="6"/>
  <c r="V16" i="5"/>
  <c r="W32" i="6"/>
  <c r="W16" i="5"/>
  <c r="X32" i="6"/>
  <c r="X16" i="5"/>
  <c r="Y32" i="6"/>
  <c r="Y16" i="5"/>
  <c r="Z32" i="6"/>
  <c r="Z16" i="5"/>
  <c r="AA32" i="6"/>
  <c r="AA16" i="5"/>
  <c r="AA14" i="4"/>
  <c r="AB32" i="6"/>
  <c r="AB16" i="5"/>
  <c r="AC34" i="6"/>
  <c r="AC32" i="6"/>
  <c r="AC16" i="5"/>
  <c r="O27" i="6"/>
  <c r="O29" i="6"/>
  <c r="O26" i="6"/>
  <c r="O19" i="5"/>
  <c r="P27" i="6"/>
  <c r="P29" i="6"/>
  <c r="P26" i="6"/>
  <c r="P19" i="5"/>
  <c r="Q27" i="6"/>
  <c r="Q29" i="6"/>
  <c r="Q26" i="6"/>
  <c r="Q19" i="5"/>
  <c r="R27" i="6"/>
  <c r="R29" i="6"/>
  <c r="R26" i="6"/>
  <c r="R19" i="5"/>
  <c r="S27" i="6"/>
  <c r="S29" i="6"/>
  <c r="S26" i="6"/>
  <c r="S19" i="5"/>
  <c r="T27" i="6"/>
  <c r="T29" i="6"/>
  <c r="T26" i="6"/>
  <c r="T19" i="5"/>
  <c r="U27" i="6"/>
  <c r="U29" i="6"/>
  <c r="U26" i="6"/>
  <c r="U19" i="5"/>
  <c r="V27" i="6"/>
  <c r="V29" i="6"/>
  <c r="V26" i="6"/>
  <c r="V19" i="5"/>
  <c r="W27" i="6"/>
  <c r="W29" i="6"/>
  <c r="W26" i="6"/>
  <c r="W19" i="5"/>
  <c r="X27" i="6"/>
  <c r="X29" i="6"/>
  <c r="X26" i="6"/>
  <c r="X19" i="5"/>
  <c r="Y27" i="6"/>
  <c r="Y29" i="6"/>
  <c r="Y26" i="6"/>
  <c r="Y19" i="5"/>
  <c r="Z27" i="6"/>
  <c r="Z29" i="6"/>
  <c r="Z26" i="6"/>
  <c r="Z19" i="5"/>
  <c r="AA27" i="6"/>
  <c r="AA29" i="6"/>
  <c r="AA26" i="6"/>
  <c r="AA19" i="5"/>
  <c r="AA12" i="4"/>
  <c r="AB27" i="6"/>
  <c r="AA11" i="4"/>
  <c r="AB29" i="6"/>
  <c r="AB26" i="6"/>
  <c r="AB19" i="5"/>
  <c r="AC27" i="6"/>
  <c r="AC29" i="6"/>
  <c r="AC26" i="6"/>
  <c r="AC19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O33" i="6"/>
  <c r="O31" i="6"/>
  <c r="O21" i="5"/>
  <c r="P33" i="6"/>
  <c r="P31" i="6"/>
  <c r="P21" i="5"/>
  <c r="Q33" i="6"/>
  <c r="Q31" i="6"/>
  <c r="Q21" i="5"/>
  <c r="R33" i="6"/>
  <c r="R31" i="6"/>
  <c r="R21" i="5"/>
  <c r="S33" i="6"/>
  <c r="S31" i="6"/>
  <c r="S21" i="5"/>
  <c r="T33" i="6"/>
  <c r="T31" i="6"/>
  <c r="T21" i="5"/>
  <c r="U33" i="6"/>
  <c r="U31" i="6"/>
  <c r="U21" i="5"/>
  <c r="V33" i="6"/>
  <c r="V31" i="6"/>
  <c r="V21" i="5"/>
  <c r="W33" i="6"/>
  <c r="W31" i="6"/>
  <c r="W21" i="5"/>
  <c r="X33" i="6"/>
  <c r="X31" i="6"/>
  <c r="X21" i="5"/>
  <c r="Y33" i="6"/>
  <c r="Y31" i="6"/>
  <c r="Y21" i="5"/>
  <c r="Z33" i="6"/>
  <c r="Z31" i="6"/>
  <c r="Z21" i="5"/>
  <c r="AA33" i="6"/>
  <c r="AA31" i="6"/>
  <c r="AA21" i="5"/>
  <c r="AA15" i="4"/>
  <c r="AB33" i="6"/>
  <c r="AB31" i="6"/>
  <c r="AB21" i="5"/>
  <c r="AC33" i="6"/>
  <c r="AC31" i="6"/>
  <c r="AC21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O7" i="6"/>
  <c r="O25" i="5"/>
  <c r="P7" i="6"/>
  <c r="P25" i="5"/>
  <c r="Q7" i="6"/>
  <c r="Q25" i="5"/>
  <c r="R7" i="6"/>
  <c r="R25" i="5"/>
  <c r="S7" i="6"/>
  <c r="S25" i="5"/>
  <c r="T7" i="6"/>
  <c r="T25" i="5"/>
  <c r="U7" i="6"/>
  <c r="U25" i="5"/>
  <c r="V7" i="6"/>
  <c r="V25" i="5"/>
  <c r="W7" i="6"/>
  <c r="W25" i="5"/>
  <c r="X7" i="6"/>
  <c r="X25" i="5"/>
  <c r="Y7" i="6"/>
  <c r="Y25" i="5"/>
  <c r="Z7" i="6"/>
  <c r="Z25" i="5"/>
  <c r="AA7" i="6"/>
  <c r="AA25" i="5"/>
  <c r="AA29" i="4"/>
  <c r="AB7" i="6"/>
  <c r="AB25" i="5"/>
  <c r="AC7" i="6"/>
  <c r="AC25" i="5"/>
  <c r="O8" i="6"/>
  <c r="O26" i="5"/>
  <c r="P8" i="6"/>
  <c r="P26" i="5"/>
  <c r="Q8" i="6"/>
  <c r="Q26" i="5"/>
  <c r="R8" i="6"/>
  <c r="R26" i="5"/>
  <c r="S8" i="6"/>
  <c r="S26" i="5"/>
  <c r="T8" i="6"/>
  <c r="T26" i="5"/>
  <c r="U8" i="6"/>
  <c r="U26" i="5"/>
  <c r="V8" i="6"/>
  <c r="V26" i="5"/>
  <c r="W8" i="6"/>
  <c r="W26" i="5"/>
  <c r="X8" i="6"/>
  <c r="X26" i="5"/>
  <c r="Y8" i="6"/>
  <c r="Y26" i="5"/>
  <c r="Z8" i="6"/>
  <c r="Z26" i="5"/>
  <c r="AA8" i="6"/>
  <c r="AA26" i="5"/>
  <c r="AA27" i="4"/>
  <c r="AB8" i="6"/>
  <c r="AB26" i="5"/>
  <c r="AC8" i="6"/>
  <c r="AC26" i="5"/>
  <c r="O9" i="6"/>
  <c r="O27" i="5"/>
  <c r="P9" i="6"/>
  <c r="P27" i="5"/>
  <c r="Q9" i="6"/>
  <c r="Q27" i="5"/>
  <c r="R9" i="6"/>
  <c r="R27" i="5"/>
  <c r="S9" i="6"/>
  <c r="S27" i="5"/>
  <c r="T9" i="6"/>
  <c r="T27" i="5"/>
  <c r="U9" i="6"/>
  <c r="U27" i="5"/>
  <c r="V9" i="6"/>
  <c r="V27" i="5"/>
  <c r="W9" i="6"/>
  <c r="W27" i="5"/>
  <c r="X9" i="6"/>
  <c r="X27" i="5"/>
  <c r="Y9" i="6"/>
  <c r="Y27" i="5"/>
  <c r="Z9" i="6"/>
  <c r="Z27" i="5"/>
  <c r="AA9" i="6"/>
  <c r="AA27" i="5"/>
  <c r="AA37" i="4"/>
  <c r="AB9" i="6"/>
  <c r="AB27" i="5"/>
  <c r="AC9" i="6"/>
  <c r="AC27" i="5"/>
  <c r="M4" i="4"/>
  <c r="M8" i="4"/>
  <c r="M13" i="4"/>
  <c r="M16" i="4"/>
  <c r="M20" i="4"/>
  <c r="M26" i="4"/>
  <c r="N5" i="6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M30" i="4"/>
  <c r="N6" i="6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N7" i="6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N8" i="6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N9" i="6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O10" i="6"/>
  <c r="N10" i="6"/>
  <c r="O35" i="5"/>
  <c r="P10" i="6"/>
  <c r="P35" i="5"/>
  <c r="Q10" i="6"/>
  <c r="Q35" i="5"/>
  <c r="R10" i="6"/>
  <c r="R35" i="5"/>
  <c r="S10" i="6"/>
  <c r="S35" i="5"/>
  <c r="T10" i="6"/>
  <c r="T35" i="5"/>
  <c r="U10" i="6"/>
  <c r="U35" i="5"/>
  <c r="V10" i="6"/>
  <c r="V35" i="5"/>
  <c r="W10" i="6"/>
  <c r="W35" i="5"/>
  <c r="X10" i="6"/>
  <c r="X35" i="5"/>
  <c r="Y10" i="6"/>
  <c r="Y35" i="5"/>
  <c r="Z10" i="6"/>
  <c r="Z35" i="5"/>
  <c r="AA10" i="6"/>
  <c r="AA35" i="5"/>
  <c r="AA32" i="4"/>
  <c r="AA33" i="4"/>
  <c r="AA34" i="4"/>
  <c r="AA35" i="4"/>
  <c r="AA36" i="4"/>
  <c r="AB10" i="6"/>
  <c r="AB35" i="5"/>
  <c r="AC10" i="6"/>
  <c r="AC35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N31" i="4"/>
  <c r="O47" i="5"/>
  <c r="O31" i="4"/>
  <c r="P47" i="5"/>
  <c r="P31" i="4"/>
  <c r="Q47" i="5"/>
  <c r="Q31" i="4"/>
  <c r="R47" i="5"/>
  <c r="R31" i="4"/>
  <c r="S47" i="5"/>
  <c r="S31" i="4"/>
  <c r="T47" i="5"/>
  <c r="T31" i="4"/>
  <c r="U47" i="5"/>
  <c r="U31" i="4"/>
  <c r="V47" i="5"/>
  <c r="V31" i="4"/>
  <c r="W47" i="5"/>
  <c r="W31" i="4"/>
  <c r="X47" i="5"/>
  <c r="X31" i="4"/>
  <c r="Y47" i="5"/>
  <c r="Y31" i="4"/>
  <c r="Z47" i="5"/>
  <c r="Z31" i="4"/>
  <c r="AA47" i="5"/>
  <c r="AA4" i="4"/>
  <c r="AA31" i="4"/>
  <c r="AB47" i="5"/>
  <c r="AB31" i="4"/>
  <c r="AC47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I4" i="4"/>
  <c r="I8" i="4"/>
  <c r="I13" i="4"/>
  <c r="I16" i="4"/>
  <c r="I20" i="4"/>
  <c r="I26" i="4"/>
  <c r="O54" i="5"/>
  <c r="J4" i="4"/>
  <c r="J8" i="4"/>
  <c r="J13" i="4"/>
  <c r="J16" i="4"/>
  <c r="J20" i="4"/>
  <c r="J26" i="4"/>
  <c r="P54" i="5"/>
  <c r="K4" i="4"/>
  <c r="K8" i="4"/>
  <c r="K13" i="4"/>
  <c r="K20" i="4"/>
  <c r="K26" i="4"/>
  <c r="Q54" i="5"/>
  <c r="L4" i="4"/>
  <c r="L8" i="4"/>
  <c r="L13" i="4"/>
  <c r="L16" i="4"/>
  <c r="L20" i="4"/>
  <c r="L26" i="4"/>
  <c r="R54" i="5"/>
  <c r="S54" i="5"/>
  <c r="T54" i="5"/>
  <c r="U54" i="5"/>
  <c r="V54" i="5"/>
  <c r="W54" i="5"/>
  <c r="X54" i="5"/>
  <c r="Y54" i="5"/>
  <c r="Z54" i="5"/>
  <c r="AA54" i="5"/>
  <c r="AB54" i="5"/>
  <c r="AC54" i="5"/>
  <c r="O55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O36" i="6"/>
  <c r="O57" i="5"/>
  <c r="P36" i="6"/>
  <c r="P57" i="5"/>
  <c r="Q36" i="6"/>
  <c r="Q57" i="5"/>
  <c r="R36" i="6"/>
  <c r="R57" i="5"/>
  <c r="S36" i="6"/>
  <c r="S57" i="5"/>
  <c r="T36" i="6"/>
  <c r="T57" i="5"/>
  <c r="U36" i="6"/>
  <c r="U57" i="5"/>
  <c r="V36" i="6"/>
  <c r="V57" i="5"/>
  <c r="W36" i="6"/>
  <c r="W57" i="5"/>
  <c r="X36" i="6"/>
  <c r="X57" i="5"/>
  <c r="Y36" i="6"/>
  <c r="Y57" i="5"/>
  <c r="Z36" i="6"/>
  <c r="Z57" i="5"/>
  <c r="AA36" i="6"/>
  <c r="AA57" i="5"/>
  <c r="AB36" i="6"/>
  <c r="AB57" i="5"/>
  <c r="AC36" i="6"/>
  <c r="AC57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C4" i="4"/>
  <c r="C8" i="4"/>
  <c r="C13" i="4"/>
  <c r="C16" i="4"/>
  <c r="C20" i="4"/>
  <c r="C26" i="4"/>
  <c r="D5" i="6"/>
  <c r="D4" i="4"/>
  <c r="D8" i="4"/>
  <c r="D13" i="4"/>
  <c r="D16" i="4"/>
  <c r="D20" i="4"/>
  <c r="D26" i="4"/>
  <c r="E5" i="6"/>
  <c r="E4" i="4"/>
  <c r="E8" i="4"/>
  <c r="E13" i="4"/>
  <c r="E16" i="4"/>
  <c r="E20" i="4"/>
  <c r="E26" i="4"/>
  <c r="F5" i="6"/>
  <c r="F4" i="4"/>
  <c r="F8" i="4"/>
  <c r="F13" i="4"/>
  <c r="F16" i="4"/>
  <c r="F20" i="4"/>
  <c r="F26" i="4"/>
  <c r="G5" i="6"/>
  <c r="G4" i="4"/>
  <c r="G8" i="4"/>
  <c r="G13" i="4"/>
  <c r="G16" i="4"/>
  <c r="G20" i="4"/>
  <c r="G26" i="4"/>
  <c r="H5" i="6"/>
  <c r="H4" i="4"/>
  <c r="H8" i="4"/>
  <c r="H13" i="4"/>
  <c r="H16" i="4"/>
  <c r="H20" i="4"/>
  <c r="H26" i="4"/>
  <c r="I5" i="6"/>
  <c r="J5" i="6"/>
  <c r="K5" i="6"/>
  <c r="L5" i="6"/>
  <c r="M5" i="6"/>
  <c r="C30" i="4"/>
  <c r="D6" i="6"/>
  <c r="D30" i="4"/>
  <c r="E6" i="6"/>
  <c r="E30" i="4"/>
  <c r="F6" i="6"/>
  <c r="F30" i="4"/>
  <c r="G6" i="6"/>
  <c r="G30" i="4"/>
  <c r="H6" i="6"/>
  <c r="H30" i="4"/>
  <c r="I6" i="6"/>
  <c r="I30" i="4"/>
  <c r="J6" i="6"/>
  <c r="J30" i="4"/>
  <c r="K6" i="6"/>
  <c r="K30" i="4"/>
  <c r="L6" i="6"/>
  <c r="L30" i="4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8" i="6"/>
  <c r="D20" i="6"/>
  <c r="D21" i="6"/>
  <c r="D13" i="6"/>
  <c r="E18" i="6"/>
  <c r="E20" i="6"/>
  <c r="E21" i="6"/>
  <c r="E13" i="6"/>
  <c r="F18" i="6"/>
  <c r="F20" i="6"/>
  <c r="F21" i="6"/>
  <c r="F13" i="6"/>
  <c r="G18" i="6"/>
  <c r="G20" i="6"/>
  <c r="G21" i="6"/>
  <c r="G13" i="6"/>
  <c r="H18" i="6"/>
  <c r="H20" i="6"/>
  <c r="H21" i="6"/>
  <c r="H13" i="6"/>
  <c r="I18" i="6"/>
  <c r="I20" i="6"/>
  <c r="I21" i="6"/>
  <c r="I13" i="6"/>
  <c r="J18" i="6"/>
  <c r="J20" i="6"/>
  <c r="J21" i="6"/>
  <c r="J13" i="6"/>
  <c r="K18" i="6"/>
  <c r="K20" i="6"/>
  <c r="K21" i="6"/>
  <c r="K13" i="6"/>
  <c r="L18" i="6"/>
  <c r="L20" i="6"/>
  <c r="L21" i="6"/>
  <c r="L13" i="6"/>
  <c r="M18" i="6"/>
  <c r="M20" i="6"/>
  <c r="M21" i="6"/>
  <c r="M13" i="6"/>
  <c r="N18" i="6"/>
  <c r="N20" i="6"/>
  <c r="N21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C41" i="4"/>
  <c r="D19" i="6"/>
  <c r="D17" i="6"/>
  <c r="D14" i="6"/>
  <c r="D41" i="4"/>
  <c r="E19" i="6"/>
  <c r="E17" i="6"/>
  <c r="E14" i="6"/>
  <c r="E41" i="4"/>
  <c r="F19" i="6"/>
  <c r="F17" i="6"/>
  <c r="F14" i="6"/>
  <c r="F41" i="4"/>
  <c r="G19" i="6"/>
  <c r="G17" i="6"/>
  <c r="G14" i="6"/>
  <c r="G41" i="4"/>
  <c r="H19" i="6"/>
  <c r="H17" i="6"/>
  <c r="H14" i="6"/>
  <c r="H41" i="4"/>
  <c r="I19" i="6"/>
  <c r="I17" i="6"/>
  <c r="I14" i="6"/>
  <c r="I41" i="4"/>
  <c r="J19" i="6"/>
  <c r="J17" i="6"/>
  <c r="J14" i="6"/>
  <c r="J41" i="4"/>
  <c r="K19" i="6"/>
  <c r="K17" i="6"/>
  <c r="K14" i="6"/>
  <c r="K41" i="4"/>
  <c r="L19" i="6"/>
  <c r="L17" i="6"/>
  <c r="L14" i="6"/>
  <c r="L41" i="4"/>
  <c r="M19" i="6"/>
  <c r="M17" i="6"/>
  <c r="M14" i="6"/>
  <c r="M41" i="4"/>
  <c r="N19" i="6"/>
  <c r="N17" i="6"/>
  <c r="N14" i="6"/>
  <c r="D15" i="6"/>
  <c r="E15" i="6"/>
  <c r="F15" i="6"/>
  <c r="G15" i="6"/>
  <c r="H15" i="6"/>
  <c r="I15" i="6"/>
  <c r="J15" i="6"/>
  <c r="K15" i="6"/>
  <c r="L15" i="6"/>
  <c r="M15" i="6"/>
  <c r="N15" i="6"/>
  <c r="D23" i="6"/>
  <c r="E23" i="6"/>
  <c r="F23" i="6"/>
  <c r="G23" i="6"/>
  <c r="H23" i="6"/>
  <c r="I23" i="6"/>
  <c r="J23" i="6"/>
  <c r="K23" i="6"/>
  <c r="L23" i="6"/>
  <c r="M23" i="6"/>
  <c r="N23" i="6"/>
  <c r="N48" i="4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A48" i="4"/>
  <c r="AB23" i="6"/>
  <c r="AC23" i="6"/>
  <c r="D27" i="6"/>
  <c r="D29" i="6"/>
  <c r="D26" i="6"/>
  <c r="E27" i="6"/>
  <c r="E29" i="6"/>
  <c r="E26" i="6"/>
  <c r="F27" i="6"/>
  <c r="F29" i="6"/>
  <c r="F26" i="6"/>
  <c r="G27" i="6"/>
  <c r="G29" i="6"/>
  <c r="G26" i="6"/>
  <c r="H27" i="6"/>
  <c r="H29" i="6"/>
  <c r="H26" i="6"/>
  <c r="I27" i="6"/>
  <c r="I29" i="6"/>
  <c r="I26" i="6"/>
  <c r="J27" i="6"/>
  <c r="J29" i="6"/>
  <c r="J26" i="6"/>
  <c r="K27" i="6"/>
  <c r="K29" i="6"/>
  <c r="K26" i="6"/>
  <c r="L27" i="6"/>
  <c r="L29" i="6"/>
  <c r="L26" i="6"/>
  <c r="M27" i="6"/>
  <c r="M29" i="6"/>
  <c r="M26" i="6"/>
  <c r="N27" i="6"/>
  <c r="N29" i="6"/>
  <c r="N26" i="6"/>
  <c r="D32" i="6"/>
  <c r="D33" i="6"/>
  <c r="D31" i="6"/>
  <c r="E32" i="6"/>
  <c r="E33" i="6"/>
  <c r="E31" i="6"/>
  <c r="F32" i="6"/>
  <c r="F33" i="6"/>
  <c r="F31" i="6"/>
  <c r="G32" i="6"/>
  <c r="G33" i="6"/>
  <c r="G31" i="6"/>
  <c r="H32" i="6"/>
  <c r="H33" i="6"/>
  <c r="H31" i="6"/>
  <c r="I32" i="6"/>
  <c r="I33" i="6"/>
  <c r="I31" i="6"/>
  <c r="J32" i="6"/>
  <c r="J33" i="6"/>
  <c r="J31" i="6"/>
  <c r="K32" i="6"/>
  <c r="K33" i="6"/>
  <c r="K31" i="6"/>
  <c r="L32" i="6"/>
  <c r="L33" i="6"/>
  <c r="L31" i="6"/>
  <c r="M32" i="6"/>
  <c r="M33" i="6"/>
  <c r="M31" i="6"/>
  <c r="N32" i="6"/>
  <c r="N33" i="6"/>
  <c r="N31" i="6"/>
  <c r="D36" i="6"/>
  <c r="E36" i="6"/>
  <c r="F36" i="6"/>
  <c r="G36" i="6"/>
  <c r="H36" i="6"/>
  <c r="I36" i="6"/>
  <c r="J36" i="6"/>
  <c r="K36" i="6"/>
  <c r="L36" i="6"/>
  <c r="M36" i="6"/>
  <c r="N36" i="6"/>
  <c r="D38" i="6"/>
  <c r="E38" i="6"/>
  <c r="F38" i="6"/>
  <c r="G38" i="6"/>
  <c r="H38" i="6"/>
  <c r="I38" i="6"/>
  <c r="J38" i="6"/>
  <c r="K38" i="6"/>
  <c r="L38" i="6"/>
  <c r="M38" i="6"/>
  <c r="N38" i="6"/>
  <c r="D39" i="6"/>
  <c r="E39" i="6"/>
  <c r="F39" i="6"/>
  <c r="G39" i="6"/>
  <c r="H39" i="6"/>
  <c r="I39" i="6"/>
  <c r="J39" i="6"/>
  <c r="K39" i="6"/>
  <c r="L39" i="6"/>
  <c r="M39" i="6"/>
  <c r="N39" i="6"/>
  <c r="D42" i="6"/>
  <c r="D43" i="6"/>
  <c r="D44" i="6"/>
  <c r="D41" i="6"/>
  <c r="E42" i="6"/>
  <c r="E43" i="6"/>
  <c r="E44" i="6"/>
  <c r="E41" i="6"/>
  <c r="F42" i="6"/>
  <c r="F43" i="6"/>
  <c r="F44" i="6"/>
  <c r="F41" i="6"/>
  <c r="G42" i="6"/>
  <c r="G43" i="6"/>
  <c r="G44" i="6"/>
  <c r="G41" i="6"/>
  <c r="H42" i="6"/>
  <c r="H43" i="6"/>
  <c r="H44" i="6"/>
  <c r="H41" i="6"/>
  <c r="I42" i="6"/>
  <c r="I43" i="6"/>
  <c r="I44" i="6"/>
  <c r="I41" i="6"/>
  <c r="J42" i="6"/>
  <c r="J43" i="6"/>
  <c r="J44" i="6"/>
  <c r="J41" i="6"/>
  <c r="K42" i="6"/>
  <c r="K43" i="6"/>
  <c r="K44" i="6"/>
  <c r="K41" i="6"/>
  <c r="L42" i="6"/>
  <c r="L43" i="6"/>
  <c r="L44" i="6"/>
  <c r="L41" i="6"/>
  <c r="M42" i="6"/>
  <c r="M43" i="6"/>
  <c r="M44" i="6"/>
  <c r="M41" i="6"/>
  <c r="N42" i="6"/>
  <c r="N43" i="6"/>
  <c r="N44" i="6"/>
  <c r="N41" i="6"/>
  <c r="O42" i="6"/>
  <c r="O43" i="6"/>
  <c r="O44" i="6"/>
  <c r="O41" i="6"/>
  <c r="P42" i="6"/>
  <c r="P43" i="6"/>
  <c r="P44" i="6"/>
  <c r="P41" i="6"/>
  <c r="Q42" i="6"/>
  <c r="Q43" i="6"/>
  <c r="Q44" i="6"/>
  <c r="Q41" i="6"/>
  <c r="R42" i="6"/>
  <c r="R43" i="6"/>
  <c r="R44" i="6"/>
  <c r="R41" i="6"/>
  <c r="S42" i="6"/>
  <c r="S43" i="6"/>
  <c r="S44" i="6"/>
  <c r="S41" i="6"/>
  <c r="T42" i="6"/>
  <c r="T43" i="6"/>
  <c r="T44" i="6"/>
  <c r="T41" i="6"/>
  <c r="U42" i="6"/>
  <c r="U43" i="6"/>
  <c r="U44" i="6"/>
  <c r="U41" i="6"/>
  <c r="V42" i="6"/>
  <c r="V43" i="6"/>
  <c r="V44" i="6"/>
  <c r="V41" i="6"/>
  <c r="W42" i="6"/>
  <c r="W43" i="6"/>
  <c r="W44" i="6"/>
  <c r="W41" i="6"/>
  <c r="X42" i="6"/>
  <c r="X43" i="6"/>
  <c r="X44" i="6"/>
  <c r="X41" i="6"/>
  <c r="Y42" i="6"/>
  <c r="Y43" i="6"/>
  <c r="Y44" i="6"/>
  <c r="Y41" i="6"/>
  <c r="Z42" i="6"/>
  <c r="Z43" i="6"/>
  <c r="Z44" i="6"/>
  <c r="Z41" i="6"/>
  <c r="AA42" i="6"/>
  <c r="AA43" i="6"/>
  <c r="AA44" i="6"/>
  <c r="AA41" i="6"/>
  <c r="AB42" i="6"/>
  <c r="AB43" i="6"/>
  <c r="AB44" i="6"/>
  <c r="AB41" i="6"/>
  <c r="AC42" i="6"/>
  <c r="AC43" i="6"/>
  <c r="AC44" i="6"/>
  <c r="AC41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D48" i="6"/>
  <c r="D49" i="6"/>
  <c r="D50" i="6"/>
  <c r="D51" i="6"/>
  <c r="D47" i="6"/>
  <c r="E48" i="6"/>
  <c r="E49" i="6"/>
  <c r="E50" i="6"/>
  <c r="E51" i="6"/>
  <c r="E47" i="6"/>
  <c r="F48" i="6"/>
  <c r="F49" i="6"/>
  <c r="F50" i="6"/>
  <c r="F51" i="6"/>
  <c r="F47" i="6"/>
  <c r="G48" i="6"/>
  <c r="G49" i="6"/>
  <c r="G50" i="6"/>
  <c r="G51" i="6"/>
  <c r="G47" i="6"/>
  <c r="H48" i="6"/>
  <c r="H49" i="6"/>
  <c r="H50" i="6"/>
  <c r="H51" i="6"/>
  <c r="H47" i="6"/>
  <c r="I48" i="6"/>
  <c r="I49" i="6"/>
  <c r="I50" i="6"/>
  <c r="I51" i="6"/>
  <c r="I47" i="6"/>
  <c r="J48" i="6"/>
  <c r="J49" i="6"/>
  <c r="J50" i="6"/>
  <c r="J51" i="6"/>
  <c r="J47" i="6"/>
  <c r="K48" i="6"/>
  <c r="K49" i="6"/>
  <c r="K50" i="6"/>
  <c r="K51" i="6"/>
  <c r="K47" i="6"/>
  <c r="L48" i="6"/>
  <c r="L49" i="6"/>
  <c r="L50" i="6"/>
  <c r="L51" i="6"/>
  <c r="L47" i="6"/>
  <c r="M48" i="6"/>
  <c r="M49" i="6"/>
  <c r="M50" i="6"/>
  <c r="M51" i="6"/>
  <c r="M47" i="6"/>
  <c r="N48" i="6"/>
  <c r="N49" i="6"/>
  <c r="N50" i="6"/>
  <c r="N51" i="6"/>
  <c r="N47" i="6"/>
  <c r="O48" i="6"/>
  <c r="O49" i="6"/>
  <c r="O50" i="6"/>
  <c r="O51" i="6"/>
  <c r="O47" i="6"/>
  <c r="P48" i="6"/>
  <c r="P49" i="6"/>
  <c r="P50" i="6"/>
  <c r="P51" i="6"/>
  <c r="P47" i="6"/>
  <c r="Q48" i="6"/>
  <c r="Q49" i="6"/>
  <c r="Q50" i="6"/>
  <c r="Q51" i="6"/>
  <c r="Q47" i="6"/>
  <c r="R48" i="6"/>
  <c r="R49" i="6"/>
  <c r="R50" i="6"/>
  <c r="R51" i="6"/>
  <c r="R47" i="6"/>
  <c r="S48" i="6"/>
  <c r="S49" i="6"/>
  <c r="S50" i="6"/>
  <c r="S51" i="6"/>
  <c r="S47" i="6"/>
  <c r="T48" i="6"/>
  <c r="T49" i="6"/>
  <c r="T50" i="6"/>
  <c r="T51" i="6"/>
  <c r="T47" i="6"/>
  <c r="U48" i="6"/>
  <c r="U49" i="6"/>
  <c r="U50" i="6"/>
  <c r="U51" i="6"/>
  <c r="U47" i="6"/>
  <c r="V48" i="6"/>
  <c r="V49" i="6"/>
  <c r="V50" i="6"/>
  <c r="V51" i="6"/>
  <c r="V47" i="6"/>
  <c r="W48" i="6"/>
  <c r="W49" i="6"/>
  <c r="W50" i="6"/>
  <c r="W51" i="6"/>
  <c r="W47" i="6"/>
  <c r="X48" i="6"/>
  <c r="X49" i="6"/>
  <c r="X50" i="6"/>
  <c r="X51" i="6"/>
  <c r="X47" i="6"/>
  <c r="Y48" i="6"/>
  <c r="Y49" i="6"/>
  <c r="Y50" i="6"/>
  <c r="Y51" i="6"/>
  <c r="Y47" i="6"/>
  <c r="Z48" i="6"/>
  <c r="Z49" i="6"/>
  <c r="Z50" i="6"/>
  <c r="Z51" i="6"/>
  <c r="Z47" i="6"/>
  <c r="AA48" i="6"/>
  <c r="AA49" i="6"/>
  <c r="AA50" i="6"/>
  <c r="AA51" i="6"/>
  <c r="AA47" i="6"/>
  <c r="AB48" i="6"/>
  <c r="AB49" i="6"/>
  <c r="AB50" i="6"/>
  <c r="AB51" i="6"/>
  <c r="AB47" i="6"/>
  <c r="AC48" i="6"/>
  <c r="AC49" i="6"/>
  <c r="AC50" i="6"/>
  <c r="AC51" i="6"/>
  <c r="AC47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A9" i="4"/>
  <c r="AA10" i="4"/>
  <c r="AB57" i="6"/>
  <c r="AC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A28" i="4"/>
  <c r="AB58" i="6"/>
  <c r="AC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A40" i="4"/>
  <c r="AA42" i="4"/>
  <c r="AA43" i="4"/>
  <c r="AB59" i="6"/>
  <c r="AC59" i="6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" i="7"/>
  <c r="AA5" i="4"/>
  <c r="AA6" i="4"/>
  <c r="AA8" i="4"/>
  <c r="AA13" i="4"/>
  <c r="AA17" i="4"/>
  <c r="AA18" i="4"/>
  <c r="AA19" i="4"/>
  <c r="AA20" i="4"/>
  <c r="AA21" i="4"/>
  <c r="N38" i="4"/>
  <c r="Z38" i="4"/>
  <c r="AA38" i="4"/>
  <c r="N47" i="4"/>
  <c r="N44" i="4"/>
  <c r="Z44" i="4"/>
  <c r="AA44" i="4"/>
  <c r="AA47" i="4"/>
  <c r="AA49" i="4"/>
  <c r="N50" i="4"/>
  <c r="Z50" i="4"/>
  <c r="AA50" i="4"/>
  <c r="N51" i="4"/>
  <c r="Z51" i="4"/>
  <c r="AA51" i="4"/>
  <c r="Y38" i="4"/>
  <c r="Y4" i="7"/>
  <c r="Y7" i="7"/>
  <c r="Y3" i="7"/>
  <c r="Y12" i="7"/>
  <c r="Y19" i="7"/>
  <c r="Y20" i="7"/>
  <c r="Y23" i="7"/>
  <c r="Y29" i="7"/>
  <c r="Y30" i="7"/>
  <c r="Y33" i="7"/>
  <c r="Z7" i="7"/>
  <c r="Z4" i="7"/>
  <c r="Z3" i="7"/>
  <c r="Z12" i="7"/>
  <c r="Z19" i="7"/>
  <c r="Z20" i="7"/>
  <c r="Z23" i="7"/>
  <c r="Z29" i="7"/>
  <c r="Z30" i="7"/>
  <c r="Z33" i="7"/>
  <c r="Z35" i="7"/>
  <c r="Z37" i="7"/>
  <c r="O38" i="4"/>
  <c r="P38" i="4"/>
  <c r="Q38" i="4"/>
  <c r="R38" i="4"/>
  <c r="S38" i="4"/>
  <c r="T38" i="4"/>
  <c r="U38" i="4"/>
  <c r="V38" i="4"/>
  <c r="W38" i="4"/>
  <c r="X38" i="4"/>
  <c r="AB38" i="4"/>
  <c r="N4" i="7"/>
  <c r="N7" i="7"/>
  <c r="N3" i="7"/>
  <c r="N12" i="7"/>
  <c r="N19" i="7"/>
  <c r="N20" i="7"/>
  <c r="N23" i="7"/>
  <c r="N29" i="7"/>
  <c r="N30" i="7"/>
  <c r="N33" i="7"/>
  <c r="O4" i="7"/>
  <c r="O7" i="7"/>
  <c r="O3" i="7"/>
  <c r="O12" i="7"/>
  <c r="O19" i="7"/>
  <c r="O20" i="7"/>
  <c r="O23" i="7"/>
  <c r="O29" i="7"/>
  <c r="O30" i="7"/>
  <c r="O33" i="7"/>
  <c r="P4" i="7"/>
  <c r="P7" i="7"/>
  <c r="P3" i="7"/>
  <c r="P12" i="7"/>
  <c r="P19" i="7"/>
  <c r="P20" i="7"/>
  <c r="P23" i="7"/>
  <c r="P29" i="7"/>
  <c r="P30" i="7"/>
  <c r="P33" i="7"/>
  <c r="Q4" i="7"/>
  <c r="Q7" i="7"/>
  <c r="Q3" i="7"/>
  <c r="Q12" i="7"/>
  <c r="Q19" i="7"/>
  <c r="Q20" i="7"/>
  <c r="Q23" i="7"/>
  <c r="Q29" i="7"/>
  <c r="Q30" i="7"/>
  <c r="Q33" i="7"/>
  <c r="R4" i="7"/>
  <c r="R7" i="7"/>
  <c r="R3" i="7"/>
  <c r="R12" i="7"/>
  <c r="R19" i="7"/>
  <c r="R20" i="7"/>
  <c r="R23" i="7"/>
  <c r="R29" i="7"/>
  <c r="R30" i="7"/>
  <c r="R33" i="7"/>
  <c r="S4" i="7"/>
  <c r="S7" i="7"/>
  <c r="S3" i="7"/>
  <c r="S12" i="7"/>
  <c r="S19" i="7"/>
  <c r="S20" i="7"/>
  <c r="S23" i="7"/>
  <c r="S29" i="7"/>
  <c r="S30" i="7"/>
  <c r="S33" i="7"/>
  <c r="T4" i="7"/>
  <c r="T7" i="7"/>
  <c r="T3" i="7"/>
  <c r="T12" i="7"/>
  <c r="T19" i="7"/>
  <c r="T20" i="7"/>
  <c r="T23" i="7"/>
  <c r="T29" i="7"/>
  <c r="T30" i="7"/>
  <c r="T33" i="7"/>
  <c r="U4" i="7"/>
  <c r="U7" i="7"/>
  <c r="U3" i="7"/>
  <c r="U12" i="7"/>
  <c r="U19" i="7"/>
  <c r="U20" i="7"/>
  <c r="U23" i="7"/>
  <c r="U29" i="7"/>
  <c r="U30" i="7"/>
  <c r="U33" i="7"/>
  <c r="V4" i="7"/>
  <c r="V7" i="7"/>
  <c r="V3" i="7"/>
  <c r="V12" i="7"/>
  <c r="V19" i="7"/>
  <c r="V20" i="7"/>
  <c r="V23" i="7"/>
  <c r="V29" i="7"/>
  <c r="V30" i="7"/>
  <c r="V33" i="7"/>
  <c r="W4" i="7"/>
  <c r="W7" i="7"/>
  <c r="W3" i="7"/>
  <c r="W12" i="7"/>
  <c r="W19" i="7"/>
  <c r="W20" i="7"/>
  <c r="W23" i="7"/>
  <c r="W29" i="7"/>
  <c r="W30" i="7"/>
  <c r="W33" i="7"/>
  <c r="X4" i="7"/>
  <c r="X7" i="7"/>
  <c r="X3" i="7"/>
  <c r="X12" i="7"/>
  <c r="X19" i="7"/>
  <c r="X20" i="7"/>
  <c r="X23" i="7"/>
  <c r="X29" i="7"/>
  <c r="X30" i="7"/>
  <c r="X33" i="7"/>
  <c r="AB7" i="7"/>
  <c r="R35" i="7"/>
  <c r="R37" i="7"/>
  <c r="S35" i="7"/>
  <c r="S37" i="7"/>
  <c r="T35" i="7"/>
  <c r="T37" i="7"/>
  <c r="U35" i="7"/>
  <c r="U37" i="7"/>
  <c r="V35" i="7"/>
  <c r="V37" i="7"/>
  <c r="W35" i="7"/>
  <c r="W37" i="7"/>
  <c r="X35" i="7"/>
  <c r="X37" i="7"/>
  <c r="Y35" i="7"/>
  <c r="Y37" i="7"/>
  <c r="AB4" i="7"/>
  <c r="AB3" i="7"/>
  <c r="AB12" i="7"/>
  <c r="AB19" i="7"/>
  <c r="AB20" i="7"/>
  <c r="AB23" i="7"/>
  <c r="AB29" i="7"/>
  <c r="AB30" i="7"/>
  <c r="AB33" i="7"/>
  <c r="AB35" i="7"/>
  <c r="AB37" i="7"/>
  <c r="F82" i="23"/>
  <c r="F83" i="23"/>
  <c r="F84" i="23"/>
  <c r="F85" i="23"/>
  <c r="F86" i="23"/>
  <c r="F87" i="23"/>
  <c r="F89" i="23"/>
  <c r="F90" i="23"/>
  <c r="F91" i="23"/>
  <c r="F92" i="23"/>
  <c r="F93" i="23"/>
  <c r="F94" i="23"/>
  <c r="F95" i="23"/>
  <c r="D87" i="23"/>
  <c r="D94" i="23"/>
  <c r="D95" i="23"/>
  <c r="C87" i="23"/>
  <c r="C94" i="23"/>
  <c r="C95" i="23"/>
  <c r="O35" i="7"/>
  <c r="P35" i="7"/>
  <c r="Q35" i="7"/>
  <c r="O37" i="7"/>
  <c r="P37" i="7"/>
  <c r="Q37" i="7"/>
  <c r="AB44" i="4"/>
  <c r="O44" i="4"/>
  <c r="P44" i="4"/>
  <c r="Q44" i="4"/>
  <c r="R44" i="4"/>
  <c r="S44" i="4"/>
  <c r="T44" i="4"/>
  <c r="U44" i="4"/>
  <c r="V44" i="4"/>
  <c r="W44" i="4"/>
  <c r="X44" i="4"/>
  <c r="Y44" i="4"/>
  <c r="O50" i="4"/>
  <c r="P50" i="4"/>
  <c r="Q50" i="4"/>
  <c r="R50" i="4"/>
  <c r="S50" i="4"/>
  <c r="T50" i="4"/>
  <c r="U50" i="4"/>
  <c r="V50" i="4"/>
  <c r="W50" i="4"/>
  <c r="X50" i="4"/>
  <c r="Y50" i="4"/>
  <c r="AB50" i="4"/>
  <c r="O51" i="4"/>
  <c r="P51" i="4"/>
  <c r="Q51" i="4"/>
  <c r="R51" i="4"/>
  <c r="S51" i="4"/>
  <c r="T51" i="4"/>
  <c r="U51" i="4"/>
  <c r="V51" i="4"/>
  <c r="W51" i="4"/>
  <c r="X51" i="4"/>
  <c r="Y51" i="4"/>
  <c r="AB51" i="4"/>
  <c r="M7" i="7"/>
  <c r="M12" i="7"/>
  <c r="M23" i="7"/>
  <c r="C23" i="7"/>
  <c r="D23" i="7"/>
  <c r="E23" i="7"/>
  <c r="F23" i="7"/>
  <c r="G23" i="7"/>
  <c r="H23" i="7"/>
  <c r="I23" i="7"/>
  <c r="J23" i="7"/>
  <c r="K23" i="7"/>
  <c r="L23" i="7"/>
  <c r="F12" i="7"/>
  <c r="G12" i="7"/>
  <c r="H12" i="7"/>
  <c r="I12" i="7"/>
  <c r="J12" i="7"/>
  <c r="K12" i="7"/>
  <c r="L12" i="7"/>
  <c r="O54" i="4"/>
  <c r="O53" i="4"/>
  <c r="D7" i="7"/>
  <c r="E7" i="7"/>
  <c r="F7" i="7"/>
  <c r="G7" i="7"/>
  <c r="H7" i="7"/>
  <c r="I7" i="7"/>
  <c r="J7" i="7"/>
  <c r="L7" i="7"/>
  <c r="D4" i="7"/>
  <c r="D3" i="7"/>
  <c r="D12" i="7"/>
  <c r="D20" i="7"/>
  <c r="D30" i="7"/>
  <c r="E4" i="7"/>
  <c r="E3" i="7"/>
  <c r="E12" i="7"/>
  <c r="E20" i="7"/>
  <c r="E30" i="7"/>
  <c r="F4" i="7"/>
  <c r="F3" i="7"/>
  <c r="F19" i="7"/>
  <c r="F20" i="7"/>
  <c r="F30" i="7"/>
  <c r="G4" i="7"/>
  <c r="G3" i="7"/>
  <c r="G19" i="7"/>
  <c r="G20" i="7"/>
  <c r="G30" i="7"/>
  <c r="H4" i="7"/>
  <c r="H3" i="7"/>
  <c r="H19" i="7"/>
  <c r="H20" i="7"/>
  <c r="H30" i="7"/>
  <c r="I4" i="7"/>
  <c r="I3" i="7"/>
  <c r="I19" i="7"/>
  <c r="I20" i="7"/>
  <c r="I30" i="7"/>
  <c r="J4" i="7"/>
  <c r="J3" i="7"/>
  <c r="J19" i="7"/>
  <c r="J20" i="7"/>
  <c r="J30" i="7"/>
  <c r="L4" i="7"/>
  <c r="L3" i="7"/>
  <c r="L19" i="7"/>
  <c r="L20" i="7"/>
  <c r="M4" i="7"/>
  <c r="M3" i="7"/>
  <c r="M19" i="7"/>
  <c r="M20" i="7"/>
  <c r="C44" i="4"/>
  <c r="D44" i="4"/>
  <c r="E44" i="4"/>
  <c r="F44" i="4"/>
  <c r="G44" i="4"/>
  <c r="H44" i="4"/>
  <c r="I44" i="4"/>
  <c r="J44" i="4"/>
  <c r="K44" i="4"/>
  <c r="L44" i="4"/>
  <c r="M44" i="4"/>
  <c r="C50" i="4"/>
  <c r="C31" i="4"/>
  <c r="C38" i="4"/>
  <c r="C51" i="4"/>
  <c r="D31" i="4"/>
  <c r="D38" i="4"/>
  <c r="E31" i="4"/>
  <c r="E38" i="4"/>
  <c r="F31" i="4"/>
  <c r="F38" i="4"/>
  <c r="G31" i="4"/>
  <c r="G38" i="4"/>
  <c r="H31" i="4"/>
  <c r="H38" i="4"/>
  <c r="I31" i="4"/>
  <c r="I38" i="4"/>
  <c r="J31" i="4"/>
  <c r="J38" i="4"/>
  <c r="K31" i="4"/>
  <c r="K38" i="4"/>
  <c r="L31" i="4"/>
  <c r="L38" i="4"/>
  <c r="M31" i="4"/>
  <c r="M38" i="4"/>
  <c r="C7" i="7"/>
  <c r="I43" i="5"/>
  <c r="E44" i="5"/>
  <c r="C4" i="7"/>
  <c r="C3" i="7"/>
  <c r="C12" i="7"/>
  <c r="C20" i="7"/>
  <c r="C30" i="7"/>
  <c r="D33" i="24"/>
  <c r="O58" i="4"/>
  <c r="O60" i="4"/>
  <c r="A4" i="25"/>
  <c r="D5" i="25"/>
  <c r="D9" i="25"/>
  <c r="A10" i="25"/>
  <c r="D15" i="25"/>
  <c r="A16" i="25"/>
  <c r="A20" i="25"/>
  <c r="A25" i="25"/>
  <c r="D26" i="25"/>
  <c r="D30" i="25"/>
  <c r="A39" i="25"/>
  <c r="D39" i="25"/>
  <c r="A41" i="25"/>
  <c r="A48" i="25"/>
  <c r="A54" i="25"/>
  <c r="A58" i="25"/>
  <c r="A64" i="25"/>
  <c r="A66" i="25"/>
  <c r="F6" i="24"/>
  <c r="H6" i="24"/>
  <c r="F7" i="24"/>
  <c r="H7" i="24"/>
  <c r="F8" i="24"/>
  <c r="H8" i="24"/>
  <c r="C10" i="24"/>
  <c r="E10" i="24"/>
  <c r="F10" i="24"/>
  <c r="H10" i="24"/>
  <c r="C11" i="24"/>
  <c r="D11" i="24"/>
  <c r="E11" i="24"/>
  <c r="F11" i="24"/>
  <c r="G11" i="24"/>
  <c r="H11" i="24"/>
  <c r="C12" i="24"/>
  <c r="D12" i="24"/>
  <c r="E12" i="24"/>
  <c r="F12" i="24"/>
  <c r="G12" i="24"/>
  <c r="H12" i="24"/>
  <c r="F13" i="24"/>
  <c r="H13" i="24"/>
  <c r="C15" i="24"/>
  <c r="D15" i="24"/>
  <c r="E15" i="24"/>
  <c r="F15" i="24"/>
  <c r="G15" i="24"/>
  <c r="H15" i="24"/>
  <c r="C16" i="24"/>
  <c r="D16" i="24"/>
  <c r="E16" i="24"/>
  <c r="F16" i="24"/>
  <c r="G16" i="24"/>
  <c r="H16" i="24"/>
  <c r="C17" i="24"/>
  <c r="D17" i="24"/>
  <c r="E17" i="24"/>
  <c r="F17" i="24"/>
  <c r="G17" i="24"/>
  <c r="H17" i="24"/>
  <c r="C18" i="24"/>
  <c r="D18" i="24"/>
  <c r="E18" i="24"/>
  <c r="F18" i="24"/>
  <c r="G18" i="24"/>
  <c r="H18" i="24"/>
  <c r="C20" i="24"/>
  <c r="D20" i="24"/>
  <c r="E20" i="24"/>
  <c r="F20" i="24"/>
  <c r="G20" i="24"/>
  <c r="H20" i="24"/>
  <c r="C21" i="24"/>
  <c r="D21" i="24"/>
  <c r="E21" i="24"/>
  <c r="F21" i="24"/>
  <c r="G21" i="24"/>
  <c r="H21" i="24"/>
  <c r="C22" i="24"/>
  <c r="D22" i="24"/>
  <c r="E22" i="24"/>
  <c r="F22" i="24"/>
  <c r="G22" i="24"/>
  <c r="H22" i="24"/>
  <c r="C24" i="24"/>
  <c r="D24" i="24"/>
  <c r="E24" i="24"/>
  <c r="F24" i="24"/>
  <c r="G24" i="24"/>
  <c r="H24" i="24"/>
  <c r="C25" i="24"/>
  <c r="D25" i="24"/>
  <c r="E25" i="24"/>
  <c r="F25" i="24"/>
  <c r="G25" i="24"/>
  <c r="H25" i="24"/>
  <c r="C26" i="24"/>
  <c r="D26" i="24"/>
  <c r="E26" i="24"/>
  <c r="F26" i="24"/>
  <c r="G26" i="24"/>
  <c r="H26" i="24"/>
  <c r="C27" i="24"/>
  <c r="D27" i="24"/>
  <c r="E27" i="24"/>
  <c r="F27" i="24"/>
  <c r="G27" i="24"/>
  <c r="H27" i="24"/>
  <c r="C33" i="24"/>
  <c r="C7" i="24"/>
  <c r="D35" i="24"/>
  <c r="D10" i="24"/>
  <c r="G35" i="24"/>
  <c r="G10" i="24"/>
  <c r="F10" i="23"/>
  <c r="F11" i="23"/>
  <c r="F12" i="23"/>
  <c r="F13" i="23"/>
  <c r="F14" i="23"/>
  <c r="G14" i="23"/>
  <c r="C15" i="23"/>
  <c r="D15" i="23"/>
  <c r="F17" i="23"/>
  <c r="F18" i="23"/>
  <c r="F19" i="23"/>
  <c r="F20" i="23"/>
  <c r="F21" i="23"/>
  <c r="C22" i="23"/>
  <c r="C23" i="23"/>
  <c r="D22" i="23"/>
  <c r="D23" i="23"/>
  <c r="F37" i="23"/>
  <c r="F38" i="23"/>
  <c r="F39" i="23"/>
  <c r="F40" i="23"/>
  <c r="F41" i="23"/>
  <c r="G41" i="23"/>
  <c r="C42" i="23"/>
  <c r="D42" i="23"/>
  <c r="F44" i="23"/>
  <c r="F45" i="23"/>
  <c r="F46" i="23"/>
  <c r="G46" i="23"/>
  <c r="F47" i="23"/>
  <c r="G47" i="23"/>
  <c r="F48" i="23"/>
  <c r="C49" i="23"/>
  <c r="D49" i="23"/>
  <c r="D50" i="23"/>
  <c r="F49" i="23"/>
  <c r="F63" i="23"/>
  <c r="F64" i="23"/>
  <c r="F65" i="23"/>
  <c r="F66" i="23"/>
  <c r="F67" i="23"/>
  <c r="C68" i="23"/>
  <c r="D68" i="23"/>
  <c r="F70" i="23"/>
  <c r="F71" i="23"/>
  <c r="F72" i="23"/>
  <c r="F73" i="23"/>
  <c r="F74" i="23"/>
  <c r="C75" i="23"/>
  <c r="D75" i="23"/>
  <c r="C76" i="23"/>
  <c r="D76" i="23"/>
  <c r="C36" i="5"/>
  <c r="D36" i="5"/>
  <c r="E36" i="5"/>
  <c r="F36" i="5"/>
  <c r="G36" i="5"/>
  <c r="H36" i="5"/>
  <c r="I36" i="5"/>
  <c r="J36" i="5"/>
  <c r="K36" i="5"/>
  <c r="M36" i="5"/>
  <c r="N36" i="5"/>
  <c r="C37" i="5"/>
  <c r="D37" i="5"/>
  <c r="E37" i="5"/>
  <c r="F37" i="5"/>
  <c r="G37" i="5"/>
  <c r="H37" i="5"/>
  <c r="I37" i="5"/>
  <c r="J37" i="5"/>
  <c r="K37" i="5"/>
  <c r="M37" i="5"/>
  <c r="N37" i="5"/>
  <c r="C52" i="5"/>
  <c r="D52" i="5"/>
  <c r="E52" i="5"/>
  <c r="F52" i="5"/>
  <c r="G52" i="5"/>
  <c r="H52" i="5"/>
  <c r="I52" i="5"/>
  <c r="J52" i="5"/>
  <c r="K52" i="5"/>
  <c r="M52" i="5"/>
  <c r="N52" i="5"/>
  <c r="C7" i="6"/>
  <c r="C32" i="5"/>
  <c r="F32" i="5"/>
  <c r="J32" i="5"/>
  <c r="N32" i="5"/>
  <c r="C8" i="6"/>
  <c r="C50" i="6"/>
  <c r="C42" i="5"/>
  <c r="N33" i="5"/>
  <c r="C9" i="6"/>
  <c r="C34" i="5"/>
  <c r="J34" i="5"/>
  <c r="K43" i="5"/>
  <c r="N34" i="5"/>
  <c r="C10" i="6"/>
  <c r="C35" i="5"/>
  <c r="F44" i="5"/>
  <c r="G35" i="5"/>
  <c r="K35" i="5"/>
  <c r="J35" i="5"/>
  <c r="C18" i="6"/>
  <c r="C20" i="6"/>
  <c r="C21" i="6"/>
  <c r="C23" i="6"/>
  <c r="C27" i="6"/>
  <c r="C29" i="6"/>
  <c r="C26" i="6"/>
  <c r="C32" i="6"/>
  <c r="C42" i="6"/>
  <c r="C45" i="6"/>
  <c r="F16" i="5"/>
  <c r="J16" i="5"/>
  <c r="N16" i="5"/>
  <c r="C33" i="6"/>
  <c r="C39" i="6"/>
  <c r="C44" i="6"/>
  <c r="C48" i="6"/>
  <c r="C49" i="6"/>
  <c r="C51" i="6"/>
  <c r="C52" i="6"/>
  <c r="C53" i="6"/>
  <c r="C58" i="6"/>
  <c r="C59" i="6"/>
  <c r="E33" i="24"/>
  <c r="G33" i="24"/>
  <c r="B4" i="7"/>
  <c r="K4" i="7"/>
  <c r="B7" i="7"/>
  <c r="C43" i="6"/>
  <c r="C41" i="6"/>
  <c r="K7" i="7"/>
  <c r="B12" i="7"/>
  <c r="B20" i="7"/>
  <c r="K20" i="7"/>
  <c r="B23" i="7"/>
  <c r="C56" i="5"/>
  <c r="D56" i="5"/>
  <c r="B30" i="7"/>
  <c r="K30" i="7"/>
  <c r="L30" i="7"/>
  <c r="M30" i="7"/>
  <c r="B4" i="4"/>
  <c r="B8" i="4"/>
  <c r="B13" i="4"/>
  <c r="B16" i="4"/>
  <c r="C38" i="6"/>
  <c r="B20" i="4"/>
  <c r="B30" i="4"/>
  <c r="C6" i="6"/>
  <c r="B31" i="4"/>
  <c r="E47" i="5"/>
  <c r="K47" i="5"/>
  <c r="B41" i="4"/>
  <c r="C19" i="6"/>
  <c r="B44" i="4"/>
  <c r="C47" i="6"/>
  <c r="F56" i="5"/>
  <c r="E56" i="5"/>
  <c r="F75" i="23"/>
  <c r="F15" i="23"/>
  <c r="A32" i="25"/>
  <c r="A67" i="25"/>
  <c r="K3" i="7"/>
  <c r="K19" i="7"/>
  <c r="K29" i="7"/>
  <c r="K33" i="7"/>
  <c r="K35" i="7"/>
  <c r="K37" i="7"/>
  <c r="F22" i="23"/>
  <c r="C50" i="23"/>
  <c r="B3" i="7"/>
  <c r="B19" i="7"/>
  <c r="F23" i="23"/>
  <c r="D44" i="5"/>
  <c r="B38" i="4"/>
  <c r="G32" i="5"/>
  <c r="H32" i="5"/>
  <c r="C44" i="5"/>
  <c r="H47" i="5"/>
  <c r="G16" i="5"/>
  <c r="K44" i="5"/>
  <c r="K41" i="5"/>
  <c r="J48" i="5"/>
  <c r="J44" i="5"/>
  <c r="C43" i="5"/>
  <c r="C41" i="5"/>
  <c r="C34" i="24"/>
  <c r="C8" i="24"/>
  <c r="G34" i="5"/>
  <c r="F41" i="5"/>
  <c r="J43" i="5"/>
  <c r="D33" i="5"/>
  <c r="I41" i="5"/>
  <c r="J33" i="5"/>
  <c r="N41" i="5"/>
  <c r="C31" i="6"/>
  <c r="I16" i="5"/>
  <c r="C16" i="5"/>
  <c r="N55" i="5"/>
  <c r="K42" i="5"/>
  <c r="H41" i="5"/>
  <c r="M55" i="5"/>
  <c r="K55" i="5"/>
  <c r="G55" i="5"/>
  <c r="B29" i="7"/>
  <c r="B33" i="7"/>
  <c r="C55" i="5"/>
  <c r="J55" i="5"/>
  <c r="H55" i="5"/>
  <c r="H43" i="5"/>
  <c r="G43" i="5"/>
  <c r="F43" i="5"/>
  <c r="H34" i="5"/>
  <c r="D47" i="5"/>
  <c r="D35" i="5"/>
  <c r="C17" i="6"/>
  <c r="C14" i="6"/>
  <c r="E7" i="24"/>
  <c r="E35" i="5"/>
  <c r="F34" i="5"/>
  <c r="F35" i="5"/>
  <c r="C40" i="5"/>
  <c r="H40" i="5"/>
  <c r="I33" i="5"/>
  <c r="G41" i="5"/>
  <c r="C33" i="5"/>
  <c r="H48" i="5"/>
  <c r="D42" i="5"/>
  <c r="G7" i="24"/>
  <c r="G13" i="24"/>
  <c r="J47" i="5"/>
  <c r="N44" i="5"/>
  <c r="M42" i="5"/>
  <c r="N42" i="5"/>
  <c r="J42" i="5"/>
  <c r="J41" i="5"/>
  <c r="N47" i="5"/>
  <c r="I47" i="5"/>
  <c r="C48" i="5"/>
  <c r="F47" i="5"/>
  <c r="I55" i="5"/>
  <c r="C54" i="5"/>
  <c r="B35" i="7"/>
  <c r="B37" i="7"/>
  <c r="C56" i="6"/>
  <c r="C8" i="5"/>
  <c r="C15" i="6"/>
  <c r="C6" i="5"/>
  <c r="C20" i="5"/>
  <c r="E41" i="5"/>
  <c r="D41" i="5"/>
  <c r="E32" i="5"/>
  <c r="D32" i="5"/>
  <c r="E34" i="24"/>
  <c r="E8" i="24"/>
  <c r="E6" i="24"/>
  <c r="H44" i="5"/>
  <c r="I44" i="5"/>
  <c r="I35" i="5"/>
  <c r="H35" i="5"/>
  <c r="D34" i="5"/>
  <c r="E43" i="5"/>
  <c r="E34" i="5"/>
  <c r="D43" i="5"/>
  <c r="I42" i="5"/>
  <c r="H42" i="5"/>
  <c r="E13" i="24"/>
  <c r="G48" i="5"/>
  <c r="G47" i="5"/>
  <c r="M41" i="5"/>
  <c r="B50" i="4"/>
  <c r="B51" i="4"/>
  <c r="J31" i="5"/>
  <c r="D48" i="5"/>
  <c r="K16" i="5"/>
  <c r="M47" i="5"/>
  <c r="I48" i="5"/>
  <c r="C31" i="5"/>
  <c r="H16" i="5"/>
  <c r="M48" i="5"/>
  <c r="N43" i="5"/>
  <c r="M43" i="5"/>
  <c r="K48" i="5"/>
  <c r="M16" i="5"/>
  <c r="I32" i="5"/>
  <c r="M34" i="5"/>
  <c r="C47" i="5"/>
  <c r="C36" i="6"/>
  <c r="C57" i="6"/>
  <c r="B26" i="4"/>
  <c r="G34" i="24"/>
  <c r="G8" i="24"/>
  <c r="G6" i="24"/>
  <c r="G31" i="5"/>
  <c r="C6" i="24"/>
  <c r="G44" i="5"/>
  <c r="K32" i="5"/>
  <c r="M32" i="5"/>
  <c r="C13" i="6"/>
  <c r="G33" i="5"/>
  <c r="G42" i="5"/>
  <c r="E48" i="5"/>
  <c r="C19" i="5"/>
  <c r="K34" i="5"/>
  <c r="H33" i="5"/>
  <c r="C13" i="24"/>
  <c r="G40" i="5"/>
  <c r="H31" i="5"/>
  <c r="E42" i="5"/>
  <c r="N40" i="5"/>
  <c r="E16" i="5"/>
  <c r="D16" i="5"/>
  <c r="K33" i="5"/>
  <c r="M33" i="5"/>
  <c r="N35" i="5"/>
  <c r="M44" i="5"/>
  <c r="M35" i="5"/>
  <c r="I34" i="5"/>
  <c r="E33" i="5"/>
  <c r="F33" i="5"/>
  <c r="N48" i="5"/>
  <c r="F48" i="5"/>
  <c r="F42" i="5"/>
  <c r="E31" i="5"/>
  <c r="E40" i="5"/>
  <c r="K31" i="5"/>
  <c r="K40" i="5"/>
  <c r="M40" i="5"/>
  <c r="N31" i="5"/>
  <c r="M31" i="5"/>
  <c r="F31" i="5"/>
  <c r="C5" i="6"/>
  <c r="G56" i="5"/>
  <c r="D31" i="5"/>
  <c r="D40" i="5"/>
  <c r="C57" i="5"/>
  <c r="I31" i="5"/>
  <c r="I40" i="5"/>
  <c r="F40" i="5"/>
  <c r="J40" i="5"/>
  <c r="C25" i="5"/>
  <c r="C59" i="5"/>
  <c r="C15" i="5"/>
  <c r="C30" i="5"/>
  <c r="C27" i="5"/>
  <c r="C21" i="5"/>
  <c r="C26" i="5"/>
  <c r="C9" i="5"/>
  <c r="C24" i="5"/>
  <c r="C7" i="5"/>
  <c r="C14" i="5"/>
  <c r="C10" i="5"/>
  <c r="G19" i="5"/>
  <c r="J19" i="5"/>
  <c r="F19" i="5"/>
  <c r="N19" i="5"/>
  <c r="D8" i="5"/>
  <c r="D6" i="5"/>
  <c r="D6" i="24"/>
  <c r="D7" i="24"/>
  <c r="D13" i="24"/>
  <c r="D34" i="24"/>
  <c r="D8" i="24"/>
  <c r="I19" i="5"/>
  <c r="E19" i="5"/>
  <c r="K19" i="5"/>
  <c r="M19" i="5"/>
  <c r="D20" i="5"/>
  <c r="D19" i="5"/>
  <c r="H19" i="5"/>
  <c r="N35" i="7"/>
  <c r="N37" i="7"/>
  <c r="F68" i="23"/>
  <c r="F76" i="23"/>
  <c r="F42" i="23"/>
  <c r="F50" i="23"/>
  <c r="D4" i="25"/>
  <c r="D24" i="25"/>
  <c r="D37" i="25"/>
  <c r="D43" i="25"/>
  <c r="D47" i="25"/>
  <c r="D50" i="25"/>
  <c r="C19" i="7"/>
  <c r="M50" i="4"/>
  <c r="M51" i="4"/>
  <c r="L50" i="4"/>
  <c r="L51" i="4"/>
  <c r="K50" i="4"/>
  <c r="K51" i="4"/>
  <c r="J50" i="4"/>
  <c r="J51" i="4"/>
  <c r="I50" i="4"/>
  <c r="I51" i="4"/>
  <c r="H50" i="4"/>
  <c r="H51" i="4"/>
  <c r="G50" i="4"/>
  <c r="G51" i="4"/>
  <c r="F50" i="4"/>
  <c r="F51" i="4"/>
  <c r="E50" i="4"/>
  <c r="E51" i="4"/>
  <c r="D50" i="4"/>
  <c r="D51" i="4"/>
  <c r="M29" i="7"/>
  <c r="M33" i="7"/>
  <c r="L29" i="7"/>
  <c r="L33" i="7"/>
  <c r="J29" i="7"/>
  <c r="J33" i="7"/>
  <c r="I29" i="7"/>
  <c r="I33" i="7"/>
  <c r="H29" i="7"/>
  <c r="H33" i="7"/>
  <c r="G29" i="7"/>
  <c r="G33" i="7"/>
  <c r="F29" i="7"/>
  <c r="F33" i="7"/>
  <c r="E19" i="7"/>
  <c r="D19" i="7"/>
  <c r="N54" i="4"/>
  <c r="M55" i="4"/>
  <c r="L56" i="4"/>
  <c r="D29" i="7"/>
  <c r="D33" i="7"/>
  <c r="E55" i="5"/>
  <c r="E29" i="7"/>
  <c r="E33" i="7"/>
  <c r="F55" i="5"/>
  <c r="F35" i="7"/>
  <c r="F37" i="7"/>
  <c r="G54" i="5"/>
  <c r="G35" i="7"/>
  <c r="G37" i="7"/>
  <c r="H54" i="5"/>
  <c r="H35" i="7"/>
  <c r="H37" i="7"/>
  <c r="I54" i="5"/>
  <c r="I35" i="7"/>
  <c r="I37" i="7"/>
  <c r="J54" i="5"/>
  <c r="J35" i="7"/>
  <c r="J37" i="7"/>
  <c r="K54" i="5"/>
  <c r="L35" i="7"/>
  <c r="L37" i="7"/>
  <c r="N54" i="5"/>
  <c r="M35" i="7"/>
  <c r="M37" i="7"/>
  <c r="E20" i="5"/>
  <c r="E6" i="5"/>
  <c r="E8" i="5"/>
  <c r="F20" i="5"/>
  <c r="F6" i="5"/>
  <c r="F8" i="5"/>
  <c r="G20" i="5"/>
  <c r="G6" i="5"/>
  <c r="G8" i="5"/>
  <c r="H6" i="5"/>
  <c r="H8" i="5"/>
  <c r="H20" i="5"/>
  <c r="I8" i="5"/>
  <c r="I6" i="5"/>
  <c r="I20" i="5"/>
  <c r="J6" i="5"/>
  <c r="J8" i="5"/>
  <c r="J20" i="5"/>
  <c r="K10" i="5"/>
  <c r="K6" i="5"/>
  <c r="K7" i="5"/>
  <c r="K8" i="5"/>
  <c r="K20" i="5"/>
  <c r="M10" i="5"/>
  <c r="M7" i="5"/>
  <c r="M8" i="5"/>
  <c r="M6" i="5"/>
  <c r="M20" i="5"/>
  <c r="N10" i="5"/>
  <c r="N20" i="5"/>
  <c r="N7" i="5"/>
  <c r="N8" i="5"/>
  <c r="N6" i="5"/>
  <c r="H56" i="5"/>
  <c r="I56" i="5"/>
  <c r="E57" i="5"/>
  <c r="J56" i="5"/>
  <c r="F57" i="5"/>
  <c r="K56" i="5"/>
  <c r="G57" i="5"/>
  <c r="M54" i="5"/>
  <c r="M56" i="5"/>
  <c r="H57" i="5"/>
  <c r="N56" i="5"/>
  <c r="I57" i="5"/>
  <c r="J57" i="5"/>
  <c r="K21" i="5"/>
  <c r="K9" i="5"/>
  <c r="K24" i="5"/>
  <c r="K30" i="5"/>
  <c r="K15" i="5"/>
  <c r="K14" i="5"/>
  <c r="K27" i="5"/>
  <c r="K59" i="5"/>
  <c r="K26" i="5"/>
  <c r="K25" i="5"/>
  <c r="K57" i="5"/>
  <c r="M21" i="5"/>
  <c r="M15" i="5"/>
  <c r="M14" i="5"/>
  <c r="M27" i="5"/>
  <c r="M9" i="5"/>
  <c r="M59" i="5"/>
  <c r="M26" i="5"/>
  <c r="M25" i="5"/>
  <c r="M24" i="5"/>
  <c r="M30" i="5"/>
  <c r="M57" i="5"/>
  <c r="N21" i="5"/>
  <c r="N27" i="5"/>
  <c r="N24" i="5"/>
  <c r="N9" i="5"/>
  <c r="N25" i="5"/>
  <c r="N15" i="5"/>
  <c r="N59" i="5"/>
  <c r="N30" i="5"/>
  <c r="N14" i="5"/>
  <c r="N26" i="5"/>
  <c r="N57" i="5"/>
  <c r="C29" i="7"/>
  <c r="C33" i="7"/>
  <c r="D55" i="5"/>
  <c r="C35" i="7"/>
  <c r="C37" i="7"/>
  <c r="D54" i="5"/>
  <c r="J21" i="5"/>
  <c r="J24" i="5"/>
  <c r="J14" i="5"/>
  <c r="J25" i="5"/>
  <c r="J30" i="5"/>
  <c r="J26" i="5"/>
  <c r="J59" i="5"/>
  <c r="J27" i="5"/>
  <c r="J15" i="5"/>
  <c r="J9" i="5"/>
  <c r="J7" i="5"/>
  <c r="I21" i="5"/>
  <c r="I25" i="5"/>
  <c r="I59" i="5"/>
  <c r="I15" i="5"/>
  <c r="I26" i="5"/>
  <c r="I27" i="5"/>
  <c r="I30" i="5"/>
  <c r="I14" i="5"/>
  <c r="I24" i="5"/>
  <c r="I9" i="5"/>
  <c r="I7" i="5"/>
  <c r="H21" i="5"/>
  <c r="H14" i="5"/>
  <c r="H15" i="5"/>
  <c r="H30" i="5"/>
  <c r="H27" i="5"/>
  <c r="H24" i="5"/>
  <c r="H9" i="5"/>
  <c r="H25" i="5"/>
  <c r="H26" i="5"/>
  <c r="H59" i="5"/>
  <c r="H7" i="5"/>
  <c r="G21" i="5"/>
  <c r="G26" i="5"/>
  <c r="G14" i="5"/>
  <c r="G59" i="5"/>
  <c r="G27" i="5"/>
  <c r="G9" i="5"/>
  <c r="G30" i="5"/>
  <c r="G24" i="5"/>
  <c r="G25" i="5"/>
  <c r="G15" i="5"/>
  <c r="G7" i="5"/>
  <c r="F21" i="5"/>
  <c r="F24" i="5"/>
  <c r="F15" i="5"/>
  <c r="F14" i="5"/>
  <c r="F30" i="5"/>
  <c r="F26" i="5"/>
  <c r="F25" i="5"/>
  <c r="F27" i="5"/>
  <c r="F9" i="5"/>
  <c r="F59" i="5"/>
  <c r="F7" i="5"/>
  <c r="E21" i="5"/>
  <c r="E27" i="5"/>
  <c r="E59" i="5"/>
  <c r="E25" i="5"/>
  <c r="E9" i="5"/>
  <c r="E14" i="5"/>
  <c r="E26" i="5"/>
  <c r="E15" i="5"/>
  <c r="E24" i="5"/>
  <c r="E30" i="5"/>
  <c r="E7" i="5"/>
  <c r="D21" i="5"/>
  <c r="D24" i="5"/>
  <c r="D59" i="5"/>
  <c r="D26" i="5"/>
  <c r="D30" i="5"/>
  <c r="D15" i="5"/>
  <c r="D25" i="5"/>
  <c r="D14" i="5"/>
  <c r="D9" i="5"/>
  <c r="D27" i="5"/>
  <c r="D57" i="5"/>
  <c r="D10" i="5"/>
  <c r="D7" i="5"/>
  <c r="J10" i="5"/>
  <c r="I10" i="5"/>
  <c r="H10" i="5"/>
  <c r="G10" i="5"/>
  <c r="F10" i="5"/>
  <c r="E10" i="5"/>
  <c r="E35" i="7"/>
  <c r="E37" i="7"/>
  <c r="F54" i="5"/>
  <c r="D35" i="7"/>
  <c r="D37" i="7"/>
  <c r="E54" i="5"/>
  <c r="AL47" i="6"/>
  <c r="AK47" i="6"/>
  <c r="AJ47" i="6"/>
  <c r="AL41" i="6"/>
  <c r="AK41" i="6"/>
  <c r="AJ41" i="6"/>
  <c r="AL31" i="6"/>
  <c r="AK31" i="6"/>
  <c r="AJ31" i="6"/>
  <c r="AL26" i="6"/>
  <c r="AK26" i="6"/>
  <c r="AJ26" i="6"/>
  <c r="AL13" i="6"/>
  <c r="AL17" i="6"/>
  <c r="AL14" i="6"/>
  <c r="AL6" i="5" s="1"/>
  <c r="AL15" i="6"/>
  <c r="AK13" i="6"/>
  <c r="AK17" i="6"/>
  <c r="AK14" i="6"/>
  <c r="AK15" i="6"/>
  <c r="AJ13" i="6"/>
  <c r="AJ17" i="6"/>
  <c r="AJ14" i="6"/>
  <c r="AJ15" i="6"/>
  <c r="AJ38" i="4"/>
  <c r="AJ51" i="4"/>
  <c r="AI38" i="4"/>
  <c r="AI51" i="4"/>
  <c r="AK38" i="4"/>
  <c r="AK51" i="4"/>
  <c r="AI47" i="6"/>
  <c r="AI41" i="6"/>
  <c r="AI31" i="6"/>
  <c r="AI26" i="6"/>
  <c r="AI13" i="6"/>
  <c r="AI17" i="6"/>
  <c r="AI14" i="6"/>
  <c r="AI15" i="6"/>
  <c r="AH19" i="6"/>
  <c r="AG50" i="4"/>
  <c r="AH35" i="5"/>
  <c r="AH44" i="5"/>
  <c r="AH34" i="5"/>
  <c r="AH43" i="5"/>
  <c r="AH6" i="6"/>
  <c r="AG38" i="4"/>
  <c r="AG51" i="4"/>
  <c r="AH33" i="5"/>
  <c r="AH42" i="5"/>
  <c r="AH32" i="5"/>
  <c r="AH41" i="5"/>
  <c r="AH47" i="5"/>
  <c r="AH48" i="5"/>
  <c r="AH36" i="6"/>
  <c r="AH57" i="6"/>
  <c r="AG26" i="4"/>
  <c r="AH5" i="6"/>
  <c r="AH14" i="5"/>
  <c r="AH47" i="6"/>
  <c r="AH41" i="6"/>
  <c r="AH31" i="6"/>
  <c r="AH26" i="6"/>
  <c r="AH13" i="6"/>
  <c r="AH17" i="6"/>
  <c r="AH14" i="6"/>
  <c r="AG47" i="6"/>
  <c r="AG41" i="6"/>
  <c r="AG31" i="6"/>
  <c r="AG26" i="6"/>
  <c r="AG13" i="6"/>
  <c r="AG17" i="6"/>
  <c r="AG14" i="6"/>
  <c r="AG15" i="6"/>
  <c r="AF47" i="6"/>
  <c r="AE47" i="6"/>
  <c r="AD47" i="6"/>
  <c r="AF41" i="6"/>
  <c r="AE41" i="6"/>
  <c r="AD41" i="6"/>
  <c r="AF31" i="6"/>
  <c r="AE31" i="6"/>
  <c r="AD31" i="6"/>
  <c r="AF26" i="6"/>
  <c r="AE26" i="6"/>
  <c r="AD26" i="6"/>
  <c r="AF13" i="6"/>
  <c r="AF17" i="6"/>
  <c r="AF14" i="6"/>
  <c r="AF15" i="6"/>
  <c r="AE13" i="6"/>
  <c r="AE17" i="6"/>
  <c r="AE14" i="6"/>
  <c r="AE15" i="6"/>
  <c r="AD13" i="6"/>
  <c r="AD17" i="6"/>
  <c r="AD14" i="6"/>
  <c r="AD15" i="6"/>
  <c r="AF38" i="4"/>
  <c r="AF51" i="4"/>
  <c r="AE38" i="4"/>
  <c r="AE51" i="4"/>
  <c r="AD38" i="4"/>
  <c r="AD51" i="4"/>
  <c r="AC38" i="4"/>
  <c r="AC51" i="4"/>
  <c r="AC52" i="4"/>
  <c r="AH15" i="6"/>
  <c r="AH6" i="5"/>
  <c r="AH8" i="5"/>
  <c r="AH31" i="5"/>
  <c r="AH40" i="5"/>
  <c r="AH19" i="5"/>
  <c r="AH20" i="5"/>
  <c r="AH7" i="5"/>
  <c r="AH9" i="5"/>
  <c r="AH10" i="5"/>
  <c r="AH15" i="5"/>
  <c r="AH21" i="5"/>
  <c r="AH24" i="5"/>
  <c r="AH25" i="5"/>
  <c r="AH26" i="5"/>
  <c r="AH27" i="5"/>
  <c r="AH30" i="5"/>
  <c r="AL35" i="5" l="1"/>
  <c r="AL44" i="5"/>
  <c r="AL34" i="5"/>
  <c r="AL43" i="5"/>
  <c r="AL8" i="5"/>
  <c r="AL31" i="5"/>
  <c r="AL40" i="5"/>
  <c r="AL33" i="5"/>
  <c r="AL42" i="5"/>
  <c r="AL32" i="5"/>
  <c r="AL41" i="5"/>
  <c r="AL19" i="5"/>
  <c r="AL20" i="5"/>
  <c r="AK52" i="4"/>
  <c r="AL5" i="6"/>
  <c r="AL47" i="5"/>
  <c r="AL48" i="5"/>
  <c r="AL36" i="6"/>
  <c r="AL57" i="6"/>
  <c r="AL14" i="5"/>
  <c r="AL7" i="5" l="1"/>
  <c r="AL9" i="5"/>
  <c r="AL10" i="5"/>
  <c r="AL15" i="5"/>
  <c r="AL21" i="5"/>
  <c r="AL24" i="5"/>
  <c r="AL25" i="5"/>
  <c r="AL26" i="5"/>
  <c r="AL27" i="5"/>
  <c r="AL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F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3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3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5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5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 Okeyo</author>
  </authors>
  <commentList>
    <comment ref="A36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George Okeyo:</t>
        </r>
        <r>
          <rPr>
            <sz val="9"/>
            <color indexed="81"/>
            <rFont val="Tahoma"/>
            <charset val="1"/>
          </rPr>
          <t xml:space="preserve">
Listing</t>
        </r>
      </text>
    </comment>
  </commentList>
</comments>
</file>

<file path=xl/sharedStrings.xml><?xml version="1.0" encoding="utf-8"?>
<sst xmlns="http://schemas.openxmlformats.org/spreadsheetml/2006/main" count="536" uniqueCount="322">
  <si>
    <t>MAGEREZA  SACCO SOCIETY</t>
  </si>
  <si>
    <t>STATEMENT OF FINANCIAL POSITION</t>
  </si>
  <si>
    <t>Approved</t>
  </si>
  <si>
    <t>Restated 2021</t>
  </si>
  <si>
    <t xml:space="preserve">Variances btw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</si>
  <si>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</si>
  <si>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</si>
  <si>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</si>
  <si>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</si>
  <si>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</si>
  <si>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</si>
  <si>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</si>
  <si>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</si>
  <si>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</si>
  <si>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</si>
  <si>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</si>
  <si>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</si>
  <si>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Audited 2021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</si>
  <si>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</si>
  <si>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</si>
  <si>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</si>
  <si>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</si>
  <si>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</si>
  <si>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</si>
  <si>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</si>
  <si>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</si>
  <si>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</si>
  <si>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</si>
  <si>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</si>
  <si>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by the Auditor</t>
  </si>
  <si>
    <t>Audited &amp; restated 2021</t>
  </si>
  <si>
    <t>Audited 2022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</si>
  <si>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</si>
  <si>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</si>
  <si>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</si>
  <si>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</si>
  <si>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</si>
  <si>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</si>
  <si>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</si>
  <si>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with other SACCO Societies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</si>
  <si>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</si>
  <si>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</si>
  <si>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</si>
  <si>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</si>
  <si>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</si>
  <si>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</si>
  <si>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</si>
  <si>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</si>
  <si>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</si>
  <si>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</si>
  <si>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</si>
  <si>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</si>
  <si>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</si>
  <si>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</si>
  <si>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</si>
  <si>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</si>
  <si>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</si>
  <si>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</si>
  <si>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</si>
  <si>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</si>
  <si>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</si>
  <si>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</si>
  <si>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</si>
  <si>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</si>
  <si>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</si>
  <si>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</si>
  <si>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</si>
  <si>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</si>
  <si>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</si>
  <si>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</si>
  <si>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</si>
  <si>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</si>
  <si>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</si>
  <si>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</si>
  <si>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</si>
  <si>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</si>
  <si>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</si>
  <si>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</si>
  <si>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</si>
  <si>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</si>
  <si>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MAGEREZA SACCO SOCIETY</t>
  </si>
  <si>
    <t>Restated 2021 accounts</t>
  </si>
  <si>
    <t>STATEMENT OF COMPREHENSIVE INCOME</t>
  </si>
  <si>
    <t>Jan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</si>
  <si>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</si>
  <si>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</si>
  <si>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</si>
  <si>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</si>
  <si>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</si>
  <si>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</si>
  <si>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</si>
  <si>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</si>
  <si>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</si>
  <si>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</si>
  <si>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</si>
  <si>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</si>
  <si>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</si>
  <si>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</si>
  <si>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</si>
  <si>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</si>
  <si>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</si>
  <si>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</si>
  <si>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</si>
  <si>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</si>
  <si>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</si>
  <si>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</si>
  <si>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</si>
  <si>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</si>
  <si>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</si>
  <si>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</si>
  <si>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</si>
  <si>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</si>
  <si>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</si>
  <si>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</si>
  <si>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</si>
  <si>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</si>
  <si>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</si>
  <si>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</si>
  <si>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 xml:space="preserve">ELIMU SACCO SOCIETY </t>
  </si>
  <si>
    <t>Year</t>
  </si>
  <si>
    <t>audited 21</t>
  </si>
  <si>
    <t>Aud-22</t>
  </si>
  <si>
    <t>Membership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</si>
  <si>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</si>
  <si>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</si>
  <si>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</si>
  <si>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</si>
  <si>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</si>
  <si>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</si>
  <si>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</si>
  <si>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</si>
  <si>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</si>
  <si>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</si>
  <si>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</si>
  <si>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</si>
  <si>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</si>
  <si>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</si>
  <si>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</si>
  <si>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</si>
  <si>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</si>
  <si>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</si>
  <si>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</si>
  <si>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</si>
  <si>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</si>
  <si>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</si>
  <si>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</si>
  <si>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</si>
  <si>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</si>
  <si>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</si>
  <si>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</si>
  <si>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</si>
  <si>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</si>
  <si>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</si>
  <si>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</si>
  <si>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</si>
  <si>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</si>
  <si>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</si>
  <si>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</si>
  <si>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</si>
  <si>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</si>
  <si>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</si>
  <si>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</si>
  <si>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</si>
  <si>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</si>
  <si>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</si>
  <si>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</si>
  <si>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Net Surplus</t>
  </si>
  <si>
    <t>Liquid Assets</t>
  </si>
  <si>
    <t>Short term Liabilities + deposits</t>
  </si>
  <si>
    <t>MAGEREZA SACCO SOCIETY LTD</t>
  </si>
  <si>
    <t xml:space="preserve"> Sacco Financial Performance </t>
  </si>
  <si>
    <t>FINANCIAL SOUNDNESS INDICATORS</t>
  </si>
  <si>
    <t>Prude.  Std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</si>
  <si>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</si>
  <si>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</si>
  <si>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</si>
  <si>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</si>
  <si>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</si>
  <si>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</si>
  <si>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</si>
  <si>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</si>
  <si>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</si>
  <si>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</si>
  <si>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</si>
  <si>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</si>
  <si>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</si>
  <si>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</si>
  <si>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</si>
  <si>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</si>
  <si>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</si>
  <si>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</si>
  <si>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</si>
  <si>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</si>
  <si>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</si>
  <si>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</si>
  <si>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</si>
  <si>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</si>
  <si>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NPL</t>
  </si>
  <si>
    <t>FUNDING MIX</t>
  </si>
  <si>
    <t>Total Deposits/Total Assets</t>
  </si>
  <si>
    <t>BOSA Deposits/Total Assets</t>
  </si>
  <si>
    <t>FOSA Deposits/Total Assets</t>
  </si>
  <si>
    <t>External Borrowing/Total assets</t>
  </si>
  <si>
    <t>≤ 25%</t>
  </si>
  <si>
    <t>GROWTH RATIOS</t>
  </si>
  <si>
    <t>FOSA Deposits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</si>
  <si>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</si>
  <si>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</si>
  <si>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</si>
  <si>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</si>
  <si>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</si>
  <si>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</si>
  <si>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</si>
  <si>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</si>
  <si>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</si>
  <si>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</si>
  <si>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</si>
  <si>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</si>
  <si>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</si>
  <si>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</si>
  <si>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 xml:space="preserve">Loan interest/Net Loans </t>
  </si>
  <si>
    <t>RETURN ON ASSETS</t>
  </si>
  <si>
    <t>COST INCOME RATIO</t>
  </si>
  <si>
    <t>OPERATING EXPENSE RATIO</t>
  </si>
  <si>
    <t>LIQUID ASSETS/TOTAL ASSETS</t>
  </si>
  <si>
    <t>ALLOWANCE FOR LOAN LOSS/NON PERFORMING L0ANS</t>
  </si>
  <si>
    <t>GROSS LOANS/TOTAL ASSETS</t>
  </si>
  <si>
    <t>FORM 4 SASRA2/004</t>
  </si>
  <si>
    <t>RISK CLASSIFICATION OF ASSETS AND PROVISIONING</t>
  </si>
  <si>
    <t>SACCO SOCIETY CS NUMBER</t>
  </si>
  <si>
    <t>2032</t>
  </si>
  <si>
    <t xml:space="preserve">FINANCIAL YEAR </t>
  </si>
  <si>
    <t>START DATE:</t>
  </si>
  <si>
    <t>1/1/2018</t>
  </si>
  <si>
    <t>END DATE:</t>
  </si>
  <si>
    <t>31/3/2018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</si>
  <si>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</si>
  <si>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</si>
  <si>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</si>
  <si>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</si>
  <si>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</si>
  <si>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</si>
  <si>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</si>
  <si>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</si>
  <si>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</si>
  <si>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</si>
  <si>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</si>
  <si>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</si>
  <si>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</si>
  <si>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</si>
  <si>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</si>
  <si>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</si>
  <si>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</si>
  <si>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</si>
  <si>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</si>
  <si>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</si>
  <si>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31/6/2018</t>
  </si>
  <si>
    <t>30/9/2018</t>
  </si>
  <si>
    <t>Aud-2022</t>
  </si>
  <si>
    <t>ELIMU SACCO SOCIETY LIMITED</t>
  </si>
  <si>
    <t>PERFORMANCE AND COMPLIANCE REPORT AS AT :  30th September , 2018</t>
  </si>
  <si>
    <t>Prud Std</t>
  </si>
  <si>
    <t>Audited</t>
  </si>
  <si>
    <t>Returns</t>
  </si>
  <si>
    <t>Aggregate for all Licensed Saccos</t>
  </si>
  <si>
    <t>Validated July 2018</t>
  </si>
  <si>
    <t>A. CAPITAL  ADEQUACY</t>
  </si>
  <si>
    <t xml:space="preserve">Core Capital </t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</si>
  <si>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10M</t>
    </r>
  </si>
  <si>
    <t>Core Capital/Total Assets</t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</si>
  <si>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10%</t>
    </r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</si>
  <si>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</si>
  <si>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</si>
  <si>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</si>
  <si>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</si>
  <si>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</si>
  <si>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</si>
  <si>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</si>
  <si>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</si>
  <si>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</si>
  <si>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</si>
  <si>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</si>
  <si>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</si>
  <si>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</si>
  <si>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</si>
  <si>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</si>
  <si>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</si>
  <si>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</si>
  <si>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</si>
  <si>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</si>
  <si>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</si>
  <si>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</si>
  <si>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</si>
  <si>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</si>
  <si>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</si>
  <si>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</si>
  <si>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</si>
  <si>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</si>
  <si>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</si>
  <si>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Gross Loans</t>
  </si>
  <si>
    <t>Institutional Capital</t>
  </si>
  <si>
    <t>Non-performing Loans</t>
  </si>
  <si>
    <t>Equity Investments</t>
  </si>
  <si>
    <t>Short-term Liabilities)</t>
  </si>
  <si>
    <t>External Borrowing</t>
  </si>
  <si>
    <t>Total Income</t>
  </si>
  <si>
    <t>Net Financial Income/Loss</t>
  </si>
  <si>
    <t>Dividends+Interest on Deposits</t>
  </si>
  <si>
    <t>Total Expenses</t>
  </si>
  <si>
    <t>Net Income</t>
  </si>
  <si>
    <t>G. AREAS OF IMPROVEMENT/REGULATORY CONCERNS</t>
  </si>
  <si>
    <t>High NPL ratio at 17.1%</t>
  </si>
  <si>
    <t>High Non -earning assets ratio at  21.8%</t>
  </si>
  <si>
    <t>Non compliance with equity investments to total deposits and core capital ratios</t>
  </si>
  <si>
    <t xml:space="preserve">Gross loans to Total assets ratio below the industry standards 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</si>
  <si>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</si>
  <si>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</si>
  <si>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</si>
  <si>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</si>
  <si>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VALIDATED JULY</t>
  </si>
  <si>
    <t>TB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</si>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</sst>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(* #,##0.0_);_(* \(#,##0.0\);_(* \-??_);_(@_)"/>
  </numFmts>
  <fonts count="7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b/>
      <sz val="10"/>
      <name val="Cambria"/>
      <family val="1"/>
    </font>
    <font>
      <i/>
      <sz val="10"/>
      <name val="Cambria"/>
      <family val="1"/>
    </font>
    <font>
      <b/>
      <sz val="9"/>
      <name val="Cambria"/>
      <family val="1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b/>
      <sz val="10"/>
      <name val="Arial"/>
      <family val="2"/>
    </font>
    <font>
      <b/>
      <sz val="10.5"/>
      <name val="Cambria"/>
      <family val="1"/>
    </font>
    <font>
      <sz val="10.5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2"/>
      <color indexed="8"/>
      <name val="Cambria"/>
      <family val="1"/>
    </font>
    <font>
      <sz val="12"/>
      <color indexed="8"/>
      <name val="Calibri"/>
      <family val="2"/>
    </font>
    <font>
      <sz val="12"/>
      <name val="Cambria"/>
      <family val="1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name val="Cambria"/>
      <family val="1"/>
      <scheme val="major"/>
    </font>
    <font>
      <i/>
      <sz val="10"/>
      <color indexed="8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i/>
      <sz val="10"/>
      <color indexed="8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libri"/>
      <family val="2"/>
      <scheme val="minor"/>
    </font>
    <font>
      <b/>
      <sz val="7.5"/>
      <color theme="1"/>
      <name val="Arial"/>
      <family val="2"/>
    </font>
    <font>
      <sz val="7.5"/>
      <color theme="1"/>
      <name val="Arial"/>
      <family val="2"/>
    </font>
    <font>
      <sz val="10.5"/>
      <color theme="1"/>
      <name val="Arial"/>
      <family val="2"/>
    </font>
    <font>
      <sz val="9.5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51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A520"/>
        <bgColor rgb="FF000000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87">
    <xf numFmtId="0" fontId="0" fillId="0" borderId="0"/>
    <xf numFmtId="0" fontId="3" fillId="2" borderId="0" applyNumberFormat="0" applyBorder="0" applyAlignment="0" applyProtection="0"/>
    <xf numFmtId="0" fontId="3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3" borderId="0" applyNumberFormat="0" applyBorder="0" applyAlignment="0" applyProtection="0"/>
    <xf numFmtId="0" fontId="35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4" fillId="4" borderId="0" applyNumberFormat="0" applyBorder="0" applyAlignment="0" applyProtection="0"/>
    <xf numFmtId="0" fontId="35" fillId="14" borderId="0" applyNumberFormat="0" applyBorder="0" applyAlignment="0" applyProtection="0"/>
    <xf numFmtId="0" fontId="5" fillId="5" borderId="2" applyNumberFormat="0" applyAlignment="0" applyProtection="0"/>
    <xf numFmtId="0" fontId="36" fillId="15" borderId="45" applyNumberFormat="0" applyAlignment="0" applyProtection="0"/>
    <xf numFmtId="43" fontId="33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37" fillId="16" borderId="4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6" fillId="0" borderId="0"/>
    <xf numFmtId="0" fontId="38" fillId="0" borderId="0"/>
    <xf numFmtId="0" fontId="2" fillId="7" borderId="3" applyNumberFormat="0" applyAlignment="0" applyProtection="0"/>
    <xf numFmtId="0" fontId="2" fillId="17" borderId="46" applyNumberFormat="0" applyFont="0" applyAlignment="0" applyProtection="0"/>
    <xf numFmtId="9" fontId="33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40" fillId="0" borderId="47" applyNumberFormat="0" applyFill="0" applyAlignment="0" applyProtection="0"/>
    <xf numFmtId="0" fontId="40" fillId="0" borderId="47" applyNumberFormat="0" applyFill="0" applyAlignment="0" applyProtection="0"/>
  </cellStyleXfs>
  <cellXfs count="335">
    <xf numFmtId="0" fontId="0" fillId="0" borderId="0" xfId="0"/>
    <xf numFmtId="0" fontId="42" fillId="0" borderId="0" xfId="638" applyFont="1"/>
    <xf numFmtId="0" fontId="42" fillId="0" borderId="0" xfId="638" applyFont="1" applyAlignment="1">
      <alignment horizontal="center"/>
    </xf>
    <xf numFmtId="0" fontId="43" fillId="0" borderId="0" xfId="638" applyFont="1"/>
    <xf numFmtId="0" fontId="43" fillId="0" borderId="5" xfId="638" applyFont="1" applyBorder="1"/>
    <xf numFmtId="0" fontId="43" fillId="8" borderId="6" xfId="638" applyFont="1" applyFill="1" applyBorder="1"/>
    <xf numFmtId="0" fontId="43" fillId="0" borderId="7" xfId="638" applyFont="1" applyBorder="1"/>
    <xf numFmtId="0" fontId="43" fillId="0" borderId="8" xfId="638" applyFont="1" applyBorder="1"/>
    <xf numFmtId="0" fontId="42" fillId="0" borderId="7" xfId="638" applyFont="1" applyBorder="1"/>
    <xf numFmtId="173" fontId="44" fillId="0" borderId="8" xfId="678" applyNumberFormat="1" applyFont="1" applyBorder="1"/>
    <xf numFmtId="0" fontId="42" fillId="18" borderId="7" xfId="638" applyFont="1" applyFill="1" applyBorder="1"/>
    <xf numFmtId="14" fontId="43" fillId="8" borderId="8" xfId="638" applyNumberFormat="1" applyFont="1" applyFill="1" applyBorder="1" applyAlignment="1">
      <alignment horizontal="center"/>
    </xf>
    <xf numFmtId="0" fontId="45" fillId="0" borderId="7" xfId="638" applyFont="1" applyBorder="1"/>
    <xf numFmtId="173" fontId="46" fillId="0" borderId="8" xfId="678" applyNumberFormat="1" applyFont="1" applyBorder="1"/>
    <xf numFmtId="173" fontId="44" fillId="0" borderId="8" xfId="678" applyNumberFormat="1" applyFont="1" applyBorder="1" applyAlignment="1">
      <alignment horizontal="right"/>
    </xf>
    <xf numFmtId="0" fontId="46" fillId="18" borderId="7" xfId="638" applyFont="1" applyFill="1" applyBorder="1"/>
    <xf numFmtId="166" fontId="44" fillId="0" borderId="8" xfId="56" applyNumberFormat="1" applyFont="1" applyBorder="1" applyAlignment="1">
      <alignment horizontal="right"/>
    </xf>
    <xf numFmtId="0" fontId="47" fillId="18" borderId="7" xfId="638" applyFont="1" applyFill="1" applyBorder="1"/>
    <xf numFmtId="14" fontId="43" fillId="8" borderId="8" xfId="638" applyNumberFormat="1" applyFont="1" applyFill="1" applyBorder="1" applyAlignment="1">
      <alignment horizontal="right"/>
    </xf>
    <xf numFmtId="9" fontId="42" fillId="0" borderId="8" xfId="678" applyFont="1" applyBorder="1" applyAlignment="1">
      <alignment horizontal="right"/>
    </xf>
    <xf numFmtId="0" fontId="42" fillId="0" borderId="8" xfId="638" applyFont="1" applyBorder="1" applyAlignment="1">
      <alignment horizontal="right"/>
    </xf>
    <xf numFmtId="173" fontId="42" fillId="0" borderId="8" xfId="678" applyNumberFormat="1" applyFont="1" applyBorder="1" applyAlignment="1">
      <alignment horizontal="right"/>
    </xf>
    <xf numFmtId="0" fontId="42" fillId="18" borderId="9" xfId="638" applyFont="1" applyFill="1" applyBorder="1"/>
    <xf numFmtId="173" fontId="44" fillId="0" borderId="10" xfId="678" applyNumberFormat="1" applyFont="1" applyBorder="1" applyAlignment="1">
      <alignment horizontal="right"/>
    </xf>
    <xf numFmtId="173" fontId="42" fillId="0" borderId="0" xfId="678" applyNumberFormat="1" applyFont="1" applyBorder="1"/>
    <xf numFmtId="0" fontId="48" fillId="0" borderId="0" xfId="0" applyFont="1"/>
    <xf numFmtId="0" fontId="49" fillId="0" borderId="11" xfId="0" applyFont="1" applyBorder="1"/>
    <xf numFmtId="0" fontId="49" fillId="0" borderId="12" xfId="0" applyFont="1" applyBorder="1"/>
    <xf numFmtId="0" fontId="49" fillId="0" borderId="13" xfId="0" applyFont="1" applyBorder="1"/>
    <xf numFmtId="43" fontId="49" fillId="0" borderId="8" xfId="56" applyFont="1" applyBorder="1"/>
    <xf numFmtId="0" fontId="42" fillId="0" borderId="14" xfId="0" applyFont="1" applyBorder="1"/>
    <xf numFmtId="0" fontId="42" fillId="0" borderId="8" xfId="0" applyFont="1" applyBorder="1"/>
    <xf numFmtId="0" fontId="50" fillId="0" borderId="8" xfId="0" applyFont="1" applyBorder="1"/>
    <xf numFmtId="0" fontId="42" fillId="0" borderId="13" xfId="0" applyFont="1" applyBorder="1"/>
    <xf numFmtId="0" fontId="42" fillId="0" borderId="0" xfId="0" applyFont="1"/>
    <xf numFmtId="172" fontId="42" fillId="0" borderId="15" xfId="0" applyNumberFormat="1" applyFont="1" applyBorder="1"/>
    <xf numFmtId="0" fontId="49" fillId="0" borderId="16" xfId="0" applyFont="1" applyBorder="1"/>
    <xf numFmtId="172" fontId="42" fillId="0" borderId="14" xfId="0" applyNumberFormat="1" applyFont="1" applyBorder="1"/>
    <xf numFmtId="172" fontId="42" fillId="0" borderId="17" xfId="0" applyNumberFormat="1" applyFont="1" applyBorder="1"/>
    <xf numFmtId="172" fontId="42" fillId="0" borderId="13" xfId="0" applyNumberFormat="1" applyFont="1" applyBorder="1"/>
    <xf numFmtId="0" fontId="49" fillId="0" borderId="0" xfId="0" applyFont="1"/>
    <xf numFmtId="172" fontId="42" fillId="0" borderId="11" xfId="0" applyNumberFormat="1" applyFont="1" applyBorder="1"/>
    <xf numFmtId="9" fontId="50" fillId="0" borderId="8" xfId="678" applyFont="1" applyBorder="1"/>
    <xf numFmtId="0" fontId="51" fillId="0" borderId="8" xfId="0" applyFont="1" applyBorder="1"/>
    <xf numFmtId="172" fontId="42" fillId="0" borderId="14" xfId="0" applyNumberFormat="1" applyFont="1" applyBorder="1" applyAlignment="1">
      <alignment horizontal="right"/>
    </xf>
    <xf numFmtId="172" fontId="42" fillId="0" borderId="17" xfId="0" applyNumberFormat="1" applyFont="1" applyBorder="1" applyAlignment="1">
      <alignment horizontal="right"/>
    </xf>
    <xf numFmtId="0" fontId="50" fillId="0" borderId="10" xfId="0" applyFont="1" applyBorder="1"/>
    <xf numFmtId="166" fontId="50" fillId="0" borderId="0" xfId="0" applyNumberFormat="1" applyFont="1"/>
    <xf numFmtId="0" fontId="51" fillId="0" borderId="16" xfId="0" applyFont="1" applyBorder="1"/>
    <xf numFmtId="0" fontId="50" fillId="0" borderId="0" xfId="0" applyFont="1"/>
    <xf numFmtId="0" fontId="42" fillId="0" borderId="16" xfId="0" applyFont="1" applyBorder="1"/>
    <xf numFmtId="0" fontId="42" fillId="0" borderId="17" xfId="0" applyFont="1" applyBorder="1"/>
    <xf numFmtId="0" fontId="45" fillId="0" borderId="8" xfId="0" applyFont="1" applyBorder="1"/>
    <xf numFmtId="0" fontId="45" fillId="0" borderId="0" xfId="0" applyFont="1"/>
    <xf numFmtId="43" fontId="49" fillId="0" borderId="0" xfId="56" applyFont="1" applyBorder="1"/>
    <xf numFmtId="0" fontId="42" fillId="0" borderId="10" xfId="0" applyFont="1" applyBorder="1"/>
    <xf numFmtId="172" fontId="42" fillId="0" borderId="18" xfId="0" applyNumberFormat="1" applyFont="1" applyBorder="1"/>
    <xf numFmtId="0" fontId="52" fillId="0" borderId="15" xfId="0" applyFont="1" applyBorder="1"/>
    <xf numFmtId="172" fontId="42" fillId="0" borderId="19" xfId="0" applyNumberFormat="1" applyFont="1" applyBorder="1"/>
    <xf numFmtId="172" fontId="42" fillId="0" borderId="20" xfId="0" applyNumberFormat="1" applyFont="1" applyBorder="1"/>
    <xf numFmtId="172" fontId="52" fillId="0" borderId="11" xfId="0" applyNumberFormat="1" applyFont="1" applyBorder="1"/>
    <xf numFmtId="0" fontId="52" fillId="0" borderId="12" xfId="0" applyFont="1" applyBorder="1"/>
    <xf numFmtId="0" fontId="42" fillId="0" borderId="21" xfId="0" applyFont="1" applyBorder="1"/>
    <xf numFmtId="0" fontId="42" fillId="0" borderId="22" xfId="0" applyFont="1" applyBorder="1"/>
    <xf numFmtId="0" fontId="42" fillId="0" borderId="23" xfId="0" applyFont="1" applyBorder="1"/>
    <xf numFmtId="43" fontId="48" fillId="0" borderId="8" xfId="53" applyFont="1" applyBorder="1"/>
    <xf numFmtId="43" fontId="42" fillId="0" borderId="8" xfId="56" applyFont="1" applyFill="1" applyBorder="1" applyAlignment="1">
      <alignment horizontal="left" wrapText="1"/>
    </xf>
    <xf numFmtId="43" fontId="42" fillId="0" borderId="8" xfId="56" applyFont="1" applyFill="1" applyBorder="1" applyAlignment="1">
      <alignment horizontal="left"/>
    </xf>
    <xf numFmtId="43" fontId="47" fillId="19" borderId="8" xfId="53" applyFont="1" applyFill="1" applyBorder="1" applyAlignment="1">
      <alignment horizontal="left" wrapText="1"/>
    </xf>
    <xf numFmtId="43" fontId="42" fillId="0" borderId="8" xfId="53" applyFont="1" applyBorder="1"/>
    <xf numFmtId="0" fontId="43" fillId="0" borderId="24" xfId="638" applyFont="1" applyBorder="1" applyAlignment="1">
      <alignment horizontal="center"/>
    </xf>
    <xf numFmtId="0" fontId="43" fillId="8" borderId="25" xfId="638" applyFont="1" applyFill="1" applyBorder="1" applyAlignment="1">
      <alignment horizontal="center"/>
    </xf>
    <xf numFmtId="0" fontId="43" fillId="0" borderId="14" xfId="638" applyFont="1" applyBorder="1" applyAlignment="1">
      <alignment horizontal="center"/>
    </xf>
    <xf numFmtId="0" fontId="42" fillId="0" borderId="8" xfId="638" applyFont="1" applyBorder="1" applyAlignment="1">
      <alignment horizontal="center"/>
    </xf>
    <xf numFmtId="173" fontId="42" fillId="0" borderId="8" xfId="678" applyNumberFormat="1" applyFont="1" applyBorder="1"/>
    <xf numFmtId="173" fontId="47" fillId="0" borderId="8" xfId="676" applyNumberFormat="1" applyFont="1" applyBorder="1"/>
    <xf numFmtId="173" fontId="42" fillId="0" borderId="8" xfId="676" applyNumberFormat="1" applyFont="1" applyBorder="1"/>
    <xf numFmtId="173" fontId="47" fillId="0" borderId="16" xfId="678" applyNumberFormat="1" applyFont="1" applyBorder="1"/>
    <xf numFmtId="0" fontId="42" fillId="0" borderId="16" xfId="638" applyFont="1" applyBorder="1" applyAlignment="1">
      <alignment horizontal="center"/>
    </xf>
    <xf numFmtId="173" fontId="42" fillId="0" borderId="16" xfId="678" applyNumberFormat="1" applyFont="1" applyBorder="1"/>
    <xf numFmtId="0" fontId="42" fillId="0" borderId="10" xfId="638" applyFont="1" applyBorder="1"/>
    <xf numFmtId="0" fontId="42" fillId="0" borderId="10" xfId="638" applyFont="1" applyBorder="1" applyAlignment="1">
      <alignment horizontal="center"/>
    </xf>
    <xf numFmtId="9" fontId="42" fillId="0" borderId="10" xfId="676" applyFont="1" applyBorder="1"/>
    <xf numFmtId="0" fontId="47" fillId="0" borderId="8" xfId="638" applyFont="1" applyBorder="1"/>
    <xf numFmtId="0" fontId="47" fillId="0" borderId="8" xfId="638" applyFont="1" applyBorder="1" applyAlignment="1">
      <alignment horizontal="center"/>
    </xf>
    <xf numFmtId="173" fontId="47" fillId="0" borderId="8" xfId="678" applyNumberFormat="1" applyFont="1" applyBorder="1"/>
    <xf numFmtId="166" fontId="42" fillId="0" borderId="8" xfId="53" applyNumberFormat="1" applyFont="1" applyFill="1" applyBorder="1" applyAlignment="1">
      <alignment horizontal="right"/>
    </xf>
    <xf numFmtId="173" fontId="44" fillId="0" borderId="8" xfId="678" applyNumberFormat="1" applyFont="1" applyFill="1" applyBorder="1"/>
    <xf numFmtId="173" fontId="46" fillId="0" borderId="8" xfId="678" applyNumberFormat="1" applyFont="1" applyFill="1" applyBorder="1"/>
    <xf numFmtId="173" fontId="53" fillId="0" borderId="8" xfId="678" applyNumberFormat="1" applyFont="1" applyFill="1" applyBorder="1"/>
    <xf numFmtId="0" fontId="42" fillId="0" borderId="26" xfId="638" applyFont="1" applyBorder="1"/>
    <xf numFmtId="0" fontId="42" fillId="0" borderId="26" xfId="638" applyFont="1" applyBorder="1" applyAlignment="1">
      <alignment horizontal="center"/>
    </xf>
    <xf numFmtId="9" fontId="42" fillId="0" borderId="26" xfId="676" applyFont="1" applyBorder="1"/>
    <xf numFmtId="0" fontId="42" fillId="0" borderId="8" xfId="638" applyFont="1" applyBorder="1" applyAlignment="1">
      <alignment wrapText="1"/>
    </xf>
    <xf numFmtId="9" fontId="42" fillId="0" borderId="8" xfId="676" applyFont="1" applyBorder="1"/>
    <xf numFmtId="0" fontId="54" fillId="0" borderId="0" xfId="0" applyFont="1"/>
    <xf numFmtId="43" fontId="55" fillId="19" borderId="0" xfId="53" applyFont="1" applyFill="1"/>
    <xf numFmtId="0" fontId="55" fillId="0" borderId="0" xfId="0" applyFont="1"/>
    <xf numFmtId="43" fontId="54" fillId="0" borderId="0" xfId="53" applyFont="1"/>
    <xf numFmtId="0" fontId="49" fillId="20" borderId="8" xfId="0" applyFont="1" applyFill="1" applyBorder="1"/>
    <xf numFmtId="43" fontId="48" fillId="20" borderId="8" xfId="53" applyFont="1" applyFill="1" applyBorder="1"/>
    <xf numFmtId="0" fontId="49" fillId="21" borderId="10" xfId="0" applyFont="1" applyFill="1" applyBorder="1"/>
    <xf numFmtId="43" fontId="56" fillId="0" borderId="8" xfId="53" applyFont="1" applyFill="1" applyBorder="1"/>
    <xf numFmtId="43" fontId="57" fillId="19" borderId="8" xfId="56" applyFont="1" applyFill="1" applyBorder="1" applyAlignment="1">
      <alignment horizontal="left" wrapText="1"/>
    </xf>
    <xf numFmtId="0" fontId="56" fillId="0" borderId="0" xfId="0" applyFont="1"/>
    <xf numFmtId="0" fontId="57" fillId="0" borderId="0" xfId="0" applyFont="1"/>
    <xf numFmtId="0" fontId="57" fillId="0" borderId="8" xfId="0" applyFont="1" applyBorder="1" applyAlignment="1" applyProtection="1">
      <alignment horizontal="center" vertical="center" wrapText="1"/>
      <protection locked="0"/>
    </xf>
    <xf numFmtId="43" fontId="56" fillId="0" borderId="8" xfId="56" applyFont="1" applyFill="1" applyBorder="1" applyAlignment="1">
      <alignment horizontal="left"/>
    </xf>
    <xf numFmtId="43" fontId="56" fillId="0" borderId="8" xfId="56" applyFont="1" applyFill="1" applyBorder="1" applyAlignment="1">
      <alignment horizontal="left" wrapText="1"/>
    </xf>
    <xf numFmtId="0" fontId="57" fillId="0" borderId="8" xfId="0" applyFont="1" applyBorder="1" applyAlignment="1" applyProtection="1">
      <alignment horizontal="left" vertical="top" wrapText="1" readingOrder="1"/>
      <protection locked="0"/>
    </xf>
    <xf numFmtId="0" fontId="58" fillId="0" borderId="12" xfId="0" applyFont="1" applyBorder="1"/>
    <xf numFmtId="0" fontId="57" fillId="0" borderId="0" xfId="638" applyFont="1"/>
    <xf numFmtId="9" fontId="43" fillId="0" borderId="17" xfId="638" applyNumberFormat="1" applyFont="1" applyBorder="1" applyAlignment="1">
      <alignment horizontal="center"/>
    </xf>
    <xf numFmtId="9" fontId="43" fillId="0" borderId="14" xfId="638" applyNumberFormat="1" applyFont="1" applyBorder="1" applyAlignment="1">
      <alignment horizontal="center"/>
    </xf>
    <xf numFmtId="0" fontId="47" fillId="0" borderId="14" xfId="638" applyFont="1" applyBorder="1" applyAlignment="1">
      <alignment horizontal="center"/>
    </xf>
    <xf numFmtId="173" fontId="59" fillId="0" borderId="14" xfId="678" applyNumberFormat="1" applyFont="1" applyBorder="1" applyAlignment="1">
      <alignment horizontal="center"/>
    </xf>
    <xf numFmtId="173" fontId="43" fillId="0" borderId="14" xfId="678" applyNumberFormat="1" applyFont="1" applyBorder="1" applyAlignment="1">
      <alignment horizontal="center"/>
    </xf>
    <xf numFmtId="9" fontId="43" fillId="0" borderId="14" xfId="678" applyFont="1" applyBorder="1" applyAlignment="1">
      <alignment horizontal="center"/>
    </xf>
    <xf numFmtId="9" fontId="44" fillId="0" borderId="8" xfId="676" applyFont="1" applyBorder="1" applyAlignment="1">
      <alignment horizontal="right"/>
    </xf>
    <xf numFmtId="0" fontId="56" fillId="0" borderId="8" xfId="0" applyFont="1" applyBorder="1"/>
    <xf numFmtId="43" fontId="54" fillId="0" borderId="8" xfId="53" applyFont="1" applyBorder="1"/>
    <xf numFmtId="0" fontId="54" fillId="0" borderId="8" xfId="0" applyFont="1" applyBorder="1"/>
    <xf numFmtId="176" fontId="17" fillId="9" borderId="8" xfId="54" applyNumberFormat="1" applyFont="1" applyFill="1" applyBorder="1" applyAlignment="1" applyProtection="1"/>
    <xf numFmtId="174" fontId="18" fillId="9" borderId="8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5" fillId="0" borderId="0" xfId="0" applyFont="1"/>
    <xf numFmtId="0" fontId="16" fillId="0" borderId="27" xfId="0" applyFont="1" applyBorder="1" applyAlignment="1">
      <alignment wrapText="1"/>
    </xf>
    <xf numFmtId="0" fontId="17" fillId="0" borderId="27" xfId="0" applyFont="1" applyBorder="1" applyAlignment="1">
      <alignment wrapText="1"/>
    </xf>
    <xf numFmtId="49" fontId="17" fillId="0" borderId="27" xfId="0" applyNumberFormat="1" applyFont="1" applyBorder="1" applyAlignment="1" applyProtection="1">
      <alignment horizontal="right" wrapText="1"/>
      <protection locked="0"/>
    </xf>
    <xf numFmtId="0" fontId="17" fillId="0" borderId="28" xfId="0" applyFont="1" applyBorder="1" applyAlignment="1" applyProtection="1">
      <alignment horizontal="right" wrapText="1"/>
      <protection locked="0"/>
    </xf>
    <xf numFmtId="0" fontId="16" fillId="0" borderId="29" xfId="0" applyFont="1" applyBorder="1" applyAlignment="1">
      <alignment wrapText="1"/>
    </xf>
    <xf numFmtId="49" fontId="19" fillId="0" borderId="8" xfId="0" applyNumberFormat="1" applyFont="1" applyBorder="1" applyAlignment="1" applyProtection="1">
      <alignment horizontal="right"/>
      <protection locked="0"/>
    </xf>
    <xf numFmtId="0" fontId="16" fillId="0" borderId="27" xfId="0" applyFont="1" applyBorder="1" applyAlignment="1" applyProtection="1">
      <alignment wrapText="1"/>
      <protection locked="0"/>
    </xf>
    <xf numFmtId="2" fontId="16" fillId="0" borderId="27" xfId="0" applyNumberFormat="1" applyFont="1" applyBorder="1" applyAlignment="1">
      <alignment horizontal="center" wrapText="1"/>
    </xf>
    <xf numFmtId="0" fontId="17" fillId="22" borderId="27" xfId="0" applyFont="1" applyFill="1" applyBorder="1" applyAlignment="1">
      <alignment wrapText="1"/>
    </xf>
    <xf numFmtId="2" fontId="17" fillId="0" borderId="27" xfId="0" applyNumberFormat="1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6" fillId="0" borderId="31" xfId="0" applyFont="1" applyBorder="1" applyAlignment="1">
      <alignment wrapText="1"/>
    </xf>
    <xf numFmtId="0" fontId="20" fillId="0" borderId="0" xfId="0" applyFont="1" applyAlignment="1">
      <alignment horizontal="left" wrapText="1"/>
    </xf>
    <xf numFmtId="0" fontId="12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alignment wrapText="1"/>
      <protection locked="0"/>
    </xf>
    <xf numFmtId="0" fontId="16" fillId="0" borderId="0" xfId="0" applyFont="1" applyAlignment="1" applyProtection="1">
      <alignment wrapText="1"/>
      <protection locked="0"/>
    </xf>
    <xf numFmtId="9" fontId="15" fillId="0" borderId="0" xfId="676" applyFont="1"/>
    <xf numFmtId="176" fontId="12" fillId="19" borderId="8" xfId="54" applyNumberFormat="1" applyFont="1" applyFill="1" applyBorder="1" applyAlignment="1" applyProtection="1"/>
    <xf numFmtId="43" fontId="14" fillId="19" borderId="8" xfId="53" applyFont="1" applyFill="1" applyBorder="1" applyAlignment="1" applyProtection="1"/>
    <xf numFmtId="0" fontId="55" fillId="19" borderId="0" xfId="0" applyFont="1" applyFill="1"/>
    <xf numFmtId="0" fontId="54" fillId="19" borderId="0" xfId="0" applyFont="1" applyFill="1"/>
    <xf numFmtId="176" fontId="17" fillId="9" borderId="8" xfId="54" applyNumberFormat="1" applyFont="1" applyFill="1" applyBorder="1" applyAlignment="1" applyProtection="1">
      <protection locked="0"/>
    </xf>
    <xf numFmtId="43" fontId="48" fillId="0" borderId="8" xfId="53" applyFont="1" applyFill="1" applyBorder="1"/>
    <xf numFmtId="0" fontId="48" fillId="0" borderId="8" xfId="0" applyFont="1" applyBorder="1"/>
    <xf numFmtId="43" fontId="48" fillId="23" borderId="8" xfId="53" applyFont="1" applyFill="1" applyBorder="1"/>
    <xf numFmtId="43" fontId="48" fillId="21" borderId="8" xfId="53" applyFont="1" applyFill="1" applyBorder="1"/>
    <xf numFmtId="9" fontId="60" fillId="0" borderId="8" xfId="676" applyFont="1" applyBorder="1"/>
    <xf numFmtId="38" fontId="49" fillId="0" borderId="8" xfId="53" applyNumberFormat="1" applyFont="1" applyBorder="1"/>
    <xf numFmtId="43" fontId="49" fillId="0" borderId="8" xfId="53" applyFont="1" applyBorder="1"/>
    <xf numFmtId="17" fontId="57" fillId="0" borderId="0" xfId="0" applyNumberFormat="1" applyFont="1" applyAlignment="1">
      <alignment horizontal="left" vertical="center"/>
    </xf>
    <xf numFmtId="0" fontId="57" fillId="0" borderId="0" xfId="0" applyFont="1" applyAlignment="1">
      <alignment horizontal="center" vertical="center"/>
    </xf>
    <xf numFmtId="43" fontId="17" fillId="10" borderId="8" xfId="53" applyFont="1" applyFill="1" applyBorder="1" applyAlignment="1" applyProtection="1"/>
    <xf numFmtId="43" fontId="33" fillId="0" borderId="8" xfId="53" applyFont="1" applyBorder="1" applyAlignment="1" applyProtection="1">
      <alignment vertical="top" wrapText="1"/>
      <protection locked="0"/>
    </xf>
    <xf numFmtId="43" fontId="33" fillId="22" borderId="8" xfId="53" applyFont="1" applyFill="1" applyBorder="1" applyAlignment="1" applyProtection="1">
      <alignment vertical="top" wrapText="1"/>
      <protection locked="0"/>
    </xf>
    <xf numFmtId="43" fontId="17" fillId="9" borderId="8" xfId="53" applyFont="1" applyFill="1" applyBorder="1" applyAlignment="1" applyProtection="1"/>
    <xf numFmtId="166" fontId="56" fillId="0" borderId="8" xfId="54" applyNumberFormat="1" applyFont="1" applyFill="1" applyBorder="1" applyAlignment="1" applyProtection="1"/>
    <xf numFmtId="168" fontId="24" fillId="0" borderId="32" xfId="476" applyNumberFormat="1" applyFont="1" applyBorder="1" applyAlignment="1" applyProtection="1">
      <alignment vertical="top" wrapText="1" readingOrder="1"/>
      <protection locked="0"/>
    </xf>
    <xf numFmtId="0" fontId="55" fillId="0" borderId="8" xfId="0" applyFont="1" applyBorder="1"/>
    <xf numFmtId="17" fontId="55" fillId="0" borderId="8" xfId="0" applyNumberFormat="1" applyFont="1" applyBorder="1"/>
    <xf numFmtId="168" fontId="25" fillId="0" borderId="32" xfId="476" applyNumberFormat="1" applyFont="1" applyBorder="1" applyAlignment="1" applyProtection="1">
      <alignment vertical="top" wrapText="1" readingOrder="1"/>
      <protection locked="0"/>
    </xf>
    <xf numFmtId="168" fontId="25" fillId="11" borderId="32" xfId="476" applyNumberFormat="1" applyFont="1" applyFill="1" applyBorder="1" applyAlignment="1" applyProtection="1">
      <alignment vertical="top" wrapText="1" readingOrder="1"/>
      <protection locked="0"/>
    </xf>
    <xf numFmtId="43" fontId="56" fillId="0" borderId="0" xfId="0" applyNumberFormat="1" applyFont="1"/>
    <xf numFmtId="0" fontId="16" fillId="0" borderId="27" xfId="476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14" xfId="0" applyBorder="1"/>
    <xf numFmtId="0" fontId="0" fillId="18" borderId="0" xfId="0" applyFill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21" xfId="0" applyBorder="1" applyProtection="1">
      <protection locked="0"/>
    </xf>
    <xf numFmtId="0" fontId="39" fillId="18" borderId="14" xfId="0" applyFont="1" applyFill="1" applyBorder="1"/>
    <xf numFmtId="0" fontId="0" fillId="0" borderId="8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39" fillId="18" borderId="33" xfId="0" applyFont="1" applyFill="1" applyBorder="1"/>
    <xf numFmtId="0" fontId="0" fillId="0" borderId="26" xfId="0" applyBorder="1" applyAlignment="1" applyProtection="1">
      <alignment horizontal="center"/>
      <protection locked="0"/>
    </xf>
    <xf numFmtId="0" fontId="39" fillId="18" borderId="17" xfId="0" applyFont="1" applyFill="1" applyBorder="1"/>
    <xf numFmtId="0" fontId="0" fillId="0" borderId="10" xfId="0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23" xfId="0" applyBorder="1" applyProtection="1">
      <protection locked="0"/>
    </xf>
    <xf numFmtId="0" fontId="39" fillId="18" borderId="34" xfId="0" applyFont="1" applyFill="1" applyBorder="1"/>
    <xf numFmtId="0" fontId="0" fillId="0" borderId="0" xfId="0" applyAlignment="1" applyProtection="1">
      <alignment horizontal="center"/>
      <protection locked="0"/>
    </xf>
    <xf numFmtId="0" fontId="41" fillId="0" borderId="0" xfId="0" applyFont="1" applyProtection="1">
      <protection locked="0"/>
    </xf>
    <xf numFmtId="43" fontId="48" fillId="0" borderId="0" xfId="0" applyNumberFormat="1" applyFont="1"/>
    <xf numFmtId="43" fontId="33" fillId="0" borderId="8" xfId="53" applyFont="1" applyBorder="1" applyAlignment="1" applyProtection="1">
      <alignment vertical="top" wrapText="1" readingOrder="1"/>
      <protection locked="0"/>
    </xf>
    <xf numFmtId="0" fontId="41" fillId="0" borderId="21" xfId="0" applyFont="1" applyBorder="1" applyProtection="1">
      <protection locked="0"/>
    </xf>
    <xf numFmtId="0" fontId="41" fillId="0" borderId="21" xfId="0" applyFont="1" applyBorder="1" applyAlignment="1" applyProtection="1">
      <alignment horizontal="left"/>
      <protection locked="0"/>
    </xf>
    <xf numFmtId="0" fontId="41" fillId="0" borderId="23" xfId="0" applyFont="1" applyBorder="1" applyProtection="1">
      <protection locked="0"/>
    </xf>
    <xf numFmtId="0" fontId="39" fillId="18" borderId="35" xfId="0" applyFont="1" applyFill="1" applyBorder="1"/>
    <xf numFmtId="0" fontId="0" fillId="0" borderId="36" xfId="0" applyBorder="1" applyAlignment="1" applyProtection="1">
      <alignment horizontal="center"/>
      <protection locked="0"/>
    </xf>
    <xf numFmtId="0" fontId="61" fillId="0" borderId="37" xfId="0" applyFont="1" applyBorder="1" applyAlignment="1">
      <alignment horizontal="center"/>
    </xf>
    <xf numFmtId="0" fontId="61" fillId="0" borderId="37" xfId="0" applyFont="1" applyBorder="1" applyAlignment="1">
      <alignment horizontal="right"/>
    </xf>
    <xf numFmtId="0" fontId="62" fillId="0" borderId="37" xfId="0" applyFont="1" applyBorder="1"/>
    <xf numFmtId="0" fontId="61" fillId="0" borderId="37" xfId="0" applyFont="1" applyBorder="1" applyAlignment="1" applyProtection="1">
      <alignment horizontal="right"/>
      <protection locked="0"/>
    </xf>
    <xf numFmtId="17" fontId="61" fillId="0" borderId="37" xfId="0" applyNumberFormat="1" applyFont="1" applyBorder="1" applyProtection="1">
      <protection locked="0"/>
    </xf>
    <xf numFmtId="17" fontId="61" fillId="0" borderId="37" xfId="0" applyNumberFormat="1" applyFont="1" applyBorder="1" applyAlignment="1" applyProtection="1">
      <alignment horizontal="right" wrapText="1"/>
      <protection locked="0"/>
    </xf>
    <xf numFmtId="0" fontId="63" fillId="0" borderId="37" xfId="0" applyFont="1" applyBorder="1"/>
    <xf numFmtId="0" fontId="63" fillId="0" borderId="37" xfId="0" applyFont="1" applyBorder="1" applyAlignment="1">
      <alignment horizontal="center"/>
    </xf>
    <xf numFmtId="166" fontId="63" fillId="0" borderId="37" xfId="56" applyNumberFormat="1" applyFont="1" applyBorder="1" applyAlignment="1" applyProtection="1">
      <alignment horizontal="right"/>
    </xf>
    <xf numFmtId="9" fontId="63" fillId="0" borderId="37" xfId="0" applyNumberFormat="1" applyFont="1" applyBorder="1" applyAlignment="1">
      <alignment horizontal="center"/>
    </xf>
    <xf numFmtId="173" fontId="63" fillId="0" borderId="37" xfId="676" applyNumberFormat="1" applyFont="1" applyBorder="1" applyAlignment="1" applyProtection="1">
      <alignment horizontal="right"/>
    </xf>
    <xf numFmtId="173" fontId="63" fillId="0" borderId="37" xfId="676" applyNumberFormat="1" applyFont="1" applyFill="1" applyBorder="1" applyAlignment="1" applyProtection="1">
      <alignment horizontal="right"/>
    </xf>
    <xf numFmtId="173" fontId="62" fillId="18" borderId="37" xfId="676" applyNumberFormat="1" applyFont="1" applyFill="1" applyBorder="1" applyAlignment="1" applyProtection="1">
      <alignment horizontal="right"/>
    </xf>
    <xf numFmtId="0" fontId="63" fillId="18" borderId="37" xfId="0" applyFont="1" applyFill="1" applyBorder="1"/>
    <xf numFmtId="173" fontId="63" fillId="18" borderId="37" xfId="676" applyNumberFormat="1" applyFont="1" applyFill="1" applyBorder="1" applyAlignment="1" applyProtection="1">
      <alignment horizontal="right"/>
    </xf>
    <xf numFmtId="0" fontId="63" fillId="18" borderId="37" xfId="0" applyFont="1" applyFill="1" applyBorder="1" applyAlignment="1">
      <alignment horizontal="center"/>
    </xf>
    <xf numFmtId="0" fontId="62" fillId="0" borderId="37" xfId="0" applyFont="1" applyBorder="1" applyAlignment="1">
      <alignment horizontal="center"/>
    </xf>
    <xf numFmtId="0" fontId="63" fillId="18" borderId="37" xfId="0" applyFont="1" applyFill="1" applyBorder="1" applyAlignment="1">
      <alignment horizontal="left"/>
    </xf>
    <xf numFmtId="9" fontId="63" fillId="18" borderId="37" xfId="0" applyNumberFormat="1" applyFont="1" applyFill="1" applyBorder="1" applyAlignment="1">
      <alignment horizontal="center"/>
    </xf>
    <xf numFmtId="0" fontId="64" fillId="0" borderId="37" xfId="0" applyFont="1" applyBorder="1" applyAlignment="1">
      <alignment horizontal="center"/>
    </xf>
    <xf numFmtId="0" fontId="65" fillId="18" borderId="37" xfId="0" applyFont="1" applyFill="1" applyBorder="1"/>
    <xf numFmtId="43" fontId="65" fillId="0" borderId="37" xfId="53" applyFont="1" applyBorder="1" applyAlignment="1" applyProtection="1">
      <alignment horizontal="center"/>
    </xf>
    <xf numFmtId="43" fontId="65" fillId="0" borderId="37" xfId="53" applyFont="1" applyBorder="1" applyProtection="1">
      <protection locked="0"/>
    </xf>
    <xf numFmtId="43" fontId="30" fillId="0" borderId="37" xfId="53" applyFont="1" applyBorder="1" applyProtection="1">
      <protection locked="0"/>
    </xf>
    <xf numFmtId="0" fontId="62" fillId="0" borderId="37" xfId="0" applyFont="1" applyBorder="1" applyAlignment="1" applyProtection="1">
      <alignment horizontal="left"/>
      <protection locked="0"/>
    </xf>
    <xf numFmtId="0" fontId="62" fillId="0" borderId="37" xfId="0" applyFont="1" applyBorder="1" applyAlignment="1" applyProtection="1">
      <alignment horizontal="center"/>
      <protection locked="0"/>
    </xf>
    <xf numFmtId="0" fontId="62" fillId="0" borderId="37" xfId="0" applyFont="1" applyBorder="1" applyProtection="1">
      <protection locked="0"/>
    </xf>
    <xf numFmtId="0" fontId="64" fillId="0" borderId="37" xfId="0" applyFont="1" applyBorder="1" applyProtection="1">
      <protection locked="0"/>
    </xf>
    <xf numFmtId="0" fontId="63" fillId="18" borderId="37" xfId="0" applyFont="1" applyFill="1" applyBorder="1" applyAlignment="1" applyProtection="1">
      <alignment horizontal="left"/>
      <protection locked="0"/>
    </xf>
    <xf numFmtId="168" fontId="25" fillId="0" borderId="0" xfId="476" applyNumberFormat="1" applyFont="1" applyAlignment="1" applyProtection="1">
      <alignment vertical="top" wrapText="1" readingOrder="1"/>
      <protection locked="0"/>
    </xf>
    <xf numFmtId="168" fontId="25" fillId="11" borderId="0" xfId="476" applyNumberFormat="1" applyFont="1" applyFill="1" applyAlignment="1" applyProtection="1">
      <alignment vertical="top" wrapText="1" readingOrder="1"/>
      <protection locked="0"/>
    </xf>
    <xf numFmtId="43" fontId="54" fillId="0" borderId="0" xfId="53" applyFont="1" applyBorder="1"/>
    <xf numFmtId="43" fontId="25" fillId="0" borderId="0" xfId="53" applyFont="1" applyBorder="1" applyAlignment="1" applyProtection="1">
      <alignment vertical="top" wrapText="1" readingOrder="1"/>
      <protection locked="0"/>
    </xf>
    <xf numFmtId="173" fontId="44" fillId="0" borderId="14" xfId="678" applyNumberFormat="1" applyFont="1" applyFill="1" applyBorder="1"/>
    <xf numFmtId="168" fontId="31" fillId="0" borderId="32" xfId="0" applyNumberFormat="1" applyFont="1" applyBorder="1" applyAlignment="1" applyProtection="1">
      <alignment vertical="top" wrapText="1" readingOrder="1"/>
      <protection locked="0"/>
    </xf>
    <xf numFmtId="175" fontId="31" fillId="0" borderId="32" xfId="0" applyNumberFormat="1" applyFont="1" applyBorder="1" applyAlignment="1" applyProtection="1">
      <alignment vertical="top" wrapText="1" readingOrder="1"/>
      <protection locked="0"/>
    </xf>
    <xf numFmtId="9" fontId="56" fillId="0" borderId="0" xfId="676" applyFont="1" applyFill="1" applyBorder="1"/>
    <xf numFmtId="168" fontId="32" fillId="0" borderId="32" xfId="0" applyNumberFormat="1" applyFont="1" applyBorder="1" applyAlignment="1" applyProtection="1">
      <alignment vertical="top" wrapText="1" readingOrder="1"/>
      <protection locked="0"/>
    </xf>
    <xf numFmtId="3" fontId="69" fillId="0" borderId="0" xfId="0" applyNumberFormat="1" applyFont="1"/>
    <xf numFmtId="43" fontId="56" fillId="0" borderId="0" xfId="53" applyFont="1"/>
    <xf numFmtId="43" fontId="68" fillId="0" borderId="0" xfId="53" applyFont="1"/>
    <xf numFmtId="0" fontId="12" fillId="0" borderId="0" xfId="0" applyFont="1"/>
    <xf numFmtId="43" fontId="17" fillId="22" borderId="27" xfId="53" applyFont="1" applyFill="1" applyBorder="1" applyAlignment="1">
      <alignment wrapText="1"/>
    </xf>
    <xf numFmtId="43" fontId="17" fillId="0" borderId="27" xfId="53" applyFont="1" applyBorder="1" applyAlignment="1">
      <alignment wrapText="1"/>
    </xf>
    <xf numFmtId="43" fontId="15" fillId="0" borderId="0" xfId="53" applyFont="1"/>
    <xf numFmtId="43" fontId="17" fillId="26" borderId="8" xfId="53" applyFont="1" applyFill="1" applyBorder="1" applyAlignment="1" applyProtection="1"/>
    <xf numFmtId="0" fontId="57" fillId="0" borderId="22" xfId="0" applyFont="1" applyBorder="1"/>
    <xf numFmtId="0" fontId="56" fillId="0" borderId="48" xfId="0" applyFont="1" applyBorder="1"/>
    <xf numFmtId="0" fontId="57" fillId="0" borderId="48" xfId="0" applyFont="1" applyBorder="1"/>
    <xf numFmtId="43" fontId="56" fillId="0" borderId="49" xfId="53" applyFont="1" applyBorder="1"/>
    <xf numFmtId="17" fontId="57" fillId="0" borderId="40" xfId="0" applyNumberFormat="1" applyFont="1" applyBorder="1" applyAlignment="1">
      <alignment horizontal="left" vertical="center"/>
    </xf>
    <xf numFmtId="0" fontId="57" fillId="0" borderId="41" xfId="0" applyFont="1" applyBorder="1" applyAlignment="1">
      <alignment horizontal="center" vertical="center"/>
    </xf>
    <xf numFmtId="0" fontId="57" fillId="0" borderId="41" xfId="0" applyFont="1" applyBorder="1" applyAlignment="1">
      <alignment horizontal="left" vertical="center"/>
    </xf>
    <xf numFmtId="0" fontId="57" fillId="0" borderId="42" xfId="0" applyFont="1" applyBorder="1" applyAlignment="1">
      <alignment horizontal="center" vertical="center"/>
    </xf>
    <xf numFmtId="43" fontId="55" fillId="0" borderId="0" xfId="53" applyFont="1" applyFill="1"/>
    <xf numFmtId="17" fontId="55" fillId="0" borderId="21" xfId="0" applyNumberFormat="1" applyFont="1" applyBorder="1"/>
    <xf numFmtId="176" fontId="17" fillId="9" borderId="21" xfId="54" applyNumberFormat="1" applyFont="1" applyFill="1" applyBorder="1" applyAlignment="1" applyProtection="1"/>
    <xf numFmtId="168" fontId="32" fillId="0" borderId="50" xfId="0" applyNumberFormat="1" applyFont="1" applyBorder="1" applyAlignment="1" applyProtection="1">
      <alignment vertical="top" wrapText="1" readingOrder="1"/>
      <protection locked="0"/>
    </xf>
    <xf numFmtId="176" fontId="17" fillId="9" borderId="21" xfId="54" applyNumberFormat="1" applyFont="1" applyFill="1" applyBorder="1" applyAlignment="1" applyProtection="1">
      <protection locked="0"/>
    </xf>
    <xf numFmtId="174" fontId="18" fillId="9" borderId="21" xfId="0" applyNumberFormat="1" applyFont="1" applyFill="1" applyBorder="1" applyAlignment="1" applyProtection="1">
      <alignment horizontal="right" vertical="center"/>
      <protection locked="0"/>
    </xf>
    <xf numFmtId="43" fontId="14" fillId="19" borderId="21" xfId="53" applyFont="1" applyFill="1" applyBorder="1" applyAlignment="1" applyProtection="1"/>
    <xf numFmtId="0" fontId="57" fillId="0" borderId="8" xfId="0" applyFont="1" applyBorder="1"/>
    <xf numFmtId="17" fontId="57" fillId="0" borderId="8" xfId="0" applyNumberFormat="1" applyFont="1" applyBorder="1" applyAlignment="1">
      <alignment horizontal="left" vertical="center"/>
    </xf>
    <xf numFmtId="0" fontId="57" fillId="0" borderId="8" xfId="0" applyFont="1" applyBorder="1" applyAlignment="1">
      <alignment horizontal="center" vertical="center"/>
    </xf>
    <xf numFmtId="0" fontId="57" fillId="0" borderId="8" xfId="0" applyFont="1" applyBorder="1" applyAlignment="1">
      <alignment horizontal="left" vertical="center"/>
    </xf>
    <xf numFmtId="43" fontId="25" fillId="0" borderId="8" xfId="53" applyFont="1" applyBorder="1" applyAlignment="1" applyProtection="1">
      <alignment vertical="top" wrapText="1" readingOrder="1"/>
      <protection locked="0"/>
    </xf>
    <xf numFmtId="168" fontId="32" fillId="0" borderId="8" xfId="0" applyNumberFormat="1" applyFont="1" applyBorder="1" applyAlignment="1" applyProtection="1">
      <alignment vertical="top" wrapText="1" readingOrder="1"/>
      <protection locked="0"/>
    </xf>
    <xf numFmtId="168" fontId="32" fillId="11" borderId="8" xfId="0" applyNumberFormat="1" applyFont="1" applyFill="1" applyBorder="1" applyAlignment="1" applyProtection="1">
      <alignment vertical="top" wrapText="1" readingOrder="1"/>
      <protection locked="0"/>
    </xf>
    <xf numFmtId="3" fontId="71" fillId="0" borderId="8" xfId="0" applyNumberFormat="1" applyFont="1" applyBorder="1"/>
    <xf numFmtId="3" fontId="54" fillId="0" borderId="8" xfId="0" applyNumberFormat="1" applyFont="1" applyBorder="1"/>
    <xf numFmtId="43" fontId="17" fillId="10" borderId="21" xfId="53" applyFont="1" applyFill="1" applyBorder="1" applyAlignment="1" applyProtection="1"/>
    <xf numFmtId="168" fontId="31" fillId="0" borderId="50" xfId="0" applyNumberFormat="1" applyFont="1" applyBorder="1" applyAlignment="1" applyProtection="1">
      <alignment vertical="top" wrapText="1" readingOrder="1"/>
      <protection locked="0"/>
    </xf>
    <xf numFmtId="43" fontId="17" fillId="9" borderId="21" xfId="53" applyFont="1" applyFill="1" applyBorder="1" applyAlignment="1" applyProtection="1"/>
    <xf numFmtId="175" fontId="31" fillId="0" borderId="50" xfId="0" applyNumberFormat="1" applyFont="1" applyBorder="1" applyAlignment="1" applyProtection="1">
      <alignment vertical="top" wrapText="1" readingOrder="1"/>
      <protection locked="0"/>
    </xf>
    <xf numFmtId="168" fontId="31" fillId="0" borderId="8" xfId="0" applyNumberFormat="1" applyFont="1" applyBorder="1" applyAlignment="1" applyProtection="1">
      <alignment vertical="top" wrapText="1" readingOrder="1"/>
      <protection locked="0"/>
    </xf>
    <xf numFmtId="43" fontId="56" fillId="0" borderId="8" xfId="53" applyFont="1" applyBorder="1"/>
    <xf numFmtId="43" fontId="56" fillId="19" borderId="8" xfId="53" applyFont="1" applyFill="1" applyBorder="1"/>
    <xf numFmtId="3" fontId="70" fillId="27" borderId="8" xfId="0" applyNumberFormat="1" applyFont="1" applyFill="1" applyBorder="1"/>
    <xf numFmtId="43" fontId="56" fillId="27" borderId="8" xfId="53" applyFont="1" applyFill="1" applyBorder="1"/>
    <xf numFmtId="3" fontId="70" fillId="0" borderId="8" xfId="0" applyNumberFormat="1" applyFont="1" applyBorder="1"/>
    <xf numFmtId="3" fontId="73" fillId="0" borderId="8" xfId="0" applyNumberFormat="1" applyFont="1" applyBorder="1"/>
    <xf numFmtId="3" fontId="70" fillId="0" borderId="8" xfId="0" applyNumberFormat="1" applyFont="1" applyBorder="1" applyAlignment="1">
      <alignment horizontal="left" vertical="center" wrapText="1" indent="4"/>
    </xf>
    <xf numFmtId="3" fontId="69" fillId="0" borderId="8" xfId="0" applyNumberFormat="1" applyFont="1" applyBorder="1"/>
    <xf numFmtId="43" fontId="69" fillId="0" borderId="8" xfId="53" applyFont="1" applyBorder="1"/>
    <xf numFmtId="175" fontId="31" fillId="0" borderId="8" xfId="0" applyNumberFormat="1" applyFont="1" applyBorder="1" applyAlignment="1" applyProtection="1">
      <alignment vertical="top" wrapText="1" readingOrder="1"/>
      <protection locked="0"/>
    </xf>
    <xf numFmtId="43" fontId="17" fillId="28" borderId="8" xfId="53" applyFont="1" applyFill="1" applyBorder="1" applyAlignment="1" applyProtection="1"/>
    <xf numFmtId="3" fontId="74" fillId="0" borderId="8" xfId="0" applyNumberFormat="1" applyFont="1" applyBorder="1"/>
    <xf numFmtId="168" fontId="32" fillId="0" borderId="8" xfId="0" applyNumberFormat="1" applyFont="1" applyBorder="1" applyAlignment="1" applyProtection="1">
      <alignment vertical="center" wrapText="1" readingOrder="1"/>
      <protection locked="0"/>
    </xf>
    <xf numFmtId="3" fontId="74" fillId="0" borderId="8" xfId="0" applyNumberFormat="1" applyFont="1" applyBorder="1" applyAlignment="1">
      <alignment horizontal="center" vertical="center"/>
    </xf>
    <xf numFmtId="3" fontId="73" fillId="0" borderId="8" xfId="0" applyNumberFormat="1" applyFont="1" applyBorder="1" applyAlignment="1">
      <alignment horizontal="right" wrapText="1"/>
    </xf>
    <xf numFmtId="3" fontId="70" fillId="0" borderId="8" xfId="0" applyNumberFormat="1" applyFont="1" applyBorder="1" applyAlignment="1">
      <alignment wrapText="1"/>
    </xf>
    <xf numFmtId="173" fontId="44" fillId="29" borderId="8" xfId="678" applyNumberFormat="1" applyFont="1" applyFill="1" applyBorder="1"/>
    <xf numFmtId="173" fontId="44" fillId="29" borderId="14" xfId="678" applyNumberFormat="1" applyFont="1" applyFill="1" applyBorder="1"/>
    <xf numFmtId="173" fontId="44" fillId="29" borderId="8" xfId="678" applyNumberFormat="1" applyFont="1" applyFill="1" applyBorder="1" applyAlignment="1">
      <alignment horizontal="right"/>
    </xf>
    <xf numFmtId="43" fontId="71" fillId="0" borderId="8" xfId="53" applyFont="1" applyBorder="1"/>
    <xf numFmtId="17" fontId="57" fillId="0" borderId="0" xfId="0" applyNumberFormat="1" applyFont="1" applyAlignment="1">
      <alignment horizontal="center" vertical="center"/>
    </xf>
    <xf numFmtId="0" fontId="75" fillId="0" borderId="51" xfId="0" applyFont="1" applyBorder="1" applyAlignment="1">
      <alignment wrapText="1" readingOrder="1"/>
    </xf>
    <xf numFmtId="4" fontId="75" fillId="0" borderId="51" xfId="0" applyNumberFormat="1" applyFont="1" applyBorder="1" applyAlignment="1">
      <alignment wrapText="1" readingOrder="1"/>
    </xf>
    <xf numFmtId="0" fontId="75" fillId="0" borderId="52" xfId="0" applyFont="1" applyBorder="1" applyAlignment="1">
      <alignment wrapText="1" readingOrder="1"/>
    </xf>
    <xf numFmtId="4" fontId="75" fillId="0" borderId="52" xfId="0" applyNumberFormat="1" applyFont="1" applyBorder="1" applyAlignment="1">
      <alignment wrapText="1" readingOrder="1"/>
    </xf>
    <xf numFmtId="0" fontId="75" fillId="0" borderId="53" xfId="0" applyFont="1" applyBorder="1" applyAlignment="1">
      <alignment wrapText="1" readingOrder="1"/>
    </xf>
    <xf numFmtId="4" fontId="75" fillId="0" borderId="53" xfId="0" applyNumberFormat="1" applyFont="1" applyBorder="1" applyAlignment="1">
      <alignment wrapText="1" readingOrder="1"/>
    </xf>
    <xf numFmtId="0" fontId="75" fillId="0" borderId="54" xfId="0" applyFont="1" applyBorder="1" applyAlignment="1">
      <alignment wrapText="1" readingOrder="1"/>
    </xf>
    <xf numFmtId="4" fontId="75" fillId="0" borderId="54" xfId="0" applyNumberFormat="1" applyFont="1" applyBorder="1" applyAlignment="1">
      <alignment wrapText="1" readingOrder="1"/>
    </xf>
    <xf numFmtId="0" fontId="76" fillId="0" borderId="51" xfId="0" applyFont="1" applyBorder="1" applyAlignment="1">
      <alignment wrapText="1" readingOrder="1"/>
    </xf>
    <xf numFmtId="4" fontId="76" fillId="0" borderId="51" xfId="0" applyNumberFormat="1" applyFont="1" applyBorder="1" applyAlignment="1">
      <alignment wrapText="1" readingOrder="1"/>
    </xf>
    <xf numFmtId="0" fontId="76" fillId="0" borderId="52" xfId="0" applyFont="1" applyBorder="1" applyAlignment="1">
      <alignment wrapText="1" readingOrder="1"/>
    </xf>
    <xf numFmtId="4" fontId="76" fillId="0" borderId="52" xfId="0" applyNumberFormat="1" applyFont="1" applyBorder="1" applyAlignment="1">
      <alignment wrapText="1" readingOrder="1"/>
    </xf>
    <xf numFmtId="0" fontId="76" fillId="0" borderId="53" xfId="0" applyFont="1" applyBorder="1" applyAlignment="1">
      <alignment wrapText="1" readingOrder="1"/>
    </xf>
    <xf numFmtId="4" fontId="76" fillId="0" borderId="53" xfId="0" applyNumberFormat="1" applyFont="1" applyBorder="1" applyAlignment="1">
      <alignment wrapText="1" readingOrder="1"/>
    </xf>
    <xf numFmtId="0" fontId="76" fillId="0" borderId="54" xfId="0" applyFont="1" applyBorder="1" applyAlignment="1">
      <alignment wrapText="1" readingOrder="1"/>
    </xf>
    <xf numFmtId="4" fontId="76" fillId="0" borderId="54" xfId="0" applyNumberFormat="1" applyFont="1" applyBorder="1" applyAlignment="1">
      <alignment wrapText="1" readingOrder="1"/>
    </xf>
    <xf numFmtId="4" fontId="76" fillId="30" borderId="53" xfId="0" applyNumberFormat="1" applyFont="1" applyFill="1" applyBorder="1" applyAlignment="1">
      <alignment wrapText="1" readingOrder="1"/>
    </xf>
    <xf numFmtId="4" fontId="76" fillId="30" borderId="54" xfId="0" applyNumberFormat="1" applyFont="1" applyFill="1" applyBorder="1" applyAlignment="1">
      <alignment wrapText="1" readingOrder="1"/>
    </xf>
    <xf numFmtId="17" fontId="48" fillId="0" borderId="0" xfId="0" applyNumberFormat="1" applyFont="1"/>
    <xf numFmtId="17" fontId="43" fillId="0" borderId="0" xfId="638" applyNumberFormat="1" applyFont="1"/>
    <xf numFmtId="43" fontId="17" fillId="10" borderId="8" xfId="53" applyFont="1" applyFill="1" applyBorder="1" applyAlignment="1" applyProtection="1">
      <alignment horizontal="right"/>
    </xf>
    <xf numFmtId="3" fontId="75" fillId="0" borderId="51" xfId="0" applyNumberFormat="1" applyFont="1" applyBorder="1" applyAlignment="1">
      <alignment wrapText="1" readingOrder="1"/>
    </xf>
    <xf numFmtId="3" fontId="75" fillId="0" borderId="52" xfId="0" applyNumberFormat="1" applyFont="1" applyBorder="1" applyAlignment="1">
      <alignment wrapText="1" readingOrder="1"/>
    </xf>
    <xf numFmtId="3" fontId="75" fillId="0" borderId="53" xfId="0" applyNumberFormat="1" applyFont="1" applyBorder="1" applyAlignment="1">
      <alignment wrapText="1" readingOrder="1"/>
    </xf>
    <xf numFmtId="3" fontId="75" fillId="0" borderId="54" xfId="0" applyNumberFormat="1" applyFont="1" applyBorder="1" applyAlignment="1">
      <alignment wrapText="1" readingOrder="1"/>
    </xf>
    <xf numFmtId="3" fontId="75" fillId="0" borderId="53" xfId="53" applyNumberFormat="1" applyFont="1" applyBorder="1" applyAlignment="1">
      <alignment wrapText="1" readingOrder="1"/>
    </xf>
    <xf numFmtId="3" fontId="75" fillId="0" borderId="54" xfId="53" applyNumberFormat="1" applyFont="1" applyBorder="1" applyAlignment="1">
      <alignment wrapText="1" readingOrder="1"/>
    </xf>
    <xf numFmtId="0" fontId="17" fillId="0" borderId="27" xfId="0" applyFont="1" applyBorder="1" applyAlignment="1">
      <alignment horizontal="center" wrapText="1"/>
    </xf>
    <xf numFmtId="0" fontId="16" fillId="0" borderId="27" xfId="0" applyFont="1" applyBorder="1" applyAlignment="1">
      <alignment horizontal="center" wrapText="1"/>
    </xf>
    <xf numFmtId="0" fontId="16" fillId="0" borderId="38" xfId="0" applyFont="1" applyBorder="1" applyAlignment="1">
      <alignment horizontal="center" wrapText="1"/>
    </xf>
    <xf numFmtId="0" fontId="20" fillId="0" borderId="27" xfId="0" applyFont="1" applyBorder="1" applyAlignment="1">
      <alignment horizontal="left" wrapText="1"/>
    </xf>
    <xf numFmtId="0" fontId="61" fillId="0" borderId="37" xfId="0" applyFont="1" applyBorder="1" applyAlignment="1" applyProtection="1">
      <alignment horizontal="center"/>
      <protection locked="0"/>
    </xf>
    <xf numFmtId="0" fontId="66" fillId="24" borderId="37" xfId="0" applyFont="1" applyFill="1" applyBorder="1" applyAlignment="1">
      <alignment horizontal="center"/>
    </xf>
    <xf numFmtId="0" fontId="66" fillId="24" borderId="37" xfId="0" applyFont="1" applyFill="1" applyBorder="1" applyAlignment="1">
      <alignment horizontal="left"/>
    </xf>
    <xf numFmtId="0" fontId="0" fillId="0" borderId="21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66" fillId="0" borderId="37" xfId="0" applyFont="1" applyBorder="1" applyAlignment="1">
      <alignment horizontal="center" wrapText="1"/>
    </xf>
    <xf numFmtId="0" fontId="61" fillId="0" borderId="37" xfId="0" applyFont="1" applyBorder="1" applyAlignment="1">
      <alignment horizontal="center"/>
    </xf>
    <xf numFmtId="0" fontId="67" fillId="25" borderId="37" xfId="0" applyFont="1" applyFill="1" applyBorder="1" applyAlignment="1">
      <alignment horizontal="left"/>
    </xf>
    <xf numFmtId="0" fontId="0" fillId="0" borderId="40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66" fillId="24" borderId="37" xfId="0" applyFont="1" applyFill="1" applyBorder="1" applyAlignment="1"/>
  </cellXfs>
  <cellStyles count="687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2" xfId="70" xr:uid="{00000000-0005-0000-0000-000045000000}"/>
    <cellStyle name="Comma 10 2 2" xfId="71" xr:uid="{00000000-0005-0000-0000-000046000000}"/>
    <cellStyle name="Comma 10 3" xfId="72" xr:uid="{00000000-0005-0000-0000-000047000000}"/>
    <cellStyle name="Comma 10 3 2" xfId="73" xr:uid="{00000000-0005-0000-0000-000048000000}"/>
    <cellStyle name="Comma 10 4" xfId="74" xr:uid="{00000000-0005-0000-0000-000049000000}"/>
    <cellStyle name="Comma 10 4 2" xfId="75" xr:uid="{00000000-0005-0000-0000-00004A000000}"/>
    <cellStyle name="Comma 10 5" xfId="76" xr:uid="{00000000-0005-0000-0000-00004B000000}"/>
    <cellStyle name="Comma 10 5 2" xfId="77" xr:uid="{00000000-0005-0000-0000-00004C000000}"/>
    <cellStyle name="Comma 10 6" xfId="78" xr:uid="{00000000-0005-0000-0000-00004D000000}"/>
    <cellStyle name="Comma 10 6 2" xfId="79" xr:uid="{00000000-0005-0000-0000-00004E000000}"/>
    <cellStyle name="Comma 10 7" xfId="80" xr:uid="{00000000-0005-0000-0000-00004F000000}"/>
    <cellStyle name="Comma 10 7 2" xfId="81" xr:uid="{00000000-0005-0000-0000-000050000000}"/>
    <cellStyle name="Comma 10 8" xfId="82" xr:uid="{00000000-0005-0000-0000-000051000000}"/>
    <cellStyle name="Comma 10 8 2" xfId="83" xr:uid="{00000000-0005-0000-0000-000052000000}"/>
    <cellStyle name="Comma 10 9" xfId="84" xr:uid="{00000000-0005-0000-0000-000053000000}"/>
    <cellStyle name="Comma 10 9 2" xfId="85" xr:uid="{00000000-0005-0000-0000-000054000000}"/>
    <cellStyle name="Comma 11" xfId="86" xr:uid="{00000000-0005-0000-0000-000055000000}"/>
    <cellStyle name="Comma 11 10" xfId="87" xr:uid="{00000000-0005-0000-0000-000056000000}"/>
    <cellStyle name="Comma 11 10 2" xfId="88" xr:uid="{00000000-0005-0000-0000-000057000000}"/>
    <cellStyle name="Comma 11 11" xfId="89" xr:uid="{00000000-0005-0000-0000-000058000000}"/>
    <cellStyle name="Comma 11 11 2" xfId="90" xr:uid="{00000000-0005-0000-0000-000059000000}"/>
    <cellStyle name="Comma 11 12" xfId="91" xr:uid="{00000000-0005-0000-0000-00005A000000}"/>
    <cellStyle name="Comma 11 12 2" xfId="92" xr:uid="{00000000-0005-0000-0000-00005B000000}"/>
    <cellStyle name="Comma 11 13" xfId="93" xr:uid="{00000000-0005-0000-0000-00005C000000}"/>
    <cellStyle name="Comma 11 13 2" xfId="94" xr:uid="{00000000-0005-0000-0000-00005D000000}"/>
    <cellStyle name="Comma 11 14" xfId="95" xr:uid="{00000000-0005-0000-0000-00005E000000}"/>
    <cellStyle name="Comma 11 14 2" xfId="96" xr:uid="{00000000-0005-0000-0000-00005F000000}"/>
    <cellStyle name="Comma 11 15" xfId="97" xr:uid="{00000000-0005-0000-0000-000060000000}"/>
    <cellStyle name="Comma 11 15 2" xfId="98" xr:uid="{00000000-0005-0000-0000-000061000000}"/>
    <cellStyle name="Comma 11 16" xfId="99" xr:uid="{00000000-0005-0000-0000-000062000000}"/>
    <cellStyle name="Comma 11 16 2" xfId="100" xr:uid="{00000000-0005-0000-0000-000063000000}"/>
    <cellStyle name="Comma 11 17" xfId="101" xr:uid="{00000000-0005-0000-0000-000064000000}"/>
    <cellStyle name="Comma 11 17 2" xfId="102" xr:uid="{00000000-0005-0000-0000-000065000000}"/>
    <cellStyle name="Comma 11 18" xfId="103" xr:uid="{00000000-0005-0000-0000-000066000000}"/>
    <cellStyle name="Comma 11 2" xfId="104" xr:uid="{00000000-0005-0000-0000-000067000000}"/>
    <cellStyle name="Comma 11 2 2" xfId="105" xr:uid="{00000000-0005-0000-0000-000068000000}"/>
    <cellStyle name="Comma 11 2 2 2" xfId="106" xr:uid="{00000000-0005-0000-0000-000069000000}"/>
    <cellStyle name="Comma 11 2 3" xfId="107" xr:uid="{00000000-0005-0000-0000-00006A000000}"/>
    <cellStyle name="Comma 11 3" xfId="108" xr:uid="{00000000-0005-0000-0000-00006B000000}"/>
    <cellStyle name="Comma 11 3 2" xfId="109" xr:uid="{00000000-0005-0000-0000-00006C000000}"/>
    <cellStyle name="Comma 11 4" xfId="110" xr:uid="{00000000-0005-0000-0000-00006D000000}"/>
    <cellStyle name="Comma 11 4 2" xfId="111" xr:uid="{00000000-0005-0000-0000-00006E000000}"/>
    <cellStyle name="Comma 11 5" xfId="112" xr:uid="{00000000-0005-0000-0000-00006F000000}"/>
    <cellStyle name="Comma 11 5 2" xfId="113" xr:uid="{00000000-0005-0000-0000-000070000000}"/>
    <cellStyle name="Comma 11 6" xfId="114" xr:uid="{00000000-0005-0000-0000-000071000000}"/>
    <cellStyle name="Comma 11 6 2" xfId="115" xr:uid="{00000000-0005-0000-0000-000072000000}"/>
    <cellStyle name="Comma 11 7" xfId="116" xr:uid="{00000000-0005-0000-0000-000073000000}"/>
    <cellStyle name="Comma 11 7 2" xfId="117" xr:uid="{00000000-0005-0000-0000-000074000000}"/>
    <cellStyle name="Comma 11 8" xfId="118" xr:uid="{00000000-0005-0000-0000-000075000000}"/>
    <cellStyle name="Comma 11 8 2" xfId="119" xr:uid="{00000000-0005-0000-0000-000076000000}"/>
    <cellStyle name="Comma 11 9" xfId="120" xr:uid="{00000000-0005-0000-0000-000077000000}"/>
    <cellStyle name="Comma 11 9 2" xfId="121" xr:uid="{00000000-0005-0000-0000-000078000000}"/>
    <cellStyle name="Comma 12" xfId="122" xr:uid="{00000000-0005-0000-0000-000079000000}"/>
    <cellStyle name="Comma 12 2" xfId="123" xr:uid="{00000000-0005-0000-0000-00007A000000}"/>
    <cellStyle name="Comma 13" xfId="124" xr:uid="{00000000-0005-0000-0000-00007B000000}"/>
    <cellStyle name="Comma 13 2" xfId="125" xr:uid="{00000000-0005-0000-0000-00007C000000}"/>
    <cellStyle name="Comma 14" xfId="126" xr:uid="{00000000-0005-0000-0000-00007D000000}"/>
    <cellStyle name="Comma 14 2" xfId="127" xr:uid="{00000000-0005-0000-0000-00007E000000}"/>
    <cellStyle name="Comma 15" xfId="128" xr:uid="{00000000-0005-0000-0000-00007F000000}"/>
    <cellStyle name="Comma 15 2" xfId="129" xr:uid="{00000000-0005-0000-0000-000080000000}"/>
    <cellStyle name="Comma 16" xfId="130" xr:uid="{00000000-0005-0000-0000-000081000000}"/>
    <cellStyle name="Comma 16 10" xfId="131" xr:uid="{00000000-0005-0000-0000-000082000000}"/>
    <cellStyle name="Comma 16 10 2" xfId="132" xr:uid="{00000000-0005-0000-0000-000083000000}"/>
    <cellStyle name="Comma 16 11" xfId="133" xr:uid="{00000000-0005-0000-0000-000084000000}"/>
    <cellStyle name="Comma 16 11 2" xfId="134" xr:uid="{00000000-0005-0000-0000-000085000000}"/>
    <cellStyle name="Comma 16 12" xfId="135" xr:uid="{00000000-0005-0000-0000-000086000000}"/>
    <cellStyle name="Comma 16 12 2" xfId="136" xr:uid="{00000000-0005-0000-0000-000087000000}"/>
    <cellStyle name="Comma 16 13" xfId="137" xr:uid="{00000000-0005-0000-0000-000088000000}"/>
    <cellStyle name="Comma 16 13 2" xfId="138" xr:uid="{00000000-0005-0000-0000-000089000000}"/>
    <cellStyle name="Comma 16 14" xfId="139" xr:uid="{00000000-0005-0000-0000-00008A000000}"/>
    <cellStyle name="Comma 16 14 2" xfId="140" xr:uid="{00000000-0005-0000-0000-00008B000000}"/>
    <cellStyle name="Comma 16 15" xfId="141" xr:uid="{00000000-0005-0000-0000-00008C000000}"/>
    <cellStyle name="Comma 16 15 2" xfId="142" xr:uid="{00000000-0005-0000-0000-00008D000000}"/>
    <cellStyle name="Comma 16 16" xfId="143" xr:uid="{00000000-0005-0000-0000-00008E000000}"/>
    <cellStyle name="Comma 16 16 2" xfId="144" xr:uid="{00000000-0005-0000-0000-00008F000000}"/>
    <cellStyle name="Comma 16 17" xfId="145" xr:uid="{00000000-0005-0000-0000-000090000000}"/>
    <cellStyle name="Comma 16 2" xfId="146" xr:uid="{00000000-0005-0000-0000-000091000000}"/>
    <cellStyle name="Comma 16 2 2" xfId="147" xr:uid="{00000000-0005-0000-0000-000092000000}"/>
    <cellStyle name="Comma 16 3" xfId="148" xr:uid="{00000000-0005-0000-0000-000093000000}"/>
    <cellStyle name="Comma 16 3 2" xfId="149" xr:uid="{00000000-0005-0000-0000-000094000000}"/>
    <cellStyle name="Comma 16 4" xfId="150" xr:uid="{00000000-0005-0000-0000-000095000000}"/>
    <cellStyle name="Comma 16 4 2" xfId="151" xr:uid="{00000000-0005-0000-0000-000096000000}"/>
    <cellStyle name="Comma 16 5" xfId="152" xr:uid="{00000000-0005-0000-0000-000097000000}"/>
    <cellStyle name="Comma 16 5 2" xfId="153" xr:uid="{00000000-0005-0000-0000-000098000000}"/>
    <cellStyle name="Comma 16 6" xfId="154" xr:uid="{00000000-0005-0000-0000-000099000000}"/>
    <cellStyle name="Comma 16 6 2" xfId="155" xr:uid="{00000000-0005-0000-0000-00009A000000}"/>
    <cellStyle name="Comma 16 7" xfId="156" xr:uid="{00000000-0005-0000-0000-00009B000000}"/>
    <cellStyle name="Comma 16 7 2" xfId="157" xr:uid="{00000000-0005-0000-0000-00009C000000}"/>
    <cellStyle name="Comma 16 8" xfId="158" xr:uid="{00000000-0005-0000-0000-00009D000000}"/>
    <cellStyle name="Comma 16 8 2" xfId="159" xr:uid="{00000000-0005-0000-0000-00009E000000}"/>
    <cellStyle name="Comma 16 9" xfId="160" xr:uid="{00000000-0005-0000-0000-00009F000000}"/>
    <cellStyle name="Comma 16 9 2" xfId="161" xr:uid="{00000000-0005-0000-0000-0000A0000000}"/>
    <cellStyle name="Comma 17" xfId="162" xr:uid="{00000000-0005-0000-0000-0000A1000000}"/>
    <cellStyle name="Comma 17 10" xfId="163" xr:uid="{00000000-0005-0000-0000-0000A2000000}"/>
    <cellStyle name="Comma 17 10 2" xfId="164" xr:uid="{00000000-0005-0000-0000-0000A3000000}"/>
    <cellStyle name="Comma 17 11" xfId="165" xr:uid="{00000000-0005-0000-0000-0000A4000000}"/>
    <cellStyle name="Comma 17 2" xfId="166" xr:uid="{00000000-0005-0000-0000-0000A5000000}"/>
    <cellStyle name="Comma 17 2 2" xfId="167" xr:uid="{00000000-0005-0000-0000-0000A6000000}"/>
    <cellStyle name="Comma 17 3" xfId="168" xr:uid="{00000000-0005-0000-0000-0000A7000000}"/>
    <cellStyle name="Comma 17 3 2" xfId="169" xr:uid="{00000000-0005-0000-0000-0000A8000000}"/>
    <cellStyle name="Comma 17 4" xfId="170" xr:uid="{00000000-0005-0000-0000-0000A9000000}"/>
    <cellStyle name="Comma 17 4 2" xfId="171" xr:uid="{00000000-0005-0000-0000-0000AA000000}"/>
    <cellStyle name="Comma 17 5" xfId="172" xr:uid="{00000000-0005-0000-0000-0000AB000000}"/>
    <cellStyle name="Comma 17 5 2" xfId="173" xr:uid="{00000000-0005-0000-0000-0000AC000000}"/>
    <cellStyle name="Comma 17 6" xfId="174" xr:uid="{00000000-0005-0000-0000-0000AD000000}"/>
    <cellStyle name="Comma 17 6 2" xfId="175" xr:uid="{00000000-0005-0000-0000-0000AE000000}"/>
    <cellStyle name="Comma 17 7" xfId="176" xr:uid="{00000000-0005-0000-0000-0000AF000000}"/>
    <cellStyle name="Comma 17 7 2" xfId="177" xr:uid="{00000000-0005-0000-0000-0000B0000000}"/>
    <cellStyle name="Comma 17 8" xfId="178" xr:uid="{00000000-0005-0000-0000-0000B1000000}"/>
    <cellStyle name="Comma 17 8 2" xfId="179" xr:uid="{00000000-0005-0000-0000-0000B2000000}"/>
    <cellStyle name="Comma 17 9" xfId="180" xr:uid="{00000000-0005-0000-0000-0000B3000000}"/>
    <cellStyle name="Comma 17 9 2" xfId="181" xr:uid="{00000000-0005-0000-0000-0000B4000000}"/>
    <cellStyle name="Comma 18" xfId="182" xr:uid="{00000000-0005-0000-0000-0000B5000000}"/>
    <cellStyle name="Comma 18 2" xfId="183" xr:uid="{00000000-0005-0000-0000-0000B6000000}"/>
    <cellStyle name="Comma 19" xfId="184" xr:uid="{00000000-0005-0000-0000-0000B7000000}"/>
    <cellStyle name="Comma 2" xfId="185" xr:uid="{00000000-0005-0000-0000-0000B8000000}"/>
    <cellStyle name="Comma 2 10" xfId="186" xr:uid="{00000000-0005-0000-0000-0000B9000000}"/>
    <cellStyle name="Comma 2 10 2" xfId="187" xr:uid="{00000000-0005-0000-0000-0000BA000000}"/>
    <cellStyle name="Comma 2 11" xfId="188" xr:uid="{00000000-0005-0000-0000-0000BB000000}"/>
    <cellStyle name="Comma 2 11 2" xfId="189" xr:uid="{00000000-0005-0000-0000-0000BC000000}"/>
    <cellStyle name="Comma 2 12" xfId="190" xr:uid="{00000000-0005-0000-0000-0000BD000000}"/>
    <cellStyle name="Comma 2 12 2" xfId="191" xr:uid="{00000000-0005-0000-0000-0000BE000000}"/>
    <cellStyle name="Comma 2 13" xfId="192" xr:uid="{00000000-0005-0000-0000-0000BF000000}"/>
    <cellStyle name="Comma 2 13 2" xfId="193" xr:uid="{00000000-0005-0000-0000-0000C0000000}"/>
    <cellStyle name="Comma 2 14" xfId="194" xr:uid="{00000000-0005-0000-0000-0000C1000000}"/>
    <cellStyle name="Comma 2 14 2" xfId="195" xr:uid="{00000000-0005-0000-0000-0000C2000000}"/>
    <cellStyle name="Comma 2 15" xfId="196" xr:uid="{00000000-0005-0000-0000-0000C3000000}"/>
    <cellStyle name="Comma 2 15 2" xfId="197" xr:uid="{00000000-0005-0000-0000-0000C4000000}"/>
    <cellStyle name="Comma 2 16" xfId="198" xr:uid="{00000000-0005-0000-0000-0000C5000000}"/>
    <cellStyle name="Comma 2 16 2" xfId="199" xr:uid="{00000000-0005-0000-0000-0000C6000000}"/>
    <cellStyle name="Comma 2 17" xfId="200" xr:uid="{00000000-0005-0000-0000-0000C7000000}"/>
    <cellStyle name="Comma 2 17 2" xfId="201" xr:uid="{00000000-0005-0000-0000-0000C8000000}"/>
    <cellStyle name="Comma 2 18" xfId="202" xr:uid="{00000000-0005-0000-0000-0000C9000000}"/>
    <cellStyle name="Comma 2 18 2" xfId="203" xr:uid="{00000000-0005-0000-0000-0000CA000000}"/>
    <cellStyle name="Comma 2 19" xfId="204" xr:uid="{00000000-0005-0000-0000-0000CB000000}"/>
    <cellStyle name="Comma 2 19 2" xfId="205" xr:uid="{00000000-0005-0000-0000-0000CC000000}"/>
    <cellStyle name="Comma 2 2" xfId="206" xr:uid="{00000000-0005-0000-0000-0000CD000000}"/>
    <cellStyle name="Comma 2 2 2" xfId="207" xr:uid="{00000000-0005-0000-0000-0000CE000000}"/>
    <cellStyle name="Comma 2 20" xfId="208" xr:uid="{00000000-0005-0000-0000-0000CF000000}"/>
    <cellStyle name="Comma 2 20 2" xfId="209" xr:uid="{00000000-0005-0000-0000-0000D0000000}"/>
    <cellStyle name="Comma 2 21" xfId="210" xr:uid="{00000000-0005-0000-0000-0000D1000000}"/>
    <cellStyle name="Comma 2 21 2" xfId="211" xr:uid="{00000000-0005-0000-0000-0000D2000000}"/>
    <cellStyle name="Comma 2 22" xfId="212" xr:uid="{00000000-0005-0000-0000-0000D3000000}"/>
    <cellStyle name="Comma 2 22 2" xfId="213" xr:uid="{00000000-0005-0000-0000-0000D4000000}"/>
    <cellStyle name="Comma 2 23" xfId="214" xr:uid="{00000000-0005-0000-0000-0000D5000000}"/>
    <cellStyle name="Comma 2 23 2" xfId="215" xr:uid="{00000000-0005-0000-0000-0000D6000000}"/>
    <cellStyle name="Comma 2 24" xfId="216" xr:uid="{00000000-0005-0000-0000-0000D7000000}"/>
    <cellStyle name="Comma 2 24 2" xfId="217" xr:uid="{00000000-0005-0000-0000-0000D8000000}"/>
    <cellStyle name="Comma 2 25" xfId="218" xr:uid="{00000000-0005-0000-0000-0000D9000000}"/>
    <cellStyle name="Comma 2 25 2" xfId="219" xr:uid="{00000000-0005-0000-0000-0000DA000000}"/>
    <cellStyle name="Comma 2 26" xfId="220" xr:uid="{00000000-0005-0000-0000-0000DB000000}"/>
    <cellStyle name="Comma 2 26 2" xfId="221" xr:uid="{00000000-0005-0000-0000-0000DC000000}"/>
    <cellStyle name="Comma 2 27" xfId="222" xr:uid="{00000000-0005-0000-0000-0000DD000000}"/>
    <cellStyle name="Comma 2 3" xfId="223" xr:uid="{00000000-0005-0000-0000-0000DE000000}"/>
    <cellStyle name="Comma 2 3 2" xfId="224" xr:uid="{00000000-0005-0000-0000-0000DF000000}"/>
    <cellStyle name="Comma 2 4" xfId="225" xr:uid="{00000000-0005-0000-0000-0000E0000000}"/>
    <cellStyle name="Comma 2 4 2" xfId="226" xr:uid="{00000000-0005-0000-0000-0000E1000000}"/>
    <cellStyle name="Comma 2 5" xfId="227" xr:uid="{00000000-0005-0000-0000-0000E2000000}"/>
    <cellStyle name="Comma 2 5 2" xfId="228" xr:uid="{00000000-0005-0000-0000-0000E3000000}"/>
    <cellStyle name="Comma 2 6" xfId="229" xr:uid="{00000000-0005-0000-0000-0000E4000000}"/>
    <cellStyle name="Comma 2 6 2" xfId="230" xr:uid="{00000000-0005-0000-0000-0000E5000000}"/>
    <cellStyle name="Comma 2 7" xfId="231" xr:uid="{00000000-0005-0000-0000-0000E6000000}"/>
    <cellStyle name="Comma 2 7 2" xfId="232" xr:uid="{00000000-0005-0000-0000-0000E7000000}"/>
    <cellStyle name="Comma 2 8" xfId="233" xr:uid="{00000000-0005-0000-0000-0000E8000000}"/>
    <cellStyle name="Comma 2 8 2" xfId="234" xr:uid="{00000000-0005-0000-0000-0000E9000000}"/>
    <cellStyle name="Comma 2 9" xfId="235" xr:uid="{00000000-0005-0000-0000-0000EA000000}"/>
    <cellStyle name="Comma 2 9 2" xfId="236" xr:uid="{00000000-0005-0000-0000-0000EB000000}"/>
    <cellStyle name="Comma 24" xfId="237" xr:uid="{00000000-0005-0000-0000-0000EC000000}"/>
    <cellStyle name="Comma 24 2" xfId="238" xr:uid="{00000000-0005-0000-0000-0000ED000000}"/>
    <cellStyle name="Comma 3" xfId="239" xr:uid="{00000000-0005-0000-0000-0000EE000000}"/>
    <cellStyle name="Comma 3 10" xfId="240" xr:uid="{00000000-0005-0000-0000-0000EF000000}"/>
    <cellStyle name="Comma 3 10 2" xfId="241" xr:uid="{00000000-0005-0000-0000-0000F0000000}"/>
    <cellStyle name="Comma 3 11" xfId="242" xr:uid="{00000000-0005-0000-0000-0000F1000000}"/>
    <cellStyle name="Comma 3 11 2" xfId="243" xr:uid="{00000000-0005-0000-0000-0000F2000000}"/>
    <cellStyle name="Comma 3 12" xfId="244" xr:uid="{00000000-0005-0000-0000-0000F3000000}"/>
    <cellStyle name="Comma 3 12 2" xfId="245" xr:uid="{00000000-0005-0000-0000-0000F4000000}"/>
    <cellStyle name="Comma 3 13" xfId="246" xr:uid="{00000000-0005-0000-0000-0000F5000000}"/>
    <cellStyle name="Comma 3 13 2" xfId="247" xr:uid="{00000000-0005-0000-0000-0000F6000000}"/>
    <cellStyle name="Comma 3 14" xfId="248" xr:uid="{00000000-0005-0000-0000-0000F7000000}"/>
    <cellStyle name="Comma 3 14 2" xfId="249" xr:uid="{00000000-0005-0000-0000-0000F8000000}"/>
    <cellStyle name="Comma 3 15" xfId="250" xr:uid="{00000000-0005-0000-0000-0000F9000000}"/>
    <cellStyle name="Comma 3 15 2" xfId="251" xr:uid="{00000000-0005-0000-0000-0000FA000000}"/>
    <cellStyle name="Comma 3 16" xfId="252" xr:uid="{00000000-0005-0000-0000-0000FB000000}"/>
    <cellStyle name="Comma 3 16 2" xfId="253" xr:uid="{00000000-0005-0000-0000-0000FC000000}"/>
    <cellStyle name="Comma 3 17" xfId="254" xr:uid="{00000000-0005-0000-0000-0000FD000000}"/>
    <cellStyle name="Comma 3 17 2" xfId="255" xr:uid="{00000000-0005-0000-0000-0000FE000000}"/>
    <cellStyle name="Comma 3 18" xfId="256" xr:uid="{00000000-0005-0000-0000-0000FF000000}"/>
    <cellStyle name="Comma 3 18 2" xfId="257" xr:uid="{00000000-0005-0000-0000-000000010000}"/>
    <cellStyle name="Comma 3 19" xfId="258" xr:uid="{00000000-0005-0000-0000-000001010000}"/>
    <cellStyle name="Comma 3 19 2" xfId="259" xr:uid="{00000000-0005-0000-0000-000002010000}"/>
    <cellStyle name="Comma 3 2" xfId="260" xr:uid="{00000000-0005-0000-0000-000003010000}"/>
    <cellStyle name="Comma 3 2 2" xfId="261" xr:uid="{00000000-0005-0000-0000-000004010000}"/>
    <cellStyle name="Comma 3 20" xfId="262" xr:uid="{00000000-0005-0000-0000-000005010000}"/>
    <cellStyle name="Comma 3 20 2" xfId="263" xr:uid="{00000000-0005-0000-0000-000006010000}"/>
    <cellStyle name="Comma 3 21" xfId="264" xr:uid="{00000000-0005-0000-0000-000007010000}"/>
    <cellStyle name="Comma 3 3" xfId="265" xr:uid="{00000000-0005-0000-0000-000008010000}"/>
    <cellStyle name="Comma 3 3 2" xfId="266" xr:uid="{00000000-0005-0000-0000-000009010000}"/>
    <cellStyle name="Comma 3 4" xfId="267" xr:uid="{00000000-0005-0000-0000-00000A010000}"/>
    <cellStyle name="Comma 3 4 2" xfId="268" xr:uid="{00000000-0005-0000-0000-00000B010000}"/>
    <cellStyle name="Comma 3 5" xfId="269" xr:uid="{00000000-0005-0000-0000-00000C010000}"/>
    <cellStyle name="Comma 3 5 2" xfId="270" xr:uid="{00000000-0005-0000-0000-00000D010000}"/>
    <cellStyle name="Comma 3 6" xfId="271" xr:uid="{00000000-0005-0000-0000-00000E010000}"/>
    <cellStyle name="Comma 3 6 2" xfId="272" xr:uid="{00000000-0005-0000-0000-00000F010000}"/>
    <cellStyle name="Comma 3 7" xfId="273" xr:uid="{00000000-0005-0000-0000-000010010000}"/>
    <cellStyle name="Comma 3 7 2" xfId="274" xr:uid="{00000000-0005-0000-0000-000011010000}"/>
    <cellStyle name="Comma 3 8" xfId="275" xr:uid="{00000000-0005-0000-0000-000012010000}"/>
    <cellStyle name="Comma 3 8 2" xfId="276" xr:uid="{00000000-0005-0000-0000-000013010000}"/>
    <cellStyle name="Comma 3 9" xfId="277" xr:uid="{00000000-0005-0000-0000-000014010000}"/>
    <cellStyle name="Comma 3 9 2" xfId="278" xr:uid="{00000000-0005-0000-0000-000015010000}"/>
    <cellStyle name="Comma 4" xfId="279" xr:uid="{00000000-0005-0000-0000-000016010000}"/>
    <cellStyle name="Comma 4 2" xfId="280" xr:uid="{00000000-0005-0000-0000-000017010000}"/>
    <cellStyle name="Comma 5" xfId="281" xr:uid="{00000000-0005-0000-0000-000018010000}"/>
    <cellStyle name="Comma 5 10" xfId="282" xr:uid="{00000000-0005-0000-0000-000019010000}"/>
    <cellStyle name="Comma 5 10 2" xfId="283" xr:uid="{00000000-0005-0000-0000-00001A010000}"/>
    <cellStyle name="Comma 5 11" xfId="284" xr:uid="{00000000-0005-0000-0000-00001B010000}"/>
    <cellStyle name="Comma 5 11 2" xfId="285" xr:uid="{00000000-0005-0000-0000-00001C010000}"/>
    <cellStyle name="Comma 5 12" xfId="286" xr:uid="{00000000-0005-0000-0000-00001D010000}"/>
    <cellStyle name="Comma 5 12 2" xfId="287" xr:uid="{00000000-0005-0000-0000-00001E010000}"/>
    <cellStyle name="Comma 5 13" xfId="288" xr:uid="{00000000-0005-0000-0000-00001F010000}"/>
    <cellStyle name="Comma 5 13 2" xfId="289" xr:uid="{00000000-0005-0000-0000-000020010000}"/>
    <cellStyle name="Comma 5 14" xfId="290" xr:uid="{00000000-0005-0000-0000-000021010000}"/>
    <cellStyle name="Comma 5 14 2" xfId="291" xr:uid="{00000000-0005-0000-0000-000022010000}"/>
    <cellStyle name="Comma 5 15" xfId="292" xr:uid="{00000000-0005-0000-0000-000023010000}"/>
    <cellStyle name="Comma 5 15 2" xfId="293" xr:uid="{00000000-0005-0000-0000-000024010000}"/>
    <cellStyle name="Comma 5 16" xfId="294" xr:uid="{00000000-0005-0000-0000-000025010000}"/>
    <cellStyle name="Comma 5 16 2" xfId="295" xr:uid="{00000000-0005-0000-0000-000026010000}"/>
    <cellStyle name="Comma 5 17" xfId="296" xr:uid="{00000000-0005-0000-0000-000027010000}"/>
    <cellStyle name="Comma 5 17 2" xfId="297" xr:uid="{00000000-0005-0000-0000-000028010000}"/>
    <cellStyle name="Comma 5 18" xfId="298" xr:uid="{00000000-0005-0000-0000-000029010000}"/>
    <cellStyle name="Comma 5 18 2" xfId="299" xr:uid="{00000000-0005-0000-0000-00002A010000}"/>
    <cellStyle name="Comma 5 19" xfId="300" xr:uid="{00000000-0005-0000-0000-00002B010000}"/>
    <cellStyle name="Comma 5 19 2" xfId="301" xr:uid="{00000000-0005-0000-0000-00002C010000}"/>
    <cellStyle name="Comma 5 2" xfId="302" xr:uid="{00000000-0005-0000-0000-00002D010000}"/>
    <cellStyle name="Comma 5 2 2" xfId="303" xr:uid="{00000000-0005-0000-0000-00002E010000}"/>
    <cellStyle name="Comma 5 20" xfId="304" xr:uid="{00000000-0005-0000-0000-00002F010000}"/>
    <cellStyle name="Comma 5 20 2" xfId="305" xr:uid="{00000000-0005-0000-0000-000030010000}"/>
    <cellStyle name="Comma 5 21" xfId="306" xr:uid="{00000000-0005-0000-0000-000031010000}"/>
    <cellStyle name="Comma 5 3" xfId="307" xr:uid="{00000000-0005-0000-0000-000032010000}"/>
    <cellStyle name="Comma 5 3 2" xfId="308" xr:uid="{00000000-0005-0000-0000-000033010000}"/>
    <cellStyle name="Comma 5 4" xfId="309" xr:uid="{00000000-0005-0000-0000-000034010000}"/>
    <cellStyle name="Comma 5 4 2" xfId="310" xr:uid="{00000000-0005-0000-0000-000035010000}"/>
    <cellStyle name="Comma 5 5" xfId="311" xr:uid="{00000000-0005-0000-0000-000036010000}"/>
    <cellStyle name="Comma 5 5 2" xfId="312" xr:uid="{00000000-0005-0000-0000-000037010000}"/>
    <cellStyle name="Comma 5 6" xfId="313" xr:uid="{00000000-0005-0000-0000-000038010000}"/>
    <cellStyle name="Comma 5 6 2" xfId="314" xr:uid="{00000000-0005-0000-0000-000039010000}"/>
    <cellStyle name="Comma 5 7" xfId="315" xr:uid="{00000000-0005-0000-0000-00003A010000}"/>
    <cellStyle name="Comma 5 7 2" xfId="316" xr:uid="{00000000-0005-0000-0000-00003B010000}"/>
    <cellStyle name="Comma 5 8" xfId="317" xr:uid="{00000000-0005-0000-0000-00003C010000}"/>
    <cellStyle name="Comma 5 8 2" xfId="318" xr:uid="{00000000-0005-0000-0000-00003D010000}"/>
    <cellStyle name="Comma 5 9" xfId="319" xr:uid="{00000000-0005-0000-0000-00003E010000}"/>
    <cellStyle name="Comma 5 9 2" xfId="320" xr:uid="{00000000-0005-0000-0000-00003F010000}"/>
    <cellStyle name="Comma 6" xfId="321" xr:uid="{00000000-0005-0000-0000-000040010000}"/>
    <cellStyle name="Comma 6 10" xfId="322" xr:uid="{00000000-0005-0000-0000-000041010000}"/>
    <cellStyle name="Comma 6 10 2" xfId="323" xr:uid="{00000000-0005-0000-0000-000042010000}"/>
    <cellStyle name="Comma 6 11" xfId="324" xr:uid="{00000000-0005-0000-0000-000043010000}"/>
    <cellStyle name="Comma 6 11 2" xfId="325" xr:uid="{00000000-0005-0000-0000-000044010000}"/>
    <cellStyle name="Comma 6 12" xfId="326" xr:uid="{00000000-0005-0000-0000-000045010000}"/>
    <cellStyle name="Comma 6 12 2" xfId="327" xr:uid="{00000000-0005-0000-0000-000046010000}"/>
    <cellStyle name="Comma 6 13" xfId="328" xr:uid="{00000000-0005-0000-0000-000047010000}"/>
    <cellStyle name="Comma 6 13 2" xfId="329" xr:uid="{00000000-0005-0000-0000-000048010000}"/>
    <cellStyle name="Comma 6 14" xfId="330" xr:uid="{00000000-0005-0000-0000-000049010000}"/>
    <cellStyle name="Comma 6 14 2" xfId="331" xr:uid="{00000000-0005-0000-0000-00004A010000}"/>
    <cellStyle name="Comma 6 15" xfId="332" xr:uid="{00000000-0005-0000-0000-00004B010000}"/>
    <cellStyle name="Comma 6 15 2" xfId="333" xr:uid="{00000000-0005-0000-0000-00004C010000}"/>
    <cellStyle name="Comma 6 16" xfId="334" xr:uid="{00000000-0005-0000-0000-00004D010000}"/>
    <cellStyle name="Comma 6 16 2" xfId="335" xr:uid="{00000000-0005-0000-0000-00004E010000}"/>
    <cellStyle name="Comma 6 17" xfId="336" xr:uid="{00000000-0005-0000-0000-00004F010000}"/>
    <cellStyle name="Comma 6 17 2" xfId="337" xr:uid="{00000000-0005-0000-0000-000050010000}"/>
    <cellStyle name="Comma 6 18" xfId="338" xr:uid="{00000000-0005-0000-0000-000051010000}"/>
    <cellStyle name="Comma 6 18 2" xfId="339" xr:uid="{00000000-0005-0000-0000-000052010000}"/>
    <cellStyle name="Comma 6 19" xfId="340" xr:uid="{00000000-0005-0000-0000-000053010000}"/>
    <cellStyle name="Comma 6 19 2" xfId="341" xr:uid="{00000000-0005-0000-0000-000054010000}"/>
    <cellStyle name="Comma 6 2" xfId="342" xr:uid="{00000000-0005-0000-0000-000055010000}"/>
    <cellStyle name="Comma 6 2 2" xfId="343" xr:uid="{00000000-0005-0000-0000-000056010000}"/>
    <cellStyle name="Comma 6 20" xfId="344" xr:uid="{00000000-0005-0000-0000-000057010000}"/>
    <cellStyle name="Comma 6 3" xfId="345" xr:uid="{00000000-0005-0000-0000-000058010000}"/>
    <cellStyle name="Comma 6 3 2" xfId="346" xr:uid="{00000000-0005-0000-0000-000059010000}"/>
    <cellStyle name="Comma 6 4" xfId="347" xr:uid="{00000000-0005-0000-0000-00005A010000}"/>
    <cellStyle name="Comma 6 4 2" xfId="348" xr:uid="{00000000-0005-0000-0000-00005B010000}"/>
    <cellStyle name="Comma 6 5" xfId="349" xr:uid="{00000000-0005-0000-0000-00005C010000}"/>
    <cellStyle name="Comma 6 5 2" xfId="350" xr:uid="{00000000-0005-0000-0000-00005D010000}"/>
    <cellStyle name="Comma 6 6" xfId="351" xr:uid="{00000000-0005-0000-0000-00005E010000}"/>
    <cellStyle name="Comma 6 6 2" xfId="352" xr:uid="{00000000-0005-0000-0000-00005F010000}"/>
    <cellStyle name="Comma 6 7" xfId="353" xr:uid="{00000000-0005-0000-0000-000060010000}"/>
    <cellStyle name="Comma 6 7 2" xfId="354" xr:uid="{00000000-0005-0000-0000-000061010000}"/>
    <cellStyle name="Comma 6 8" xfId="355" xr:uid="{00000000-0005-0000-0000-000062010000}"/>
    <cellStyle name="Comma 6 8 2" xfId="356" xr:uid="{00000000-0005-0000-0000-000063010000}"/>
    <cellStyle name="Comma 6 9" xfId="357" xr:uid="{00000000-0005-0000-0000-000064010000}"/>
    <cellStyle name="Comma 6 9 2" xfId="358" xr:uid="{00000000-0005-0000-0000-000065010000}"/>
    <cellStyle name="Comma 7" xfId="359" xr:uid="{00000000-0005-0000-0000-000066010000}"/>
    <cellStyle name="Comma 7 10" xfId="360" xr:uid="{00000000-0005-0000-0000-000067010000}"/>
    <cellStyle name="Comma 7 10 2" xfId="361" xr:uid="{00000000-0005-0000-0000-000068010000}"/>
    <cellStyle name="Comma 7 11" xfId="362" xr:uid="{00000000-0005-0000-0000-000069010000}"/>
    <cellStyle name="Comma 7 11 2" xfId="363" xr:uid="{00000000-0005-0000-0000-00006A010000}"/>
    <cellStyle name="Comma 7 12" xfId="364" xr:uid="{00000000-0005-0000-0000-00006B010000}"/>
    <cellStyle name="Comma 7 12 2" xfId="365" xr:uid="{00000000-0005-0000-0000-00006C010000}"/>
    <cellStyle name="Comma 7 13" xfId="366" xr:uid="{00000000-0005-0000-0000-00006D010000}"/>
    <cellStyle name="Comma 7 13 2" xfId="367" xr:uid="{00000000-0005-0000-0000-00006E010000}"/>
    <cellStyle name="Comma 7 14" xfId="368" xr:uid="{00000000-0005-0000-0000-00006F010000}"/>
    <cellStyle name="Comma 7 14 2" xfId="369" xr:uid="{00000000-0005-0000-0000-000070010000}"/>
    <cellStyle name="Comma 7 15" xfId="370" xr:uid="{00000000-0005-0000-0000-000071010000}"/>
    <cellStyle name="Comma 7 15 2" xfId="371" xr:uid="{00000000-0005-0000-0000-000072010000}"/>
    <cellStyle name="Comma 7 16" xfId="372" xr:uid="{00000000-0005-0000-0000-000073010000}"/>
    <cellStyle name="Comma 7 16 2" xfId="373" xr:uid="{00000000-0005-0000-0000-000074010000}"/>
    <cellStyle name="Comma 7 17" xfId="374" xr:uid="{00000000-0005-0000-0000-000075010000}"/>
    <cellStyle name="Comma 7 17 2" xfId="375" xr:uid="{00000000-0005-0000-0000-000076010000}"/>
    <cellStyle name="Comma 7 18" xfId="376" xr:uid="{00000000-0005-0000-0000-000077010000}"/>
    <cellStyle name="Comma 7 18 2" xfId="377" xr:uid="{00000000-0005-0000-0000-000078010000}"/>
    <cellStyle name="Comma 7 19" xfId="378" xr:uid="{00000000-0005-0000-0000-000079010000}"/>
    <cellStyle name="Comma 7 19 2" xfId="379" xr:uid="{00000000-0005-0000-0000-00007A010000}"/>
    <cellStyle name="Comma 7 2" xfId="380" xr:uid="{00000000-0005-0000-0000-00007B010000}"/>
    <cellStyle name="Comma 7 2 2" xfId="381" xr:uid="{00000000-0005-0000-0000-00007C010000}"/>
    <cellStyle name="Comma 7 20" xfId="382" xr:uid="{00000000-0005-0000-0000-00007D010000}"/>
    <cellStyle name="Comma 7 3" xfId="383" xr:uid="{00000000-0005-0000-0000-00007E010000}"/>
    <cellStyle name="Comma 7 3 2" xfId="384" xr:uid="{00000000-0005-0000-0000-00007F010000}"/>
    <cellStyle name="Comma 7 4" xfId="385" xr:uid="{00000000-0005-0000-0000-000080010000}"/>
    <cellStyle name="Comma 7 4 2" xfId="386" xr:uid="{00000000-0005-0000-0000-000081010000}"/>
    <cellStyle name="Comma 7 5" xfId="387" xr:uid="{00000000-0005-0000-0000-000082010000}"/>
    <cellStyle name="Comma 7 5 2" xfId="388" xr:uid="{00000000-0005-0000-0000-000083010000}"/>
    <cellStyle name="Comma 7 6" xfId="389" xr:uid="{00000000-0005-0000-0000-000084010000}"/>
    <cellStyle name="Comma 7 6 2" xfId="390" xr:uid="{00000000-0005-0000-0000-000085010000}"/>
    <cellStyle name="Comma 7 7" xfId="391" xr:uid="{00000000-0005-0000-0000-000086010000}"/>
    <cellStyle name="Comma 7 7 2" xfId="392" xr:uid="{00000000-0005-0000-0000-000087010000}"/>
    <cellStyle name="Comma 7 8" xfId="393" xr:uid="{00000000-0005-0000-0000-000088010000}"/>
    <cellStyle name="Comma 7 8 2" xfId="394" xr:uid="{00000000-0005-0000-0000-000089010000}"/>
    <cellStyle name="Comma 7 9" xfId="395" xr:uid="{00000000-0005-0000-0000-00008A010000}"/>
    <cellStyle name="Comma 7 9 2" xfId="396" xr:uid="{00000000-0005-0000-0000-00008B010000}"/>
    <cellStyle name="Comma 8" xfId="397" xr:uid="{00000000-0005-0000-0000-00008C010000}"/>
    <cellStyle name="Comma 8 10" xfId="398" xr:uid="{00000000-0005-0000-0000-00008D010000}"/>
    <cellStyle name="Comma 8 10 2" xfId="399" xr:uid="{00000000-0005-0000-0000-00008E010000}"/>
    <cellStyle name="Comma 8 11" xfId="400" xr:uid="{00000000-0005-0000-0000-00008F010000}"/>
    <cellStyle name="Comma 8 11 2" xfId="401" xr:uid="{00000000-0005-0000-0000-000090010000}"/>
    <cellStyle name="Comma 8 12" xfId="402" xr:uid="{00000000-0005-0000-0000-000091010000}"/>
    <cellStyle name="Comma 8 12 2" xfId="403" xr:uid="{00000000-0005-0000-0000-000092010000}"/>
    <cellStyle name="Comma 8 13" xfId="404" xr:uid="{00000000-0005-0000-0000-000093010000}"/>
    <cellStyle name="Comma 8 13 2" xfId="405" xr:uid="{00000000-0005-0000-0000-000094010000}"/>
    <cellStyle name="Comma 8 14" xfId="406" xr:uid="{00000000-0005-0000-0000-000095010000}"/>
    <cellStyle name="Comma 8 14 2" xfId="407" xr:uid="{00000000-0005-0000-0000-000096010000}"/>
    <cellStyle name="Comma 8 15" xfId="408" xr:uid="{00000000-0005-0000-0000-000097010000}"/>
    <cellStyle name="Comma 8 15 2" xfId="409" xr:uid="{00000000-0005-0000-0000-000098010000}"/>
    <cellStyle name="Comma 8 16" xfId="410" xr:uid="{00000000-0005-0000-0000-000099010000}"/>
    <cellStyle name="Comma 8 16 2" xfId="411" xr:uid="{00000000-0005-0000-0000-00009A010000}"/>
    <cellStyle name="Comma 8 17" xfId="412" xr:uid="{00000000-0005-0000-0000-00009B010000}"/>
    <cellStyle name="Comma 8 17 2" xfId="413" xr:uid="{00000000-0005-0000-0000-00009C010000}"/>
    <cellStyle name="Comma 8 18" xfId="414" xr:uid="{00000000-0005-0000-0000-00009D010000}"/>
    <cellStyle name="Comma 8 18 2" xfId="415" xr:uid="{00000000-0005-0000-0000-00009E010000}"/>
    <cellStyle name="Comma 8 19" xfId="416" xr:uid="{00000000-0005-0000-0000-00009F010000}"/>
    <cellStyle name="Comma 8 19 2" xfId="417" xr:uid="{00000000-0005-0000-0000-0000A0010000}"/>
    <cellStyle name="Comma 8 2" xfId="418" xr:uid="{00000000-0005-0000-0000-0000A1010000}"/>
    <cellStyle name="Comma 8 2 2" xfId="419" xr:uid="{00000000-0005-0000-0000-0000A2010000}"/>
    <cellStyle name="Comma 8 20" xfId="420" xr:uid="{00000000-0005-0000-0000-0000A3010000}"/>
    <cellStyle name="Comma 8 3" xfId="421" xr:uid="{00000000-0005-0000-0000-0000A4010000}"/>
    <cellStyle name="Comma 8 3 2" xfId="422" xr:uid="{00000000-0005-0000-0000-0000A5010000}"/>
    <cellStyle name="Comma 8 4" xfId="423" xr:uid="{00000000-0005-0000-0000-0000A6010000}"/>
    <cellStyle name="Comma 8 4 2" xfId="424" xr:uid="{00000000-0005-0000-0000-0000A7010000}"/>
    <cellStyle name="Comma 8 5" xfId="425" xr:uid="{00000000-0005-0000-0000-0000A8010000}"/>
    <cellStyle name="Comma 8 5 2" xfId="426" xr:uid="{00000000-0005-0000-0000-0000A9010000}"/>
    <cellStyle name="Comma 8 6" xfId="427" xr:uid="{00000000-0005-0000-0000-0000AA010000}"/>
    <cellStyle name="Comma 8 6 2" xfId="428" xr:uid="{00000000-0005-0000-0000-0000AB010000}"/>
    <cellStyle name="Comma 8 7" xfId="429" xr:uid="{00000000-0005-0000-0000-0000AC010000}"/>
    <cellStyle name="Comma 8 7 2" xfId="430" xr:uid="{00000000-0005-0000-0000-0000AD010000}"/>
    <cellStyle name="Comma 8 8" xfId="431" xr:uid="{00000000-0005-0000-0000-0000AE010000}"/>
    <cellStyle name="Comma 8 8 2" xfId="432" xr:uid="{00000000-0005-0000-0000-0000AF010000}"/>
    <cellStyle name="Comma 8 9" xfId="433" xr:uid="{00000000-0005-0000-0000-0000B0010000}"/>
    <cellStyle name="Comma 8 9 2" xfId="434" xr:uid="{00000000-0005-0000-0000-0000B1010000}"/>
    <cellStyle name="Comma 9" xfId="435" xr:uid="{00000000-0005-0000-0000-0000B2010000}"/>
    <cellStyle name="Comma 9 10" xfId="436" xr:uid="{00000000-0005-0000-0000-0000B3010000}"/>
    <cellStyle name="Comma 9 10 2" xfId="437" xr:uid="{00000000-0005-0000-0000-0000B4010000}"/>
    <cellStyle name="Comma 9 11" xfId="438" xr:uid="{00000000-0005-0000-0000-0000B5010000}"/>
    <cellStyle name="Comma 9 11 2" xfId="439" xr:uid="{00000000-0005-0000-0000-0000B6010000}"/>
    <cellStyle name="Comma 9 12" xfId="440" xr:uid="{00000000-0005-0000-0000-0000B7010000}"/>
    <cellStyle name="Comma 9 12 2" xfId="441" xr:uid="{00000000-0005-0000-0000-0000B8010000}"/>
    <cellStyle name="Comma 9 13" xfId="442" xr:uid="{00000000-0005-0000-0000-0000B9010000}"/>
    <cellStyle name="Comma 9 13 2" xfId="443" xr:uid="{00000000-0005-0000-0000-0000BA010000}"/>
    <cellStyle name="Comma 9 14" xfId="444" xr:uid="{00000000-0005-0000-0000-0000BB010000}"/>
    <cellStyle name="Comma 9 14 2" xfId="445" xr:uid="{00000000-0005-0000-0000-0000BC010000}"/>
    <cellStyle name="Comma 9 15" xfId="446" xr:uid="{00000000-0005-0000-0000-0000BD010000}"/>
    <cellStyle name="Comma 9 15 2" xfId="447" xr:uid="{00000000-0005-0000-0000-0000BE010000}"/>
    <cellStyle name="Comma 9 16" xfId="448" xr:uid="{00000000-0005-0000-0000-0000BF010000}"/>
    <cellStyle name="Comma 9 16 2" xfId="449" xr:uid="{00000000-0005-0000-0000-0000C0010000}"/>
    <cellStyle name="Comma 9 17" xfId="450" xr:uid="{00000000-0005-0000-0000-0000C1010000}"/>
    <cellStyle name="Comma 9 17 2" xfId="451" xr:uid="{00000000-0005-0000-0000-0000C2010000}"/>
    <cellStyle name="Comma 9 18" xfId="452" xr:uid="{00000000-0005-0000-0000-0000C3010000}"/>
    <cellStyle name="Comma 9 18 2" xfId="453" xr:uid="{00000000-0005-0000-0000-0000C4010000}"/>
    <cellStyle name="Comma 9 19" xfId="454" xr:uid="{00000000-0005-0000-0000-0000C5010000}"/>
    <cellStyle name="Comma 9 19 2" xfId="455" xr:uid="{00000000-0005-0000-0000-0000C6010000}"/>
    <cellStyle name="Comma 9 2" xfId="456" xr:uid="{00000000-0005-0000-0000-0000C7010000}"/>
    <cellStyle name="Comma 9 2 2" xfId="457" xr:uid="{00000000-0005-0000-0000-0000C8010000}"/>
    <cellStyle name="Comma 9 20" xfId="458" xr:uid="{00000000-0005-0000-0000-0000C9010000}"/>
    <cellStyle name="Comma 9 3" xfId="459" xr:uid="{00000000-0005-0000-0000-0000CA010000}"/>
    <cellStyle name="Comma 9 3 2" xfId="460" xr:uid="{00000000-0005-0000-0000-0000CB010000}"/>
    <cellStyle name="Comma 9 4" xfId="461" xr:uid="{00000000-0005-0000-0000-0000CC010000}"/>
    <cellStyle name="Comma 9 4 2" xfId="462" xr:uid="{00000000-0005-0000-0000-0000CD010000}"/>
    <cellStyle name="Comma 9 5" xfId="463" xr:uid="{00000000-0005-0000-0000-0000CE010000}"/>
    <cellStyle name="Comma 9 5 2" xfId="464" xr:uid="{00000000-0005-0000-0000-0000CF010000}"/>
    <cellStyle name="Comma 9 6" xfId="465" xr:uid="{00000000-0005-0000-0000-0000D0010000}"/>
    <cellStyle name="Comma 9 6 2" xfId="466" xr:uid="{00000000-0005-0000-0000-0000D1010000}"/>
    <cellStyle name="Comma 9 7" xfId="467" xr:uid="{00000000-0005-0000-0000-0000D2010000}"/>
    <cellStyle name="Comma 9 7 2" xfId="468" xr:uid="{00000000-0005-0000-0000-0000D3010000}"/>
    <cellStyle name="Comma 9 8" xfId="469" xr:uid="{00000000-0005-0000-0000-0000D4010000}"/>
    <cellStyle name="Comma 9 8 2" xfId="470" xr:uid="{00000000-0005-0000-0000-0000D5010000}"/>
    <cellStyle name="Comma 9 9" xfId="471" xr:uid="{00000000-0005-0000-0000-0000D6010000}"/>
    <cellStyle name="Comma 9 9 2" xfId="472" xr:uid="{00000000-0005-0000-0000-0000D7010000}"/>
    <cellStyle name="Input 2" xfId="473" xr:uid="{00000000-0005-0000-0000-0000D8010000}"/>
    <cellStyle name="Input 2 2" xfId="474" xr:uid="{00000000-0005-0000-0000-0000D9010000}"/>
    <cellStyle name="Jun" xfId="475" xr:uid="{00000000-0005-0000-0000-0000DA010000}"/>
    <cellStyle name="Normal" xfId="0" builtinId="0"/>
    <cellStyle name="Normal 10" xfId="476" xr:uid="{00000000-0005-0000-0000-0000DC010000}"/>
    <cellStyle name="Normal 10 2" xfId="477" xr:uid="{00000000-0005-0000-0000-0000DD010000}"/>
    <cellStyle name="Normal 10 3" xfId="478" xr:uid="{00000000-0005-0000-0000-0000DE010000}"/>
    <cellStyle name="Normal 10 4" xfId="479" xr:uid="{00000000-0005-0000-0000-0000DF010000}"/>
    <cellStyle name="Normal 10 5" xfId="480" xr:uid="{00000000-0005-0000-0000-0000E0010000}"/>
    <cellStyle name="Normal 11" xfId="481" xr:uid="{00000000-0005-0000-0000-0000E1010000}"/>
    <cellStyle name="Normal 12" xfId="482" xr:uid="{00000000-0005-0000-0000-0000E2010000}"/>
    <cellStyle name="Normal 12 2" xfId="483" xr:uid="{00000000-0005-0000-0000-0000E3010000}"/>
    <cellStyle name="Normal 12 3" xfId="484" xr:uid="{00000000-0005-0000-0000-0000E4010000}"/>
    <cellStyle name="Normal 12 4" xfId="485" xr:uid="{00000000-0005-0000-0000-0000E5010000}"/>
    <cellStyle name="Normal 12 5" xfId="486" xr:uid="{00000000-0005-0000-0000-0000E6010000}"/>
    <cellStyle name="Normal 13" xfId="487" xr:uid="{00000000-0005-0000-0000-0000E7010000}"/>
    <cellStyle name="Normal 13 2" xfId="488" xr:uid="{00000000-0005-0000-0000-0000E8010000}"/>
    <cellStyle name="Normal 13 3" xfId="489" xr:uid="{00000000-0005-0000-0000-0000E9010000}"/>
    <cellStyle name="Normal 13 4" xfId="490" xr:uid="{00000000-0005-0000-0000-0000EA010000}"/>
    <cellStyle name="Normal 13 5" xfId="491" xr:uid="{00000000-0005-0000-0000-0000EB010000}"/>
    <cellStyle name="Normal 14" xfId="492" xr:uid="{00000000-0005-0000-0000-0000EC010000}"/>
    <cellStyle name="Normal 14 10" xfId="493" xr:uid="{00000000-0005-0000-0000-0000ED010000}"/>
    <cellStyle name="Normal 14 11" xfId="494" xr:uid="{00000000-0005-0000-0000-0000EE010000}"/>
    <cellStyle name="Normal 14 12" xfId="495" xr:uid="{00000000-0005-0000-0000-0000EF010000}"/>
    <cellStyle name="Normal 14 2" xfId="496" xr:uid="{00000000-0005-0000-0000-0000F0010000}"/>
    <cellStyle name="Normal 14 3" xfId="497" xr:uid="{00000000-0005-0000-0000-0000F1010000}"/>
    <cellStyle name="Normal 14 4" xfId="498" xr:uid="{00000000-0005-0000-0000-0000F2010000}"/>
    <cellStyle name="Normal 14 5" xfId="499" xr:uid="{00000000-0005-0000-0000-0000F3010000}"/>
    <cellStyle name="Normal 14 6" xfId="500" xr:uid="{00000000-0005-0000-0000-0000F4010000}"/>
    <cellStyle name="Normal 14 7" xfId="501" xr:uid="{00000000-0005-0000-0000-0000F5010000}"/>
    <cellStyle name="Normal 14 8" xfId="502" xr:uid="{00000000-0005-0000-0000-0000F6010000}"/>
    <cellStyle name="Normal 14 9" xfId="503" xr:uid="{00000000-0005-0000-0000-0000F7010000}"/>
    <cellStyle name="Normal 15" xfId="504" xr:uid="{00000000-0005-0000-0000-0000F8010000}"/>
    <cellStyle name="Normal 16" xfId="505" xr:uid="{00000000-0005-0000-0000-0000F9010000}"/>
    <cellStyle name="Normal 17" xfId="506" xr:uid="{00000000-0005-0000-0000-0000FA010000}"/>
    <cellStyle name="Normal 17 2" xfId="507" xr:uid="{00000000-0005-0000-0000-0000FB010000}"/>
    <cellStyle name="Normal 17 2 2" xfId="508" xr:uid="{00000000-0005-0000-0000-0000FC010000}"/>
    <cellStyle name="Normal 17 3" xfId="509" xr:uid="{00000000-0005-0000-0000-0000FD010000}"/>
    <cellStyle name="Normal 17 3 2" xfId="510" xr:uid="{00000000-0005-0000-0000-0000FE010000}"/>
    <cellStyle name="Normal 17 4" xfId="511" xr:uid="{00000000-0005-0000-0000-0000FF010000}"/>
    <cellStyle name="Normal 17 4 2" xfId="512" xr:uid="{00000000-0005-0000-0000-000000020000}"/>
    <cellStyle name="Normal 17 5" xfId="513" xr:uid="{00000000-0005-0000-0000-000001020000}"/>
    <cellStyle name="Normal 17 5 2" xfId="514" xr:uid="{00000000-0005-0000-0000-000002020000}"/>
    <cellStyle name="Normal 17 6" xfId="515" xr:uid="{00000000-0005-0000-0000-000003020000}"/>
    <cellStyle name="Normal 18" xfId="516" xr:uid="{00000000-0005-0000-0000-000004020000}"/>
    <cellStyle name="Normal 2" xfId="517" xr:uid="{00000000-0005-0000-0000-000005020000}"/>
    <cellStyle name="Normal 2 10" xfId="518" xr:uid="{00000000-0005-0000-0000-000006020000}"/>
    <cellStyle name="Normal 2 11" xfId="519" xr:uid="{00000000-0005-0000-0000-000007020000}"/>
    <cellStyle name="Normal 2 12" xfId="520" xr:uid="{00000000-0005-0000-0000-000008020000}"/>
    <cellStyle name="Normal 2 13" xfId="521" xr:uid="{00000000-0005-0000-0000-000009020000}"/>
    <cellStyle name="Normal 2 14" xfId="522" xr:uid="{00000000-0005-0000-0000-00000A020000}"/>
    <cellStyle name="Normal 2 15" xfId="523" xr:uid="{00000000-0005-0000-0000-00000B020000}"/>
    <cellStyle name="Normal 2 16" xfId="524" xr:uid="{00000000-0005-0000-0000-00000C020000}"/>
    <cellStyle name="Normal 2 17" xfId="525" xr:uid="{00000000-0005-0000-0000-00000D020000}"/>
    <cellStyle name="Normal 2 18" xfId="526" xr:uid="{00000000-0005-0000-0000-00000E020000}"/>
    <cellStyle name="Normal 2 19" xfId="527" xr:uid="{00000000-0005-0000-0000-00000F020000}"/>
    <cellStyle name="Normal 2 2" xfId="528" xr:uid="{00000000-0005-0000-0000-000010020000}"/>
    <cellStyle name="Normal 2 20" xfId="529" xr:uid="{00000000-0005-0000-0000-000011020000}"/>
    <cellStyle name="Normal 2 3" xfId="530" xr:uid="{00000000-0005-0000-0000-000012020000}"/>
    <cellStyle name="Normal 2 4" xfId="531" xr:uid="{00000000-0005-0000-0000-000013020000}"/>
    <cellStyle name="Normal 2 5" xfId="532" xr:uid="{00000000-0005-0000-0000-000014020000}"/>
    <cellStyle name="Normal 2 6" xfId="533" xr:uid="{00000000-0005-0000-0000-000015020000}"/>
    <cellStyle name="Normal 2 7" xfId="534" xr:uid="{00000000-0005-0000-0000-000016020000}"/>
    <cellStyle name="Normal 2 8" xfId="535" xr:uid="{00000000-0005-0000-0000-000017020000}"/>
    <cellStyle name="Normal 2 9" xfId="536" xr:uid="{00000000-0005-0000-0000-000018020000}"/>
    <cellStyle name="Normal 2_deposits mobilized" xfId="537" xr:uid="{00000000-0005-0000-0000-000019020000}"/>
    <cellStyle name="Normal 21" xfId="538" xr:uid="{00000000-0005-0000-0000-00001A020000}"/>
    <cellStyle name="Normal 21 10" xfId="539" xr:uid="{00000000-0005-0000-0000-00001B020000}"/>
    <cellStyle name="Normal 21 11" xfId="540" xr:uid="{00000000-0005-0000-0000-00001C020000}"/>
    <cellStyle name="Normal 21 12" xfId="541" xr:uid="{00000000-0005-0000-0000-00001D020000}"/>
    <cellStyle name="Normal 21 13" xfId="542" xr:uid="{00000000-0005-0000-0000-00001E020000}"/>
    <cellStyle name="Normal 21 14" xfId="543" xr:uid="{00000000-0005-0000-0000-00001F020000}"/>
    <cellStyle name="Normal 21 15" xfId="544" xr:uid="{00000000-0005-0000-0000-000020020000}"/>
    <cellStyle name="Normal 21 16" xfId="545" xr:uid="{00000000-0005-0000-0000-000021020000}"/>
    <cellStyle name="Normal 21 2" xfId="546" xr:uid="{00000000-0005-0000-0000-000022020000}"/>
    <cellStyle name="Normal 21 3" xfId="547" xr:uid="{00000000-0005-0000-0000-000023020000}"/>
    <cellStyle name="Normal 21 4" xfId="548" xr:uid="{00000000-0005-0000-0000-000024020000}"/>
    <cellStyle name="Normal 21 5" xfId="549" xr:uid="{00000000-0005-0000-0000-000025020000}"/>
    <cellStyle name="Normal 21 6" xfId="550" xr:uid="{00000000-0005-0000-0000-000026020000}"/>
    <cellStyle name="Normal 21 7" xfId="551" xr:uid="{00000000-0005-0000-0000-000027020000}"/>
    <cellStyle name="Normal 21 8" xfId="552" xr:uid="{00000000-0005-0000-0000-000028020000}"/>
    <cellStyle name="Normal 21 9" xfId="553" xr:uid="{00000000-0005-0000-0000-000029020000}"/>
    <cellStyle name="Normal 22" xfId="554" xr:uid="{00000000-0005-0000-0000-00002A020000}"/>
    <cellStyle name="Normal 26" xfId="555" xr:uid="{00000000-0005-0000-0000-00002B020000}"/>
    <cellStyle name="Normal 27" xfId="556" xr:uid="{00000000-0005-0000-0000-00002C020000}"/>
    <cellStyle name="Normal 3" xfId="557" xr:uid="{00000000-0005-0000-0000-00002D020000}"/>
    <cellStyle name="Normal 3 10" xfId="558" xr:uid="{00000000-0005-0000-0000-00002E020000}"/>
    <cellStyle name="Normal 3 11" xfId="559" xr:uid="{00000000-0005-0000-0000-00002F020000}"/>
    <cellStyle name="Normal 3 12" xfId="560" xr:uid="{00000000-0005-0000-0000-000030020000}"/>
    <cellStyle name="Normal 3 13" xfId="561" xr:uid="{00000000-0005-0000-0000-000031020000}"/>
    <cellStyle name="Normal 3 14" xfId="562" xr:uid="{00000000-0005-0000-0000-000032020000}"/>
    <cellStyle name="Normal 3 15" xfId="563" xr:uid="{00000000-0005-0000-0000-000033020000}"/>
    <cellStyle name="Normal 3 16" xfId="564" xr:uid="{00000000-0005-0000-0000-000034020000}"/>
    <cellStyle name="Normal 3 17" xfId="565" xr:uid="{00000000-0005-0000-0000-000035020000}"/>
    <cellStyle name="Normal 3 18" xfId="566" xr:uid="{00000000-0005-0000-0000-000036020000}"/>
    <cellStyle name="Normal 3 19" xfId="567" xr:uid="{00000000-0005-0000-0000-000037020000}"/>
    <cellStyle name="Normal 3 2" xfId="568" xr:uid="{00000000-0005-0000-0000-000038020000}"/>
    <cellStyle name="Normal 3 20" xfId="569" xr:uid="{00000000-0005-0000-0000-000039020000}"/>
    <cellStyle name="Normal 3 21" xfId="570" xr:uid="{00000000-0005-0000-0000-00003A020000}"/>
    <cellStyle name="Normal 3 22" xfId="571" xr:uid="{00000000-0005-0000-0000-00003B020000}"/>
    <cellStyle name="Normal 3 23" xfId="572" xr:uid="{00000000-0005-0000-0000-00003C020000}"/>
    <cellStyle name="Normal 3 24" xfId="573" xr:uid="{00000000-0005-0000-0000-00003D020000}"/>
    <cellStyle name="Normal 3 25" xfId="574" xr:uid="{00000000-0005-0000-0000-00003E020000}"/>
    <cellStyle name="Normal 3 26" xfId="575" xr:uid="{00000000-0005-0000-0000-00003F020000}"/>
    <cellStyle name="Normal 3 27" xfId="576" xr:uid="{00000000-0005-0000-0000-000040020000}"/>
    <cellStyle name="Normal 3 28" xfId="577" xr:uid="{00000000-0005-0000-0000-000041020000}"/>
    <cellStyle name="Normal 3 29" xfId="578" xr:uid="{00000000-0005-0000-0000-000042020000}"/>
    <cellStyle name="Normal 3 3" xfId="579" xr:uid="{00000000-0005-0000-0000-000043020000}"/>
    <cellStyle name="Normal 3 30" xfId="580" xr:uid="{00000000-0005-0000-0000-000044020000}"/>
    <cellStyle name="Normal 3 4" xfId="581" xr:uid="{00000000-0005-0000-0000-000045020000}"/>
    <cellStyle name="Normal 3 5" xfId="582" xr:uid="{00000000-0005-0000-0000-000046020000}"/>
    <cellStyle name="Normal 3 6" xfId="583" xr:uid="{00000000-0005-0000-0000-000047020000}"/>
    <cellStyle name="Normal 3 7" xfId="584" xr:uid="{00000000-0005-0000-0000-000048020000}"/>
    <cellStyle name="Normal 3 8" xfId="585" xr:uid="{00000000-0005-0000-0000-000049020000}"/>
    <cellStyle name="Normal 3 9" xfId="586" xr:uid="{00000000-0005-0000-0000-00004A020000}"/>
    <cellStyle name="Normal 3_deposits mobilized" xfId="587" xr:uid="{00000000-0005-0000-0000-00004B020000}"/>
    <cellStyle name="Normal 4" xfId="588" xr:uid="{00000000-0005-0000-0000-00004C020000}"/>
    <cellStyle name="Normal 4 10" xfId="589" xr:uid="{00000000-0005-0000-0000-00004D020000}"/>
    <cellStyle name="Normal 4 11" xfId="590" xr:uid="{00000000-0005-0000-0000-00004E020000}"/>
    <cellStyle name="Normal 4 12" xfId="591" xr:uid="{00000000-0005-0000-0000-00004F020000}"/>
    <cellStyle name="Normal 4 13" xfId="592" xr:uid="{00000000-0005-0000-0000-000050020000}"/>
    <cellStyle name="Normal 4 14" xfId="593" xr:uid="{00000000-0005-0000-0000-000051020000}"/>
    <cellStyle name="Normal 4 15" xfId="594" xr:uid="{00000000-0005-0000-0000-000052020000}"/>
    <cellStyle name="Normal 4 16" xfId="595" xr:uid="{00000000-0005-0000-0000-000053020000}"/>
    <cellStyle name="Normal 4 17" xfId="596" xr:uid="{00000000-0005-0000-0000-000054020000}"/>
    <cellStyle name="Normal 4 18" xfId="597" xr:uid="{00000000-0005-0000-0000-000055020000}"/>
    <cellStyle name="Normal 4 19" xfId="598" xr:uid="{00000000-0005-0000-0000-000056020000}"/>
    <cellStyle name="Normal 4 2" xfId="599" xr:uid="{00000000-0005-0000-0000-000057020000}"/>
    <cellStyle name="Normal 4 20" xfId="600" xr:uid="{00000000-0005-0000-0000-000058020000}"/>
    <cellStyle name="Normal 4 21" xfId="601" xr:uid="{00000000-0005-0000-0000-000059020000}"/>
    <cellStyle name="Normal 4 22" xfId="602" xr:uid="{00000000-0005-0000-0000-00005A020000}"/>
    <cellStyle name="Normal 4 23" xfId="603" xr:uid="{00000000-0005-0000-0000-00005B020000}"/>
    <cellStyle name="Normal 4 24" xfId="604" xr:uid="{00000000-0005-0000-0000-00005C020000}"/>
    <cellStyle name="Normal 4 25" xfId="605" xr:uid="{00000000-0005-0000-0000-00005D020000}"/>
    <cellStyle name="Normal 4 26" xfId="606" xr:uid="{00000000-0005-0000-0000-00005E020000}"/>
    <cellStyle name="Normal 4 27" xfId="607" xr:uid="{00000000-0005-0000-0000-00005F020000}"/>
    <cellStyle name="Normal 4 28" xfId="608" xr:uid="{00000000-0005-0000-0000-000060020000}"/>
    <cellStyle name="Normal 4 29" xfId="609" xr:uid="{00000000-0005-0000-0000-000061020000}"/>
    <cellStyle name="Normal 4 3" xfId="610" xr:uid="{00000000-0005-0000-0000-000062020000}"/>
    <cellStyle name="Normal 4 30" xfId="611" xr:uid="{00000000-0005-0000-0000-000063020000}"/>
    <cellStyle name="Normal 4 4" xfId="612" xr:uid="{00000000-0005-0000-0000-000064020000}"/>
    <cellStyle name="Normal 4 5" xfId="613" xr:uid="{00000000-0005-0000-0000-000065020000}"/>
    <cellStyle name="Normal 4 6" xfId="614" xr:uid="{00000000-0005-0000-0000-000066020000}"/>
    <cellStyle name="Normal 4 7" xfId="615" xr:uid="{00000000-0005-0000-0000-000067020000}"/>
    <cellStyle name="Normal 4 8" xfId="616" xr:uid="{00000000-0005-0000-0000-000068020000}"/>
    <cellStyle name="Normal 4 9" xfId="617" xr:uid="{00000000-0005-0000-0000-000069020000}"/>
    <cellStyle name="Normal 5" xfId="618" xr:uid="{00000000-0005-0000-0000-00006A020000}"/>
    <cellStyle name="Normal 5 10" xfId="619" xr:uid="{00000000-0005-0000-0000-00006B020000}"/>
    <cellStyle name="Normal 5 11" xfId="620" xr:uid="{00000000-0005-0000-0000-00006C020000}"/>
    <cellStyle name="Normal 5 12" xfId="621" xr:uid="{00000000-0005-0000-0000-00006D020000}"/>
    <cellStyle name="Normal 5 13" xfId="622" xr:uid="{00000000-0005-0000-0000-00006E020000}"/>
    <cellStyle name="Normal 5 14" xfId="623" xr:uid="{00000000-0005-0000-0000-00006F020000}"/>
    <cellStyle name="Normal 5 15" xfId="624" xr:uid="{00000000-0005-0000-0000-000070020000}"/>
    <cellStyle name="Normal 5 2" xfId="625" xr:uid="{00000000-0005-0000-0000-000071020000}"/>
    <cellStyle name="Normal 5 3" xfId="626" xr:uid="{00000000-0005-0000-0000-000072020000}"/>
    <cellStyle name="Normal 5 4" xfId="627" xr:uid="{00000000-0005-0000-0000-000073020000}"/>
    <cellStyle name="Normal 5 5" xfId="628" xr:uid="{00000000-0005-0000-0000-000074020000}"/>
    <cellStyle name="Normal 5 6" xfId="629" xr:uid="{00000000-0005-0000-0000-000075020000}"/>
    <cellStyle name="Normal 5 7" xfId="630" xr:uid="{00000000-0005-0000-0000-000076020000}"/>
    <cellStyle name="Normal 5 8" xfId="631" xr:uid="{00000000-0005-0000-0000-000077020000}"/>
    <cellStyle name="Normal 5 9" xfId="632" xr:uid="{00000000-0005-0000-0000-000078020000}"/>
    <cellStyle name="Normal 6" xfId="633" xr:uid="{00000000-0005-0000-0000-000079020000}"/>
    <cellStyle name="Normal 6 2" xfId="634" xr:uid="{00000000-0005-0000-0000-00007A020000}"/>
    <cellStyle name="Normal 6 3" xfId="635" xr:uid="{00000000-0005-0000-0000-00007B020000}"/>
    <cellStyle name="Normal 6 4" xfId="636" xr:uid="{00000000-0005-0000-0000-00007C020000}"/>
    <cellStyle name="Normal 6 5" xfId="637" xr:uid="{00000000-0005-0000-0000-00007D020000}"/>
    <cellStyle name="Normal 7" xfId="638" xr:uid="{00000000-0005-0000-0000-00007E020000}"/>
    <cellStyle name="Normal 7 2" xfId="639" xr:uid="{00000000-0005-0000-0000-00007F020000}"/>
    <cellStyle name="Normal 7 3" xfId="640" xr:uid="{00000000-0005-0000-0000-000080020000}"/>
    <cellStyle name="Normal 7 4" xfId="641" xr:uid="{00000000-0005-0000-0000-000081020000}"/>
    <cellStyle name="Normal 8" xfId="642" xr:uid="{00000000-0005-0000-0000-000082020000}"/>
    <cellStyle name="Normal 9" xfId="643" xr:uid="{00000000-0005-0000-0000-000083020000}"/>
    <cellStyle name="Normal 9 10" xfId="644" xr:uid="{00000000-0005-0000-0000-000084020000}"/>
    <cellStyle name="Normal 9 10 2" xfId="645" xr:uid="{00000000-0005-0000-0000-000085020000}"/>
    <cellStyle name="Normal 9 11" xfId="646" xr:uid="{00000000-0005-0000-0000-000086020000}"/>
    <cellStyle name="Normal 9 11 2" xfId="647" xr:uid="{00000000-0005-0000-0000-000087020000}"/>
    <cellStyle name="Normal 9 12" xfId="648" xr:uid="{00000000-0005-0000-0000-000088020000}"/>
    <cellStyle name="Normal 9 12 2" xfId="649" xr:uid="{00000000-0005-0000-0000-000089020000}"/>
    <cellStyle name="Normal 9 13" xfId="650" xr:uid="{00000000-0005-0000-0000-00008A020000}"/>
    <cellStyle name="Normal 9 14" xfId="651" xr:uid="{00000000-0005-0000-0000-00008B020000}"/>
    <cellStyle name="Normal 9 15" xfId="652" xr:uid="{00000000-0005-0000-0000-00008C020000}"/>
    <cellStyle name="Normal 9 2" xfId="653" xr:uid="{00000000-0005-0000-0000-00008D020000}"/>
    <cellStyle name="Normal 9 2 2" xfId="654" xr:uid="{00000000-0005-0000-0000-00008E020000}"/>
    <cellStyle name="Normal 9 2 2 2" xfId="655" xr:uid="{00000000-0005-0000-0000-00008F020000}"/>
    <cellStyle name="Normal 9 2 3" xfId="656" xr:uid="{00000000-0005-0000-0000-000090020000}"/>
    <cellStyle name="Normal 9 2 3 2" xfId="657" xr:uid="{00000000-0005-0000-0000-000091020000}"/>
    <cellStyle name="Normal 9 2 4" xfId="658" xr:uid="{00000000-0005-0000-0000-000092020000}"/>
    <cellStyle name="Normal 9 2 4 2" xfId="659" xr:uid="{00000000-0005-0000-0000-000093020000}"/>
    <cellStyle name="Normal 9 3" xfId="660" xr:uid="{00000000-0005-0000-0000-000094020000}"/>
    <cellStyle name="Normal 9 3 2" xfId="661" xr:uid="{00000000-0005-0000-0000-000095020000}"/>
    <cellStyle name="Normal 9 4" xfId="662" xr:uid="{00000000-0005-0000-0000-000096020000}"/>
    <cellStyle name="Normal 9 4 2" xfId="663" xr:uid="{00000000-0005-0000-0000-000097020000}"/>
    <cellStyle name="Normal 9 5" xfId="664" xr:uid="{00000000-0005-0000-0000-000098020000}"/>
    <cellStyle name="Normal 9 5 2" xfId="665" xr:uid="{00000000-0005-0000-0000-000099020000}"/>
    <cellStyle name="Normal 9 6" xfId="666" xr:uid="{00000000-0005-0000-0000-00009A020000}"/>
    <cellStyle name="Normal 9 6 2" xfId="667" xr:uid="{00000000-0005-0000-0000-00009B020000}"/>
    <cellStyle name="Normal 9 7" xfId="668" xr:uid="{00000000-0005-0000-0000-00009C020000}"/>
    <cellStyle name="Normal 9 7 2" xfId="669" xr:uid="{00000000-0005-0000-0000-00009D020000}"/>
    <cellStyle name="Normal 9 8" xfId="670" xr:uid="{00000000-0005-0000-0000-00009E020000}"/>
    <cellStyle name="Normal 9 8 2" xfId="671" xr:uid="{00000000-0005-0000-0000-00009F020000}"/>
    <cellStyle name="Normal 9 9" xfId="672" xr:uid="{00000000-0005-0000-0000-0000A0020000}"/>
    <cellStyle name="Normal 9 9 2" xfId="673" xr:uid="{00000000-0005-0000-0000-0000A1020000}"/>
    <cellStyle name="Note 2" xfId="674" xr:uid="{00000000-0005-0000-0000-0000A2020000}"/>
    <cellStyle name="Note 2 2" xfId="675" xr:uid="{00000000-0005-0000-0000-0000A3020000}"/>
    <cellStyle name="Per cent" xfId="676" builtinId="5"/>
    <cellStyle name="Percent 2" xfId="677" xr:uid="{00000000-0005-0000-0000-0000A5020000}"/>
    <cellStyle name="Percent 2 2" xfId="678" xr:uid="{00000000-0005-0000-0000-0000A6020000}"/>
    <cellStyle name="Percent 3" xfId="679" xr:uid="{00000000-0005-0000-0000-0000A7020000}"/>
    <cellStyle name="Percent 3 2" xfId="680" xr:uid="{00000000-0005-0000-0000-0000A8020000}"/>
    <cellStyle name="Percent 4" xfId="681" xr:uid="{00000000-0005-0000-0000-0000A9020000}"/>
    <cellStyle name="Percent 5" xfId="682" xr:uid="{00000000-0005-0000-0000-0000AA020000}"/>
    <cellStyle name="Total 2" xfId="683" xr:uid="{00000000-0005-0000-0000-0000AB020000}"/>
    <cellStyle name="Total 2 2" xfId="684" xr:uid="{00000000-0005-0000-0000-0000AC020000}"/>
    <cellStyle name="Total 2 2 2" xfId="685" xr:uid="{00000000-0005-0000-0000-0000AD020000}"/>
    <cellStyle name="Total 2 3" xfId="686" xr:uid="{00000000-0005-0000-0000-0000AE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rancis\My%20Documents\Downloads\Wakenya%20Pamoja%20financials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lemison\Downloads\Magereza%20Sacco%20-Pr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pg"/>
      <sheetName val="Soc. Pg."/>
      <sheetName val="Pg. 1"/>
      <sheetName val="Pg. 2"/>
      <sheetName val="stat"/>
      <sheetName val="Pg.4"/>
      <sheetName val="Pg.5"/>
      <sheetName val="IS"/>
      <sheetName val="BS"/>
      <sheetName val="CiE"/>
      <sheetName val="Cashflow (2)"/>
      <sheetName val="upd 1"/>
      <sheetName val="upd 2"/>
      <sheetName val="upd 2 (2)"/>
      <sheetName val="upd 2 (3)"/>
      <sheetName val="upd 3"/>
      <sheetName val="upd 4"/>
      <sheetName val="upd 5"/>
      <sheetName val="Note 3"/>
      <sheetName val="Note 4"/>
      <sheetName val="Notes 5"/>
      <sheetName val="Notes 6"/>
      <sheetName val="FA "/>
      <sheetName val="Note 7"/>
      <sheetName val="Note 8"/>
      <sheetName val="Note 9"/>
      <sheetName val="Note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2">
          <cell r="I52">
            <v>586738856.19999993</v>
          </cell>
          <cell r="M52">
            <v>4500000</v>
          </cell>
          <cell r="Q52">
            <v>50528122.590599999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4">
          <cell r="F24">
            <v>794284442.45999992</v>
          </cell>
        </row>
        <row r="28">
          <cell r="F28">
            <v>23061474</v>
          </cell>
        </row>
      </sheetData>
      <sheetData sheetId="21" refreshError="1"/>
      <sheetData sheetId="22" refreshError="1"/>
      <sheetData sheetId="23" refreshError="1">
        <row r="14">
          <cell r="F14">
            <v>23365867.800000001</v>
          </cell>
        </row>
        <row r="20">
          <cell r="F20">
            <v>409102173</v>
          </cell>
        </row>
      </sheetData>
      <sheetData sheetId="24" refreshError="1">
        <row r="21">
          <cell r="D21">
            <v>46810691.859999999</v>
          </cell>
        </row>
        <row r="22">
          <cell r="D22">
            <v>16288037.550000001</v>
          </cell>
        </row>
      </sheetData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0"/>
  <sheetViews>
    <sheetView tabSelected="1" zoomScale="80" zoomScaleNormal="80" zoomScaleSheetLayoutView="100" workbookViewId="0">
      <pane xSplit="1" ySplit="4" topLeftCell="AH40" activePane="bottomRight" state="frozen"/>
      <selection pane="bottomRight" activeCell="AK45" sqref="AK45:AK49"/>
      <selection pane="bottomLeft" activeCell="A5" sqref="A5"/>
      <selection pane="topRight" activeCell="B1" sqref="B1"/>
    </sheetView>
  </sheetViews>
  <sheetFormatPr defaultColWidth="8.85546875" defaultRowHeight="11.45"/>
  <cols>
    <col min="1" max="1" width="36.140625" style="105" customWidth="1"/>
    <col min="2" max="3" width="20.5703125" style="104" hidden="1" customWidth="1"/>
    <col min="4" max="5" width="23.85546875" style="104" hidden="1" customWidth="1"/>
    <col min="6" max="6" width="20.5703125" style="104" hidden="1" customWidth="1"/>
    <col min="7" max="7" width="23.85546875" style="104" hidden="1" customWidth="1"/>
    <col min="8" max="11" width="20.5703125" style="104" hidden="1" customWidth="1"/>
    <col min="12" max="12" width="21.85546875" style="104" hidden="1" customWidth="1"/>
    <col min="13" max="13" width="19.85546875" style="104" hidden="1" customWidth="1"/>
    <col min="14" max="14" width="19.85546875" style="104" bestFit="1" customWidth="1"/>
    <col min="15" max="25" width="19.85546875" style="104" hidden="1" customWidth="1"/>
    <col min="26" max="27" width="19.85546875" style="104" customWidth="1"/>
    <col min="28" max="28" width="21.28515625" style="234" bestFit="1" customWidth="1"/>
    <col min="29" max="29" width="24.140625" style="104" customWidth="1"/>
    <col min="30" max="30" width="21" style="104" customWidth="1"/>
    <col min="31" max="31" width="22.140625" style="104" customWidth="1"/>
    <col min="32" max="32" width="20.28515625" style="104" customWidth="1"/>
    <col min="33" max="37" width="19.7109375" style="104" bestFit="1" customWidth="1"/>
    <col min="38" max="16384" width="8.85546875" style="104"/>
  </cols>
  <sheetData>
    <row r="1" spans="1:39">
      <c r="A1" s="105" t="s">
        <v>0</v>
      </c>
      <c r="B1" s="168"/>
      <c r="C1" s="168"/>
      <c r="D1" s="168"/>
      <c r="E1" s="168"/>
      <c r="F1" s="168"/>
      <c r="G1" s="168"/>
      <c r="H1" s="168"/>
    </row>
    <row r="2" spans="1:39">
      <c r="A2" s="109" t="s">
        <v>1</v>
      </c>
      <c r="N2" s="241" t="s">
        <v>2</v>
      </c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3" t="s">
        <v>3</v>
      </c>
      <c r="AA2" s="243" t="s">
        <v>4</v>
      </c>
      <c r="AB2" s="244"/>
    </row>
    <row r="3" spans="1:39" s="157" customFormat="1">
      <c r="A3" s="106"/>
      <c r="B3" s="156" t="s">
        <v>5</v>
      </c>
      <c r="C3" s="156" t="s">
        <v>6</v>
      </c>
      <c r="D3" s="156" t="s">
        <v>7</v>
      </c>
      <c r="E3" s="156" t="s">
        <v>8</v>
      </c>
      <c r="F3" s="156" t="s">
        <v>9</v>
      </c>
      <c r="G3" s="156" t="s">
        <v>10</v>
      </c>
      <c r="H3" s="156" t="s">
        <v>11</v>
      </c>
      <c r="I3" s="156" t="s">
        <v>12</v>
      </c>
      <c r="J3" s="156" t="s">
        <v>13</v>
      </c>
      <c r="K3" s="156" t="s">
        <v>14</v>
      </c>
      <c r="L3" s="156" t="s">
        <v>15</v>
      </c>
      <c r="M3" s="156" t="s">
        <v>16</v>
      </c>
      <c r="N3" s="245" t="s">
        <v>17</v>
      </c>
      <c r="O3" s="246" t="s">
        <v>18</v>
      </c>
      <c r="P3" s="246" t="s">
        <v>19</v>
      </c>
      <c r="Q3" s="246" t="s">
        <v>20</v>
      </c>
      <c r="R3" s="246" t="s">
        <v>21</v>
      </c>
      <c r="S3" s="246" t="s">
        <v>22</v>
      </c>
      <c r="T3" s="246" t="s">
        <v>23</v>
      </c>
      <c r="U3" s="246" t="s">
        <v>24</v>
      </c>
      <c r="V3" s="246" t="s">
        <v>25</v>
      </c>
      <c r="W3" s="246" t="s">
        <v>26</v>
      </c>
      <c r="X3" s="246" t="s">
        <v>27</v>
      </c>
      <c r="Y3" s="246" t="s">
        <v>28</v>
      </c>
      <c r="Z3" s="247" t="s">
        <v>29</v>
      </c>
      <c r="AA3" s="247" t="s">
        <v>30</v>
      </c>
      <c r="AB3" s="248" t="s">
        <v>31</v>
      </c>
      <c r="AC3" s="290">
        <v>44927</v>
      </c>
      <c r="AD3" s="290">
        <v>44958</v>
      </c>
      <c r="AE3" s="290">
        <v>44986</v>
      </c>
      <c r="AF3" s="290">
        <v>45017</v>
      </c>
      <c r="AG3" s="290">
        <v>45047</v>
      </c>
      <c r="AH3" s="290">
        <v>45078</v>
      </c>
      <c r="AI3" s="290">
        <v>45108</v>
      </c>
      <c r="AJ3" s="290">
        <v>45139</v>
      </c>
      <c r="AK3" s="290">
        <v>45170</v>
      </c>
      <c r="AL3" s="290">
        <v>45200</v>
      </c>
      <c r="AM3" s="290">
        <v>45231</v>
      </c>
    </row>
    <row r="4" spans="1:39" s="105" customFormat="1" ht="13.9">
      <c r="A4" s="103" t="s">
        <v>32</v>
      </c>
      <c r="B4" s="158">
        <f t="shared" ref="B4:AG4" si="0">SUM(B5:B6)</f>
        <v>252652851</v>
      </c>
      <c r="C4" s="158">
        <f t="shared" si="0"/>
        <v>246465826.06999999</v>
      </c>
      <c r="D4" s="158">
        <f t="shared" si="0"/>
        <v>289796755.5</v>
      </c>
      <c r="E4" s="158">
        <f t="shared" si="0"/>
        <v>131395640.2</v>
      </c>
      <c r="F4" s="158">
        <f t="shared" si="0"/>
        <v>479503283.56999999</v>
      </c>
      <c r="G4" s="158">
        <f t="shared" si="0"/>
        <v>783748468.00999999</v>
      </c>
      <c r="H4" s="158">
        <f t="shared" si="0"/>
        <v>489544177.91000003</v>
      </c>
      <c r="I4" s="158">
        <f t="shared" si="0"/>
        <v>712822967.85000002</v>
      </c>
      <c r="J4" s="158">
        <f t="shared" si="0"/>
        <v>467447450.42000002</v>
      </c>
      <c r="K4" s="158">
        <f t="shared" si="0"/>
        <v>0</v>
      </c>
      <c r="L4" s="158">
        <f t="shared" si="0"/>
        <v>737328587.63</v>
      </c>
      <c r="M4" s="265">
        <f t="shared" si="0"/>
        <v>785767382.80999994</v>
      </c>
      <c r="N4" s="158">
        <f t="shared" si="0"/>
        <v>817345916.45999992</v>
      </c>
      <c r="O4" s="158">
        <f t="shared" si="0"/>
        <v>549969697.21000004</v>
      </c>
      <c r="P4" s="158">
        <f t="shared" si="0"/>
        <v>673364171.13999999</v>
      </c>
      <c r="Q4" s="158">
        <f t="shared" si="0"/>
        <v>187766168.67000002</v>
      </c>
      <c r="R4" s="158">
        <f t="shared" si="0"/>
        <v>423958915.56999999</v>
      </c>
      <c r="S4" s="158">
        <f t="shared" si="0"/>
        <v>511353966.05000001</v>
      </c>
      <c r="T4" s="158">
        <f t="shared" si="0"/>
        <v>495223763.95000005</v>
      </c>
      <c r="U4" s="158">
        <f t="shared" si="0"/>
        <v>360800549.75999999</v>
      </c>
      <c r="V4" s="158">
        <f t="shared" si="0"/>
        <v>630276104.70999992</v>
      </c>
      <c r="W4" s="158">
        <f t="shared" si="0"/>
        <v>422903264.44999999</v>
      </c>
      <c r="X4" s="158">
        <f t="shared" si="0"/>
        <v>350365295.95000005</v>
      </c>
      <c r="Y4" s="158">
        <f t="shared" si="0"/>
        <v>537093949.86000001</v>
      </c>
      <c r="Z4" s="158">
        <f t="shared" si="0"/>
        <v>817345916</v>
      </c>
      <c r="AA4" s="240">
        <f>N4-Z4</f>
        <v>0.45999991893768311</v>
      </c>
      <c r="AB4" s="158">
        <f t="shared" si="0"/>
        <v>576228117</v>
      </c>
      <c r="AC4" s="158">
        <f t="shared" si="0"/>
        <v>475114673.84999996</v>
      </c>
      <c r="AD4" s="158">
        <f t="shared" si="0"/>
        <v>82486263.319999993</v>
      </c>
      <c r="AE4" s="158">
        <f t="shared" si="0"/>
        <v>229949734.13</v>
      </c>
      <c r="AF4" s="158">
        <f t="shared" si="0"/>
        <v>-186374870.41</v>
      </c>
      <c r="AG4" s="158">
        <f t="shared" si="0"/>
        <v>-197928492.25</v>
      </c>
      <c r="AH4" s="158">
        <f t="shared" ref="AH4:AI4" si="1">SUM(AH5:AH6)</f>
        <v>457663301.26999998</v>
      </c>
      <c r="AI4" s="158">
        <f t="shared" si="1"/>
        <v>202448144.04000002</v>
      </c>
      <c r="AJ4" s="158">
        <f t="shared" ref="AJ4:AM4" si="2">SUM(AJ5:AJ6)</f>
        <v>209839910.35999998</v>
      </c>
      <c r="AK4" s="158">
        <f t="shared" si="2"/>
        <v>0</v>
      </c>
      <c r="AL4" s="158">
        <f t="shared" si="2"/>
        <v>0</v>
      </c>
      <c r="AM4" s="158">
        <f t="shared" si="2"/>
        <v>0</v>
      </c>
    </row>
    <row r="5" spans="1:39" ht="14.25">
      <c r="A5" s="107" t="s">
        <v>33</v>
      </c>
      <c r="B5" s="229">
        <v>18470331</v>
      </c>
      <c r="C5" s="229">
        <v>16028065</v>
      </c>
      <c r="D5" s="229">
        <v>20227208</v>
      </c>
      <c r="E5" s="229">
        <v>15726577</v>
      </c>
      <c r="F5" s="229">
        <v>18747147</v>
      </c>
      <c r="G5" s="229">
        <v>16139622</v>
      </c>
      <c r="H5" s="229">
        <v>15034465</v>
      </c>
      <c r="I5" s="229">
        <v>22294319</v>
      </c>
      <c r="J5" s="229">
        <v>21418992</v>
      </c>
      <c r="K5" s="229"/>
      <c r="L5" s="229">
        <v>20328685.43</v>
      </c>
      <c r="M5" s="266">
        <v>25406965.559999999</v>
      </c>
      <c r="N5" s="102">
        <f>'[2]Notes 5'!$F$28</f>
        <v>23061474</v>
      </c>
      <c r="O5" s="269">
        <v>29603301.460000001</v>
      </c>
      <c r="P5" s="269">
        <v>23865542.09</v>
      </c>
      <c r="Q5" s="269">
        <v>18204276.09</v>
      </c>
      <c r="R5" s="269">
        <v>21126692.27</v>
      </c>
      <c r="S5" s="269">
        <v>31702210.739999998</v>
      </c>
      <c r="T5" s="269">
        <v>19914593.850000001</v>
      </c>
      <c r="U5" s="269">
        <v>27118224.879999999</v>
      </c>
      <c r="V5" s="269">
        <v>28534340.059999999</v>
      </c>
      <c r="W5" s="269">
        <v>23705534.670000002</v>
      </c>
      <c r="X5" s="269">
        <v>30336093.23</v>
      </c>
      <c r="Y5" s="269">
        <v>44433201.68</v>
      </c>
      <c r="Z5" s="269">
        <v>23061474</v>
      </c>
      <c r="AA5" s="240">
        <f t="shared" ref="AA5:AA51" si="3">N5-Z5</f>
        <v>0</v>
      </c>
      <c r="AB5" s="270">
        <v>42524958</v>
      </c>
      <c r="AC5" s="292">
        <v>12531246.65</v>
      </c>
      <c r="AD5" s="294">
        <v>35728785.740000002</v>
      </c>
      <c r="AE5" s="294">
        <v>29311432.039999999</v>
      </c>
      <c r="AF5" s="294">
        <v>26645935.440000001</v>
      </c>
      <c r="AG5" s="292">
        <v>20532897.329999998</v>
      </c>
      <c r="AH5" s="292">
        <v>22975898.02</v>
      </c>
      <c r="AI5" s="292">
        <v>31097132.140000001</v>
      </c>
      <c r="AJ5" s="294">
        <v>22037541.690000001</v>
      </c>
      <c r="AK5" s="294"/>
    </row>
    <row r="6" spans="1:39" ht="14.25">
      <c r="A6" s="107" t="s">
        <v>34</v>
      </c>
      <c r="B6" s="229">
        <v>234182520</v>
      </c>
      <c r="C6" s="229">
        <v>230437761.06999999</v>
      </c>
      <c r="D6" s="229">
        <v>269569547.5</v>
      </c>
      <c r="E6" s="229">
        <v>115669063.2</v>
      </c>
      <c r="F6" s="229">
        <v>460756136.56999999</v>
      </c>
      <c r="G6" s="229">
        <v>767608846.00999999</v>
      </c>
      <c r="H6" s="229">
        <v>474509712.91000003</v>
      </c>
      <c r="I6" s="229">
        <v>690528648.85000002</v>
      </c>
      <c r="J6" s="229">
        <v>446028458.42000002</v>
      </c>
      <c r="K6" s="229"/>
      <c r="L6" s="229">
        <v>716999902.20000005</v>
      </c>
      <c r="M6" s="266">
        <v>760360417.25</v>
      </c>
      <c r="N6" s="102">
        <f>'[2]Notes 5'!$F$24</f>
        <v>794284442.45999992</v>
      </c>
      <c r="O6" s="269">
        <v>520366395.75</v>
      </c>
      <c r="P6" s="269">
        <v>649498629.04999995</v>
      </c>
      <c r="Q6" s="269">
        <v>169561892.58000001</v>
      </c>
      <c r="R6" s="269">
        <v>402832223.30000001</v>
      </c>
      <c r="S6" s="269">
        <v>479651755.31</v>
      </c>
      <c r="T6" s="269">
        <v>475309170.10000002</v>
      </c>
      <c r="U6" s="269">
        <v>333682324.88</v>
      </c>
      <c r="V6" s="269">
        <v>601741764.64999998</v>
      </c>
      <c r="W6" s="269">
        <v>399197729.77999997</v>
      </c>
      <c r="X6" s="269">
        <v>320029202.72000003</v>
      </c>
      <c r="Y6" s="269">
        <v>492660748.18000001</v>
      </c>
      <c r="Z6" s="269">
        <v>794284442</v>
      </c>
      <c r="AA6" s="240">
        <f t="shared" si="3"/>
        <v>0.45999991893768311</v>
      </c>
      <c r="AB6" s="289">
        <v>533703159</v>
      </c>
      <c r="AC6" s="296">
        <v>462583427.19999999</v>
      </c>
      <c r="AD6" s="298">
        <v>46757477.579999998</v>
      </c>
      <c r="AE6" s="298">
        <v>200638302.09</v>
      </c>
      <c r="AF6" s="298">
        <v>-213020805.84999999</v>
      </c>
      <c r="AG6" s="296">
        <v>-218461389.58000001</v>
      </c>
      <c r="AH6" s="296">
        <v>434687403.25</v>
      </c>
      <c r="AI6" s="296">
        <v>171351011.90000001</v>
      </c>
      <c r="AJ6" s="298">
        <v>187802368.66999999</v>
      </c>
      <c r="AK6" s="298"/>
    </row>
    <row r="7" spans="1:39" ht="14.25">
      <c r="A7" s="103" t="s">
        <v>35</v>
      </c>
      <c r="B7" s="229">
        <v>1780584796.3399999</v>
      </c>
      <c r="C7" s="229">
        <v>1877132433.6300001</v>
      </c>
      <c r="D7" s="229">
        <v>1910493753.6600001</v>
      </c>
      <c r="E7" s="229">
        <v>1897484449.95</v>
      </c>
      <c r="F7" s="229">
        <v>1862080889.4300001</v>
      </c>
      <c r="G7" s="229">
        <v>1716640457.6400001</v>
      </c>
      <c r="H7" s="229">
        <v>1917579247.99</v>
      </c>
      <c r="I7" s="229">
        <v>1645364600.3800001</v>
      </c>
      <c r="J7" s="229">
        <v>1884550752.01</v>
      </c>
      <c r="K7" s="229"/>
      <c r="L7" s="229">
        <v>1637846444.04</v>
      </c>
      <c r="M7" s="266">
        <v>1642467966.46</v>
      </c>
      <c r="N7" s="271">
        <v>1784001840</v>
      </c>
      <c r="O7" s="269">
        <v>0</v>
      </c>
      <c r="P7" s="269">
        <v>1678583007.3299999</v>
      </c>
      <c r="Q7" s="269">
        <v>1995500099.73</v>
      </c>
      <c r="R7" s="269">
        <v>1808234833.22</v>
      </c>
      <c r="S7" s="269">
        <v>1783151942.77</v>
      </c>
      <c r="T7" s="269">
        <v>1796914226.5799999</v>
      </c>
      <c r="U7" s="269">
        <v>2010803489.27</v>
      </c>
      <c r="V7" s="269">
        <v>1773807249.98</v>
      </c>
      <c r="W7" s="269">
        <v>2002784953.22</v>
      </c>
      <c r="X7" s="269">
        <v>2026978784.6400001</v>
      </c>
      <c r="Y7" s="269">
        <v>1819217953.5</v>
      </c>
      <c r="Z7" s="272">
        <v>1684959514</v>
      </c>
      <c r="AA7" s="240">
        <f t="shared" si="3"/>
        <v>99042326</v>
      </c>
      <c r="AB7" s="273">
        <v>1700774183</v>
      </c>
      <c r="AC7" s="296">
        <v>1457711411.78</v>
      </c>
      <c r="AD7" s="298">
        <v>1834765175.01</v>
      </c>
      <c r="AE7" s="298">
        <v>1786469411.0799999</v>
      </c>
      <c r="AF7" s="298">
        <v>2146470558.8299999</v>
      </c>
      <c r="AG7" s="296">
        <v>2051358186.7</v>
      </c>
      <c r="AH7" s="296">
        <v>1817727377.1400001</v>
      </c>
      <c r="AI7" s="295">
        <v>0</v>
      </c>
      <c r="AJ7" s="298">
        <v>2150815273.7600002</v>
      </c>
      <c r="AK7" s="298"/>
    </row>
    <row r="8" spans="1:39" s="105" customFormat="1" ht="13.9">
      <c r="A8" s="103" t="s">
        <v>36</v>
      </c>
      <c r="B8" s="158">
        <f t="shared" ref="B8:AM8" si="4">SUM(B9:B12)</f>
        <v>486426946</v>
      </c>
      <c r="C8" s="158">
        <f t="shared" si="4"/>
        <v>418313198.80000001</v>
      </c>
      <c r="D8" s="158">
        <f t="shared" si="4"/>
        <v>418313198.80000001</v>
      </c>
      <c r="E8" s="158">
        <f t="shared" si="4"/>
        <v>418313198.80000001</v>
      </c>
      <c r="F8" s="158">
        <f t="shared" si="4"/>
        <v>418313198.80000001</v>
      </c>
      <c r="G8" s="158">
        <f t="shared" si="4"/>
        <v>418313198.80000001</v>
      </c>
      <c r="H8" s="158">
        <f t="shared" si="4"/>
        <v>418313198.80000001</v>
      </c>
      <c r="I8" s="158">
        <f t="shared" si="4"/>
        <v>418313198.80000001</v>
      </c>
      <c r="J8" s="158">
        <f t="shared" si="4"/>
        <v>418313198.80000001</v>
      </c>
      <c r="K8" s="158">
        <f t="shared" si="4"/>
        <v>0</v>
      </c>
      <c r="L8" s="158">
        <f t="shared" si="4"/>
        <v>418313198.80000001</v>
      </c>
      <c r="M8" s="265">
        <f t="shared" si="4"/>
        <v>418313198.80000001</v>
      </c>
      <c r="N8" s="158">
        <f t="shared" si="4"/>
        <v>432468040.80000001</v>
      </c>
      <c r="O8" s="158">
        <f t="shared" si="4"/>
        <v>418313198.80000001</v>
      </c>
      <c r="P8" s="158">
        <f t="shared" si="4"/>
        <v>418313198.80000001</v>
      </c>
      <c r="Q8" s="158">
        <f t="shared" si="4"/>
        <v>418313198.80000001</v>
      </c>
      <c r="R8" s="158">
        <f t="shared" si="4"/>
        <v>418313198.80000001</v>
      </c>
      <c r="S8" s="158">
        <f t="shared" si="4"/>
        <v>418313198.80000001</v>
      </c>
      <c r="T8" s="158">
        <f t="shared" si="4"/>
        <v>418313198.80000001</v>
      </c>
      <c r="U8" s="158">
        <f t="shared" si="4"/>
        <v>418313198.80000001</v>
      </c>
      <c r="V8" s="158">
        <f t="shared" si="4"/>
        <v>418313198.80000001</v>
      </c>
      <c r="W8" s="158">
        <f t="shared" si="4"/>
        <v>418313198.80000001</v>
      </c>
      <c r="X8" s="158">
        <f t="shared" si="4"/>
        <v>418313198.80000001</v>
      </c>
      <c r="Y8" s="158">
        <f t="shared" si="4"/>
        <v>418313198.80000001</v>
      </c>
      <c r="Z8" s="158">
        <f t="shared" si="4"/>
        <v>432468041</v>
      </c>
      <c r="AA8" s="240">
        <f t="shared" si="3"/>
        <v>-0.19999998807907104</v>
      </c>
      <c r="AB8" s="158">
        <f t="shared" si="4"/>
        <v>423139325</v>
      </c>
      <c r="AC8" s="158">
        <f t="shared" si="4"/>
        <v>423725824.80000001</v>
      </c>
      <c r="AD8" s="158">
        <f t="shared" si="4"/>
        <v>423725824.80000001</v>
      </c>
      <c r="AE8" s="158">
        <f t="shared" si="4"/>
        <v>423725824.80000001</v>
      </c>
      <c r="AF8" s="158">
        <f t="shared" si="4"/>
        <v>423725824.80000001</v>
      </c>
      <c r="AG8" s="158">
        <f t="shared" si="4"/>
        <v>423725824.80000001</v>
      </c>
      <c r="AH8" s="158">
        <f t="shared" si="4"/>
        <v>423725824.80000001</v>
      </c>
      <c r="AI8" s="158">
        <f t="shared" si="4"/>
        <v>423139324.80000001</v>
      </c>
      <c r="AJ8" s="158">
        <f t="shared" si="4"/>
        <v>423139324.80000001</v>
      </c>
      <c r="AK8" s="158">
        <f t="shared" si="4"/>
        <v>0</v>
      </c>
      <c r="AL8" s="158">
        <f t="shared" si="4"/>
        <v>0</v>
      </c>
      <c r="AM8" s="158">
        <f t="shared" si="4"/>
        <v>0</v>
      </c>
    </row>
    <row r="9" spans="1:39" ht="14.25">
      <c r="A9" s="108" t="s">
        <v>37</v>
      </c>
      <c r="B9" s="229">
        <v>0</v>
      </c>
      <c r="C9" s="229">
        <v>0</v>
      </c>
      <c r="D9" s="229">
        <v>0</v>
      </c>
      <c r="E9" s="229">
        <v>0</v>
      </c>
      <c r="F9" s="229">
        <v>0</v>
      </c>
      <c r="G9" s="229">
        <v>0</v>
      </c>
      <c r="H9" s="229">
        <v>0</v>
      </c>
      <c r="I9" s="229">
        <v>0</v>
      </c>
      <c r="J9" s="229">
        <v>0</v>
      </c>
      <c r="K9" s="229"/>
      <c r="L9" s="229">
        <v>0</v>
      </c>
      <c r="M9" s="266">
        <v>0</v>
      </c>
      <c r="N9" s="102">
        <f>'[2]Note 7'!$F$14</f>
        <v>23365867.800000001</v>
      </c>
      <c r="O9" s="269">
        <v>0</v>
      </c>
      <c r="P9" s="269">
        <v>0</v>
      </c>
      <c r="Q9" s="269">
        <v>0</v>
      </c>
      <c r="R9" s="269">
        <v>0</v>
      </c>
      <c r="S9" s="269">
        <v>0</v>
      </c>
      <c r="T9" s="269">
        <v>0</v>
      </c>
      <c r="U9" s="269">
        <v>0</v>
      </c>
      <c r="V9" s="269">
        <v>0</v>
      </c>
      <c r="W9" s="269">
        <v>0</v>
      </c>
      <c r="X9" s="269">
        <v>0</v>
      </c>
      <c r="Y9" s="269">
        <v>0</v>
      </c>
      <c r="Z9" s="269"/>
      <c r="AA9" s="240">
        <f t="shared" si="3"/>
        <v>23365867.800000001</v>
      </c>
      <c r="AB9" s="270"/>
      <c r="AC9" s="291">
        <v>0</v>
      </c>
      <c r="AD9" s="293">
        <v>0</v>
      </c>
      <c r="AE9" s="293">
        <v>0</v>
      </c>
      <c r="AF9" s="293">
        <v>0</v>
      </c>
      <c r="AG9" s="291">
        <v>0</v>
      </c>
      <c r="AH9" s="291">
        <v>0</v>
      </c>
      <c r="AI9" s="291">
        <v>0</v>
      </c>
      <c r="AJ9" s="293">
        <v>0</v>
      </c>
      <c r="AK9" s="293"/>
    </row>
    <row r="10" spans="1:39" ht="14.25">
      <c r="A10" s="107" t="s">
        <v>38</v>
      </c>
      <c r="B10" s="229">
        <v>0</v>
      </c>
      <c r="C10" s="229">
        <v>0</v>
      </c>
      <c r="D10" s="229">
        <v>0</v>
      </c>
      <c r="E10" s="229">
        <v>0</v>
      </c>
      <c r="F10" s="229">
        <v>0</v>
      </c>
      <c r="G10" s="229">
        <v>0</v>
      </c>
      <c r="H10" s="229">
        <v>0</v>
      </c>
      <c r="I10" s="229">
        <v>0</v>
      </c>
      <c r="J10" s="229">
        <v>0</v>
      </c>
      <c r="K10" s="229"/>
      <c r="L10" s="229">
        <v>0</v>
      </c>
      <c r="M10" s="266">
        <v>0</v>
      </c>
      <c r="N10" s="102"/>
      <c r="O10" s="269">
        <v>0</v>
      </c>
      <c r="P10" s="269">
        <v>0</v>
      </c>
      <c r="Q10" s="269">
        <v>0</v>
      </c>
      <c r="R10" s="269">
        <v>0</v>
      </c>
      <c r="S10" s="269">
        <v>0</v>
      </c>
      <c r="T10" s="269">
        <v>0</v>
      </c>
      <c r="U10" s="269">
        <v>0</v>
      </c>
      <c r="V10" s="269">
        <v>0</v>
      </c>
      <c r="W10" s="269">
        <v>0</v>
      </c>
      <c r="X10" s="269">
        <v>0</v>
      </c>
      <c r="Y10" s="269">
        <v>0</v>
      </c>
      <c r="Z10" s="269"/>
      <c r="AA10" s="240">
        <f t="shared" si="3"/>
        <v>0</v>
      </c>
      <c r="AB10" s="270"/>
      <c r="AC10" s="295">
        <v>0</v>
      </c>
      <c r="AD10" s="297">
        <v>0</v>
      </c>
      <c r="AE10" s="297">
        <v>0</v>
      </c>
      <c r="AF10" s="297">
        <v>0</v>
      </c>
      <c r="AG10" s="295">
        <v>0</v>
      </c>
      <c r="AH10" s="295">
        <v>0</v>
      </c>
      <c r="AI10" s="295">
        <v>0</v>
      </c>
      <c r="AJ10" s="297">
        <v>0</v>
      </c>
      <c r="AK10" s="297"/>
    </row>
    <row r="11" spans="1:39" ht="14.25">
      <c r="A11" s="108" t="s">
        <v>39</v>
      </c>
      <c r="B11" s="229">
        <v>0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/>
      <c r="L11" s="229">
        <v>0</v>
      </c>
      <c r="M11" s="266">
        <v>0</v>
      </c>
      <c r="N11" s="102"/>
      <c r="O11" s="269">
        <v>0</v>
      </c>
      <c r="P11" s="269">
        <v>0</v>
      </c>
      <c r="Q11" s="269">
        <v>0</v>
      </c>
      <c r="R11" s="269">
        <v>0</v>
      </c>
      <c r="S11" s="269">
        <v>0</v>
      </c>
      <c r="T11" s="269">
        <v>0</v>
      </c>
      <c r="U11" s="269">
        <v>0</v>
      </c>
      <c r="V11" s="269">
        <v>0</v>
      </c>
      <c r="W11" s="269">
        <v>0</v>
      </c>
      <c r="X11" s="269">
        <v>0</v>
      </c>
      <c r="Y11" s="269">
        <v>0</v>
      </c>
      <c r="Z11" s="269">
        <v>409102173</v>
      </c>
      <c r="AA11" s="240">
        <f t="shared" si="3"/>
        <v>-409102173</v>
      </c>
      <c r="AB11" s="270">
        <v>400359957</v>
      </c>
      <c r="AC11" s="295">
        <v>0</v>
      </c>
      <c r="AD11" s="297">
        <v>0</v>
      </c>
      <c r="AE11" s="297">
        <v>0</v>
      </c>
      <c r="AF11" s="297">
        <v>0</v>
      </c>
      <c r="AG11" s="295">
        <v>0</v>
      </c>
      <c r="AH11" s="295">
        <v>0</v>
      </c>
      <c r="AI11" s="295">
        <v>0</v>
      </c>
      <c r="AJ11" s="297">
        <v>0</v>
      </c>
      <c r="AK11" s="297"/>
    </row>
    <row r="12" spans="1:39" ht="14.25">
      <c r="A12" s="108" t="s">
        <v>40</v>
      </c>
      <c r="B12" s="229">
        <v>486426946</v>
      </c>
      <c r="C12" s="229">
        <v>418313198.80000001</v>
      </c>
      <c r="D12" s="229">
        <v>418313198.80000001</v>
      </c>
      <c r="E12" s="229">
        <v>418313198.80000001</v>
      </c>
      <c r="F12" s="229">
        <v>418313198.80000001</v>
      </c>
      <c r="G12" s="229">
        <v>418313198.80000001</v>
      </c>
      <c r="H12" s="229">
        <v>418313198.80000001</v>
      </c>
      <c r="I12" s="229">
        <v>418313198.80000001</v>
      </c>
      <c r="J12" s="229">
        <v>418313198.80000001</v>
      </c>
      <c r="K12" s="229"/>
      <c r="L12" s="229">
        <v>418313198.80000001</v>
      </c>
      <c r="M12" s="266">
        <v>418313198.80000001</v>
      </c>
      <c r="N12" s="102">
        <f>'[2]Note 7'!$F$20</f>
        <v>409102173</v>
      </c>
      <c r="O12" s="269">
        <v>418313198.80000001</v>
      </c>
      <c r="P12" s="269">
        <v>418313198.80000001</v>
      </c>
      <c r="Q12" s="269">
        <v>418313198.80000001</v>
      </c>
      <c r="R12" s="269">
        <v>418313198.80000001</v>
      </c>
      <c r="S12" s="269">
        <v>418313198.80000001</v>
      </c>
      <c r="T12" s="269">
        <v>418313198.80000001</v>
      </c>
      <c r="U12" s="269">
        <v>418313198.80000001</v>
      </c>
      <c r="V12" s="269">
        <v>418313198.80000001</v>
      </c>
      <c r="W12" s="269">
        <v>418313198.80000001</v>
      </c>
      <c r="X12" s="269">
        <v>418313198.80000001</v>
      </c>
      <c r="Y12" s="269">
        <v>418313198.80000001</v>
      </c>
      <c r="Z12" s="285">
        <v>23365868</v>
      </c>
      <c r="AA12" s="240">
        <f t="shared" si="3"/>
        <v>385736305</v>
      </c>
      <c r="AB12" s="274">
        <v>22779368</v>
      </c>
      <c r="AC12" s="296">
        <v>423725824.80000001</v>
      </c>
      <c r="AD12" s="298">
        <v>423725824.80000001</v>
      </c>
      <c r="AE12" s="298">
        <v>423725824.80000001</v>
      </c>
      <c r="AF12" s="298">
        <v>423725824.80000001</v>
      </c>
      <c r="AG12" s="296">
        <v>423725824.80000001</v>
      </c>
      <c r="AH12" s="296">
        <v>423725824.80000001</v>
      </c>
      <c r="AI12" s="296">
        <v>423139324.80000001</v>
      </c>
      <c r="AJ12" s="298">
        <v>423139324.80000001</v>
      </c>
      <c r="AK12" s="298"/>
    </row>
    <row r="13" spans="1:39" s="105" customFormat="1" ht="13.9">
      <c r="A13" s="103" t="s">
        <v>41</v>
      </c>
      <c r="B13" s="158">
        <f t="shared" ref="B13:AM13" si="5">B14-B15</f>
        <v>3303575575.23</v>
      </c>
      <c r="C13" s="158">
        <f t="shared" si="5"/>
        <v>3379464614.9000001</v>
      </c>
      <c r="D13" s="158">
        <f t="shared" si="5"/>
        <v>3409631329.1400003</v>
      </c>
      <c r="E13" s="158">
        <f t="shared" si="5"/>
        <v>3373760681.1400003</v>
      </c>
      <c r="F13" s="158">
        <f t="shared" si="5"/>
        <v>3380365750.6900001</v>
      </c>
      <c r="G13" s="158">
        <f t="shared" si="5"/>
        <v>3372365266.6200004</v>
      </c>
      <c r="H13" s="158">
        <f t="shared" si="5"/>
        <v>3401713116.0599999</v>
      </c>
      <c r="I13" s="158">
        <f t="shared" si="5"/>
        <v>3440110918.3400002</v>
      </c>
      <c r="J13" s="158">
        <f t="shared" si="5"/>
        <v>3476777093.8299999</v>
      </c>
      <c r="K13" s="158">
        <f t="shared" si="5"/>
        <v>0</v>
      </c>
      <c r="L13" s="158">
        <f t="shared" si="5"/>
        <v>3515868123.9100003</v>
      </c>
      <c r="M13" s="265">
        <f t="shared" si="5"/>
        <v>3512891565.96</v>
      </c>
      <c r="N13" s="158">
        <f t="shared" si="5"/>
        <v>3459988413</v>
      </c>
      <c r="O13" s="158">
        <f t="shared" si="5"/>
        <v>3567087347.6500001</v>
      </c>
      <c r="P13" s="158">
        <f t="shared" si="5"/>
        <v>3666976184.5999999</v>
      </c>
      <c r="Q13" s="158">
        <f t="shared" si="5"/>
        <v>3605219114.25</v>
      </c>
      <c r="R13" s="158">
        <f t="shared" si="5"/>
        <v>3598080412.7199998</v>
      </c>
      <c r="S13" s="158">
        <f t="shared" si="5"/>
        <v>3595932857.8099999</v>
      </c>
      <c r="T13" s="158">
        <f t="shared" si="5"/>
        <v>3621851747.8099999</v>
      </c>
      <c r="U13" s="158">
        <f t="shared" si="5"/>
        <v>3597254447.1699996</v>
      </c>
      <c r="V13" s="158">
        <f t="shared" si="5"/>
        <v>3615251846.6399999</v>
      </c>
      <c r="W13" s="158">
        <f t="shared" si="5"/>
        <v>3653758496.04</v>
      </c>
      <c r="X13" s="158">
        <f t="shared" si="5"/>
        <v>3857024810.3699999</v>
      </c>
      <c r="Y13" s="158">
        <f t="shared" si="5"/>
        <v>3883229790.4099998</v>
      </c>
      <c r="Z13" s="158">
        <f t="shared" si="5"/>
        <v>3432988413</v>
      </c>
      <c r="AA13" s="240">
        <f t="shared" si="3"/>
        <v>27000000</v>
      </c>
      <c r="AB13" s="158">
        <f t="shared" si="5"/>
        <v>3681831574</v>
      </c>
      <c r="AC13" s="158">
        <f t="shared" si="5"/>
        <v>3931758512.6199999</v>
      </c>
      <c r="AD13" s="158">
        <f t="shared" si="5"/>
        <v>4015735878.9299998</v>
      </c>
      <c r="AE13" s="158">
        <f t="shared" si="5"/>
        <v>4061663479.27</v>
      </c>
      <c r="AF13" s="158">
        <f t="shared" si="5"/>
        <v>4116559579.4099998</v>
      </c>
      <c r="AG13" s="158">
        <f t="shared" si="5"/>
        <v>4346922944.5799999</v>
      </c>
      <c r="AH13" s="158">
        <f t="shared" si="5"/>
        <v>4444228571.6199999</v>
      </c>
      <c r="AI13" s="158">
        <f t="shared" si="5"/>
        <v>4382747595.54</v>
      </c>
      <c r="AJ13" s="158">
        <f t="shared" si="5"/>
        <v>4450757297.4300003</v>
      </c>
      <c r="AK13" s="158">
        <f t="shared" si="5"/>
        <v>0</v>
      </c>
      <c r="AL13" s="158">
        <f t="shared" si="5"/>
        <v>0</v>
      </c>
      <c r="AM13" s="158">
        <f t="shared" si="5"/>
        <v>0</v>
      </c>
    </row>
    <row r="14" spans="1:39" ht="14.25">
      <c r="A14" s="108" t="s">
        <v>42</v>
      </c>
      <c r="B14" s="229">
        <v>3437981807.23</v>
      </c>
      <c r="C14" s="229">
        <v>3528733863.04</v>
      </c>
      <c r="D14" s="229">
        <v>3558900577.2800002</v>
      </c>
      <c r="E14" s="229">
        <v>3523029929.2800002</v>
      </c>
      <c r="F14" s="229">
        <v>3529634998.8299999</v>
      </c>
      <c r="G14" s="229">
        <v>3521634514.7600002</v>
      </c>
      <c r="H14" s="229">
        <v>3550982364.1999998</v>
      </c>
      <c r="I14" s="229">
        <v>3589380166.48</v>
      </c>
      <c r="J14" s="229">
        <v>3626046341.9699998</v>
      </c>
      <c r="K14" s="229"/>
      <c r="L14" s="229">
        <v>3665137372.0500002</v>
      </c>
      <c r="M14" s="266">
        <v>3662160814.0999999</v>
      </c>
      <c r="N14" s="102">
        <v>3614762641</v>
      </c>
      <c r="O14" s="269">
        <v>3716356595.79</v>
      </c>
      <c r="P14" s="269">
        <v>3737062751.1700001</v>
      </c>
      <c r="Q14" s="269">
        <v>3675305680.8200002</v>
      </c>
      <c r="R14" s="269">
        <v>3668166979.29</v>
      </c>
      <c r="S14" s="269">
        <v>3666019424.3800001</v>
      </c>
      <c r="T14" s="269">
        <v>3691938314.3800001</v>
      </c>
      <c r="U14" s="269">
        <v>3667341013.7399998</v>
      </c>
      <c r="V14" s="269">
        <v>3685338413.21</v>
      </c>
      <c r="W14" s="269">
        <v>3723845062.6100001</v>
      </c>
      <c r="X14" s="269">
        <v>3927111376.9400001</v>
      </c>
      <c r="Y14" s="269">
        <v>3953316356.98</v>
      </c>
      <c r="Z14" s="284">
        <v>3592762641</v>
      </c>
      <c r="AA14" s="240">
        <f t="shared" si="3"/>
        <v>22000000</v>
      </c>
      <c r="AB14" s="275">
        <v>3858442217</v>
      </c>
      <c r="AC14" s="292">
        <v>4091532740.1900001</v>
      </c>
      <c r="AD14" s="294">
        <v>4175510106.5</v>
      </c>
      <c r="AE14" s="294">
        <v>4221437706.8400002</v>
      </c>
      <c r="AF14" s="294">
        <v>4293170222.4099998</v>
      </c>
      <c r="AG14" s="292">
        <v>4506697172.1499996</v>
      </c>
      <c r="AH14" s="292">
        <v>4604002799.1899996</v>
      </c>
      <c r="AI14" s="292">
        <v>4559358238.1099997</v>
      </c>
      <c r="AJ14" s="294">
        <v>4627367940</v>
      </c>
      <c r="AK14" s="294"/>
    </row>
    <row r="15" spans="1:39" ht="14.25">
      <c r="A15" s="108" t="s">
        <v>43</v>
      </c>
      <c r="B15" s="229">
        <v>134406232</v>
      </c>
      <c r="C15" s="229">
        <v>149269248.13999999</v>
      </c>
      <c r="D15" s="229">
        <v>149269248.13999999</v>
      </c>
      <c r="E15" s="229">
        <v>149269248.13999999</v>
      </c>
      <c r="F15" s="229">
        <v>149269248.13999999</v>
      </c>
      <c r="G15" s="229">
        <v>149269248.13999999</v>
      </c>
      <c r="H15" s="229">
        <v>149269248.13999999</v>
      </c>
      <c r="I15" s="229">
        <v>149269248.13999999</v>
      </c>
      <c r="J15" s="229">
        <v>149269248.13999999</v>
      </c>
      <c r="K15" s="229"/>
      <c r="L15" s="229">
        <v>149269248.13999999</v>
      </c>
      <c r="M15" s="266">
        <v>149269248.13999999</v>
      </c>
      <c r="N15" s="102">
        <v>154774228</v>
      </c>
      <c r="O15" s="269">
        <v>149269248.13999999</v>
      </c>
      <c r="P15" s="269">
        <v>70086566.569999993</v>
      </c>
      <c r="Q15" s="269">
        <v>70086566.569999993</v>
      </c>
      <c r="R15" s="269">
        <v>70086566.569999993</v>
      </c>
      <c r="S15" s="269">
        <v>70086566.569999993</v>
      </c>
      <c r="T15" s="269">
        <v>70086566.569999993</v>
      </c>
      <c r="U15" s="269">
        <v>70086566.569999993</v>
      </c>
      <c r="V15" s="269">
        <v>70086566.569999993</v>
      </c>
      <c r="W15" s="269">
        <v>70086566.569999993</v>
      </c>
      <c r="X15" s="269">
        <v>70086566.569999993</v>
      </c>
      <c r="Y15" s="269">
        <v>70086566.569999993</v>
      </c>
      <c r="Z15" s="275">
        <v>159774228</v>
      </c>
      <c r="AA15" s="240">
        <f t="shared" si="3"/>
        <v>-5000000</v>
      </c>
      <c r="AB15" s="275">
        <v>176610643</v>
      </c>
      <c r="AC15" s="296">
        <v>159774227.56999999</v>
      </c>
      <c r="AD15" s="298">
        <v>159774227.56999999</v>
      </c>
      <c r="AE15" s="298">
        <v>159774227.56999999</v>
      </c>
      <c r="AF15" s="298">
        <v>176610643</v>
      </c>
      <c r="AG15" s="296">
        <v>159774227.56999999</v>
      </c>
      <c r="AH15" s="296">
        <v>159774227.56999999</v>
      </c>
      <c r="AI15" s="296">
        <v>176610642.56999999</v>
      </c>
      <c r="AJ15" s="298">
        <v>176610642.56999999</v>
      </c>
      <c r="AK15" s="298"/>
    </row>
    <row r="16" spans="1:39" s="105" customFormat="1" ht="13.9">
      <c r="A16" s="103" t="s">
        <v>44</v>
      </c>
      <c r="B16" s="158">
        <f t="shared" ref="B16:AM16" si="6">SUM(B17:B19)</f>
        <v>0</v>
      </c>
      <c r="C16" s="158">
        <f t="shared" si="6"/>
        <v>0</v>
      </c>
      <c r="D16" s="158">
        <f t="shared" si="6"/>
        <v>0</v>
      </c>
      <c r="E16" s="158">
        <f t="shared" si="6"/>
        <v>0</v>
      </c>
      <c r="F16" s="158">
        <f t="shared" si="6"/>
        <v>0</v>
      </c>
      <c r="G16" s="158">
        <f t="shared" si="6"/>
        <v>0</v>
      </c>
      <c r="H16" s="158">
        <f t="shared" si="6"/>
        <v>0</v>
      </c>
      <c r="I16" s="158">
        <f t="shared" si="6"/>
        <v>0</v>
      </c>
      <c r="J16" s="158">
        <f t="shared" si="6"/>
        <v>0</v>
      </c>
      <c r="K16" s="158"/>
      <c r="L16" s="158">
        <f t="shared" si="6"/>
        <v>0</v>
      </c>
      <c r="M16" s="265">
        <f t="shared" si="6"/>
        <v>0</v>
      </c>
      <c r="N16" s="158">
        <f t="shared" si="6"/>
        <v>12781984</v>
      </c>
      <c r="O16" s="158">
        <f t="shared" si="6"/>
        <v>0</v>
      </c>
      <c r="P16" s="158">
        <f t="shared" si="6"/>
        <v>0</v>
      </c>
      <c r="Q16" s="158">
        <f t="shared" si="6"/>
        <v>0</v>
      </c>
      <c r="R16" s="158">
        <f t="shared" si="6"/>
        <v>0</v>
      </c>
      <c r="S16" s="158">
        <f t="shared" si="6"/>
        <v>0</v>
      </c>
      <c r="T16" s="158">
        <f t="shared" si="6"/>
        <v>0</v>
      </c>
      <c r="U16" s="158">
        <f t="shared" si="6"/>
        <v>0</v>
      </c>
      <c r="V16" s="158">
        <f t="shared" si="6"/>
        <v>0</v>
      </c>
      <c r="W16" s="158">
        <f t="shared" si="6"/>
        <v>0</v>
      </c>
      <c r="X16" s="158">
        <f t="shared" si="6"/>
        <v>0</v>
      </c>
      <c r="Y16" s="158">
        <f t="shared" si="6"/>
        <v>0</v>
      </c>
      <c r="Z16" s="158">
        <f t="shared" si="6"/>
        <v>12781984</v>
      </c>
      <c r="AA16" s="240">
        <f t="shared" si="3"/>
        <v>0</v>
      </c>
      <c r="AB16" s="158">
        <f t="shared" si="6"/>
        <v>9983559</v>
      </c>
      <c r="AC16" s="158">
        <f t="shared" si="6"/>
        <v>0</v>
      </c>
      <c r="AD16" s="158">
        <f t="shared" si="6"/>
        <v>0</v>
      </c>
      <c r="AE16" s="158">
        <f t="shared" si="6"/>
        <v>0</v>
      </c>
      <c r="AF16" s="158">
        <f t="shared" si="6"/>
        <v>0</v>
      </c>
      <c r="AG16" s="158">
        <f t="shared" si="6"/>
        <v>0</v>
      </c>
      <c r="AH16" s="158">
        <f t="shared" si="6"/>
        <v>0</v>
      </c>
      <c r="AI16" s="158">
        <f t="shared" si="6"/>
        <v>0</v>
      </c>
      <c r="AJ16" s="158">
        <f t="shared" si="6"/>
        <v>0</v>
      </c>
      <c r="AK16" s="158">
        <f t="shared" si="6"/>
        <v>0</v>
      </c>
      <c r="AL16" s="158">
        <f t="shared" si="6"/>
        <v>0</v>
      </c>
      <c r="AM16" s="158">
        <f t="shared" si="6"/>
        <v>0</v>
      </c>
    </row>
    <row r="17" spans="1:39" ht="13.9">
      <c r="A17" s="108" t="s">
        <v>45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/>
      <c r="L17" s="229">
        <v>0</v>
      </c>
      <c r="M17" s="266">
        <v>0</v>
      </c>
      <c r="N17" s="102"/>
      <c r="O17" s="269">
        <v>0</v>
      </c>
      <c r="P17" s="269">
        <v>0</v>
      </c>
      <c r="Q17" s="269">
        <v>0</v>
      </c>
      <c r="R17" s="269">
        <v>0</v>
      </c>
      <c r="S17" s="269">
        <v>0</v>
      </c>
      <c r="T17" s="269">
        <v>0</v>
      </c>
      <c r="U17" s="269">
        <v>0</v>
      </c>
      <c r="V17" s="269">
        <v>0</v>
      </c>
      <c r="W17" s="269">
        <v>0</v>
      </c>
      <c r="X17" s="269">
        <v>0</v>
      </c>
      <c r="Y17" s="269">
        <v>0</v>
      </c>
      <c r="Z17" s="269"/>
      <c r="AA17" s="240">
        <f t="shared" si="3"/>
        <v>0</v>
      </c>
      <c r="AB17" s="270"/>
      <c r="AC17" s="291">
        <v>0</v>
      </c>
      <c r="AD17" s="293">
        <v>0</v>
      </c>
      <c r="AE17" s="293">
        <v>0</v>
      </c>
      <c r="AF17" s="293">
        <v>0</v>
      </c>
      <c r="AG17" s="291">
        <v>0</v>
      </c>
      <c r="AH17" s="291">
        <v>0</v>
      </c>
      <c r="AI17" s="291">
        <v>0</v>
      </c>
      <c r="AJ17" s="293">
        <v>0</v>
      </c>
      <c r="AK17" s="293">
        <v>0</v>
      </c>
    </row>
    <row r="18" spans="1:39" ht="13.9">
      <c r="A18" s="108" t="s">
        <v>46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/>
      <c r="L18" s="229">
        <v>0</v>
      </c>
      <c r="M18" s="266">
        <v>0</v>
      </c>
      <c r="N18" s="102">
        <v>12781984</v>
      </c>
      <c r="O18" s="269">
        <v>0</v>
      </c>
      <c r="P18" s="269">
        <v>0</v>
      </c>
      <c r="Q18" s="269">
        <v>0</v>
      </c>
      <c r="R18" s="269">
        <v>0</v>
      </c>
      <c r="S18" s="269">
        <v>0</v>
      </c>
      <c r="T18" s="269">
        <v>0</v>
      </c>
      <c r="U18" s="269">
        <v>0</v>
      </c>
      <c r="V18" s="269">
        <v>0</v>
      </c>
      <c r="W18" s="269">
        <v>0</v>
      </c>
      <c r="X18" s="269">
        <v>0</v>
      </c>
      <c r="Y18" s="269">
        <v>0</v>
      </c>
      <c r="Z18" s="274">
        <v>12781984</v>
      </c>
      <c r="AA18" s="240">
        <f t="shared" si="3"/>
        <v>0</v>
      </c>
      <c r="AB18" s="276">
        <v>9983559</v>
      </c>
      <c r="AC18" s="295">
        <v>0</v>
      </c>
      <c r="AD18" s="297">
        <v>0</v>
      </c>
      <c r="AE18" s="297">
        <v>0</v>
      </c>
      <c r="AF18" s="297">
        <v>0</v>
      </c>
      <c r="AG18" s="295">
        <v>0</v>
      </c>
      <c r="AH18" s="295">
        <v>0</v>
      </c>
      <c r="AI18" s="295">
        <v>0</v>
      </c>
      <c r="AJ18" s="297">
        <v>0</v>
      </c>
      <c r="AK18" s="297">
        <v>0</v>
      </c>
    </row>
    <row r="19" spans="1:39" ht="13.9">
      <c r="A19" s="108" t="s">
        <v>47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/>
      <c r="L19" s="229">
        <v>0</v>
      </c>
      <c r="M19" s="266">
        <v>0</v>
      </c>
      <c r="N19" s="102"/>
      <c r="O19" s="269">
        <v>0</v>
      </c>
      <c r="P19" s="269">
        <v>0</v>
      </c>
      <c r="Q19" s="269">
        <v>0</v>
      </c>
      <c r="R19" s="269">
        <v>0</v>
      </c>
      <c r="S19" s="269">
        <v>0</v>
      </c>
      <c r="T19" s="269">
        <v>0</v>
      </c>
      <c r="U19" s="269">
        <v>0</v>
      </c>
      <c r="V19" s="269">
        <v>0</v>
      </c>
      <c r="W19" s="269">
        <v>0</v>
      </c>
      <c r="X19" s="269">
        <v>0</v>
      </c>
      <c r="Y19" s="269">
        <v>0</v>
      </c>
      <c r="Z19" s="269"/>
      <c r="AA19" s="240">
        <f t="shared" si="3"/>
        <v>0</v>
      </c>
      <c r="AB19" s="270"/>
      <c r="AC19" s="295">
        <v>0</v>
      </c>
      <c r="AD19" s="297">
        <v>0</v>
      </c>
      <c r="AE19" s="297">
        <v>0</v>
      </c>
      <c r="AF19" s="297">
        <v>0</v>
      </c>
      <c r="AG19" s="295">
        <v>0</v>
      </c>
      <c r="AH19" s="295">
        <v>0</v>
      </c>
      <c r="AI19" s="295">
        <v>0</v>
      </c>
      <c r="AJ19" s="297">
        <v>0</v>
      </c>
      <c r="AK19" s="297">
        <v>0</v>
      </c>
    </row>
    <row r="20" spans="1:39" s="105" customFormat="1" ht="13.9">
      <c r="A20" s="103" t="s">
        <v>48</v>
      </c>
      <c r="B20" s="158">
        <f t="shared" ref="B20:AM20" si="7">SUM(B21:B25)</f>
        <v>506998692.09000003</v>
      </c>
      <c r="C20" s="158">
        <f t="shared" si="7"/>
        <v>506855220.78000003</v>
      </c>
      <c r="D20" s="158">
        <f t="shared" si="7"/>
        <v>515264629.86000001</v>
      </c>
      <c r="E20" s="158">
        <f t="shared" si="7"/>
        <v>521439308.74000001</v>
      </c>
      <c r="F20" s="158">
        <f t="shared" si="7"/>
        <v>521439308.74000001</v>
      </c>
      <c r="G20" s="158">
        <f t="shared" si="7"/>
        <v>521549308.74000001</v>
      </c>
      <c r="H20" s="158">
        <f t="shared" si="7"/>
        <v>530812524.74000007</v>
      </c>
      <c r="I20" s="158">
        <f t="shared" si="7"/>
        <v>530828524.74000007</v>
      </c>
      <c r="J20" s="158">
        <f t="shared" si="7"/>
        <v>534483068.74000007</v>
      </c>
      <c r="K20" s="158">
        <f t="shared" si="7"/>
        <v>0</v>
      </c>
      <c r="L20" s="158">
        <f t="shared" si="7"/>
        <v>536138354.40000004</v>
      </c>
      <c r="M20" s="265">
        <f t="shared" si="7"/>
        <v>518029590.63</v>
      </c>
      <c r="N20" s="158">
        <f t="shared" si="7"/>
        <v>575846453</v>
      </c>
      <c r="O20" s="158">
        <f t="shared" si="7"/>
        <v>518345168.94</v>
      </c>
      <c r="P20" s="158">
        <f t="shared" si="7"/>
        <v>526881252.69999999</v>
      </c>
      <c r="Q20" s="158">
        <f t="shared" si="7"/>
        <v>529231096.69999999</v>
      </c>
      <c r="R20" s="158">
        <f t="shared" si="7"/>
        <v>527154451.69999999</v>
      </c>
      <c r="S20" s="158">
        <f t="shared" si="7"/>
        <v>525841117.69999999</v>
      </c>
      <c r="T20" s="158">
        <f t="shared" si="7"/>
        <v>525890117.69999999</v>
      </c>
      <c r="U20" s="158">
        <f t="shared" si="7"/>
        <v>526193467.69999999</v>
      </c>
      <c r="V20" s="158">
        <f t="shared" si="7"/>
        <v>527725981.65000004</v>
      </c>
      <c r="W20" s="158">
        <f t="shared" si="7"/>
        <v>528303192.62000006</v>
      </c>
      <c r="X20" s="158">
        <f t="shared" si="7"/>
        <v>529556952.62000006</v>
      </c>
      <c r="Y20" s="158">
        <f t="shared" si="7"/>
        <v>530684594.85000008</v>
      </c>
      <c r="Z20" s="158">
        <f t="shared" si="7"/>
        <v>575846453</v>
      </c>
      <c r="AA20" s="240">
        <f t="shared" si="3"/>
        <v>0</v>
      </c>
      <c r="AB20" s="158">
        <f t="shared" si="7"/>
        <v>657273113</v>
      </c>
      <c r="AC20" s="158">
        <f t="shared" si="7"/>
        <v>515870844.52999997</v>
      </c>
      <c r="AD20" s="158">
        <f t="shared" si="7"/>
        <v>519036806.52999997</v>
      </c>
      <c r="AE20" s="158">
        <f t="shared" si="7"/>
        <v>519399855.52999997</v>
      </c>
      <c r="AF20" s="158">
        <f t="shared" si="7"/>
        <v>519824960.52999997</v>
      </c>
      <c r="AG20" s="158">
        <f t="shared" si="7"/>
        <v>520339435.52999997</v>
      </c>
      <c r="AH20" s="158">
        <f t="shared" si="7"/>
        <v>520638419.52999997</v>
      </c>
      <c r="AI20" s="158">
        <f t="shared" si="7"/>
        <v>517077999.52999997</v>
      </c>
      <c r="AJ20" s="158">
        <f t="shared" si="7"/>
        <v>517538764.52999997</v>
      </c>
      <c r="AK20" s="158">
        <f t="shared" si="7"/>
        <v>0</v>
      </c>
      <c r="AL20" s="158">
        <f t="shared" si="7"/>
        <v>0</v>
      </c>
      <c r="AM20" s="158">
        <f t="shared" si="7"/>
        <v>0</v>
      </c>
    </row>
    <row r="21" spans="1:39" ht="14.25">
      <c r="A21" s="108" t="s">
        <v>49</v>
      </c>
      <c r="B21" s="229">
        <v>452442522.60000002</v>
      </c>
      <c r="C21" s="229">
        <v>452628161.67000002</v>
      </c>
      <c r="D21" s="229">
        <v>452628161.67000002</v>
      </c>
      <c r="E21" s="229">
        <v>452628161.67000002</v>
      </c>
      <c r="F21" s="229">
        <v>452628161.67000002</v>
      </c>
      <c r="G21" s="229">
        <v>452438161.67000002</v>
      </c>
      <c r="H21" s="229">
        <v>452438161.67000002</v>
      </c>
      <c r="I21" s="229">
        <v>452438161.67000002</v>
      </c>
      <c r="J21" s="229">
        <v>452438161.67000002</v>
      </c>
      <c r="K21" s="229"/>
      <c r="L21" s="229">
        <v>452438161.67000002</v>
      </c>
      <c r="M21" s="266">
        <v>447007675.67000002</v>
      </c>
      <c r="N21" s="102"/>
      <c r="O21" s="269">
        <v>447007675.67000002</v>
      </c>
      <c r="P21" s="269">
        <v>447027675.67000002</v>
      </c>
      <c r="Q21" s="269">
        <v>447027675.67000002</v>
      </c>
      <c r="R21" s="269">
        <v>447027675.67000002</v>
      </c>
      <c r="S21" s="269">
        <v>445089950.67000002</v>
      </c>
      <c r="T21" s="269">
        <v>445089950.67000002</v>
      </c>
      <c r="U21" s="269">
        <v>445089950.67000002</v>
      </c>
      <c r="V21" s="269">
        <v>445089950.67000002</v>
      </c>
      <c r="W21" s="269">
        <v>445244310.67000002</v>
      </c>
      <c r="X21" s="269">
        <v>445244310.67000002</v>
      </c>
      <c r="Y21" s="269">
        <v>445244310.67000002</v>
      </c>
      <c r="Z21" s="269">
        <v>236778710</v>
      </c>
      <c r="AA21" s="240">
        <f t="shared" si="3"/>
        <v>-236778710</v>
      </c>
      <c r="AB21" s="270">
        <v>235015345</v>
      </c>
      <c r="AC21" s="292">
        <v>439988586.52999997</v>
      </c>
      <c r="AD21" s="294">
        <v>440413586.52999997</v>
      </c>
      <c r="AE21" s="294">
        <v>440470886.52999997</v>
      </c>
      <c r="AF21" s="294">
        <v>440080886.52999997</v>
      </c>
      <c r="AG21" s="292">
        <v>440080886.52999997</v>
      </c>
      <c r="AH21" s="292">
        <v>440243386.52999997</v>
      </c>
      <c r="AI21" s="292">
        <v>435942326.52999997</v>
      </c>
      <c r="AJ21" s="294">
        <v>436007326.52999997</v>
      </c>
      <c r="AK21" s="294"/>
    </row>
    <row r="22" spans="1:39" ht="14.25">
      <c r="A22" s="108" t="s">
        <v>50</v>
      </c>
      <c r="B22" s="229">
        <v>32568033</v>
      </c>
      <c r="C22" s="229">
        <v>32568033.620000001</v>
      </c>
      <c r="D22" s="229">
        <v>35773638.619999997</v>
      </c>
      <c r="E22" s="229">
        <v>41399717.5</v>
      </c>
      <c r="F22" s="229">
        <v>41399717.5</v>
      </c>
      <c r="G22" s="229">
        <v>41399717.5</v>
      </c>
      <c r="H22" s="229">
        <v>41399717.5</v>
      </c>
      <c r="I22" s="229">
        <v>41399717.5</v>
      </c>
      <c r="J22" s="229">
        <v>42949557.5</v>
      </c>
      <c r="K22" s="229"/>
      <c r="L22" s="229">
        <v>42949557.5</v>
      </c>
      <c r="M22" s="266">
        <v>36626402.5</v>
      </c>
      <c r="N22" s="102">
        <v>243649762</v>
      </c>
      <c r="O22" s="269">
        <v>36626402.5</v>
      </c>
      <c r="P22" s="269">
        <v>43857269.460000001</v>
      </c>
      <c r="Q22" s="269">
        <v>45916419.460000001</v>
      </c>
      <c r="R22" s="269">
        <v>43239774.460000001</v>
      </c>
      <c r="S22" s="269">
        <v>43514549.460000001</v>
      </c>
      <c r="T22" s="269">
        <v>43563549.460000001</v>
      </c>
      <c r="U22" s="269">
        <v>43566899.460000001</v>
      </c>
      <c r="V22" s="269">
        <v>44499413.409999996</v>
      </c>
      <c r="W22" s="269">
        <v>44622264.609999999</v>
      </c>
      <c r="X22" s="269">
        <v>45576024.609999999</v>
      </c>
      <c r="Y22" s="269">
        <v>45801024.609999999</v>
      </c>
      <c r="Z22" s="274">
        <v>243649762</v>
      </c>
      <c r="AA22" s="240">
        <f t="shared" si="3"/>
        <v>0</v>
      </c>
      <c r="AB22" s="274">
        <v>241918784</v>
      </c>
      <c r="AC22" s="296">
        <v>36945542.740000002</v>
      </c>
      <c r="AD22" s="298">
        <v>37603602.740000002</v>
      </c>
      <c r="AE22" s="298">
        <v>37621101.740000002</v>
      </c>
      <c r="AF22" s="298">
        <v>37649041.740000002</v>
      </c>
      <c r="AG22" s="296">
        <v>37649041.740000002</v>
      </c>
      <c r="AH22" s="296">
        <v>37785525.740000002</v>
      </c>
      <c r="AI22" s="296">
        <v>37803525.740000002</v>
      </c>
      <c r="AJ22" s="298">
        <v>37803525.740000002</v>
      </c>
      <c r="AK22" s="298"/>
    </row>
    <row r="23" spans="1:39" ht="14.25">
      <c r="A23" s="108" t="s">
        <v>51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/>
      <c r="L23" s="229">
        <v>0</v>
      </c>
      <c r="M23" s="266">
        <v>0</v>
      </c>
      <c r="N23" s="102"/>
      <c r="O23" s="269">
        <v>0</v>
      </c>
      <c r="P23" s="269">
        <v>0</v>
      </c>
      <c r="Q23" s="269">
        <v>0</v>
      </c>
      <c r="R23" s="269">
        <v>0</v>
      </c>
      <c r="S23" s="269">
        <v>0</v>
      </c>
      <c r="T23" s="269">
        <v>0</v>
      </c>
      <c r="U23" s="269">
        <v>0</v>
      </c>
      <c r="V23" s="269">
        <v>0</v>
      </c>
      <c r="W23" s="269">
        <v>0</v>
      </c>
      <c r="X23" s="269">
        <v>0</v>
      </c>
      <c r="Y23" s="269">
        <v>0</v>
      </c>
      <c r="Z23" s="269"/>
      <c r="AA23" s="240">
        <f t="shared" si="3"/>
        <v>0</v>
      </c>
      <c r="AB23" s="270"/>
      <c r="AC23" s="295">
        <v>0</v>
      </c>
      <c r="AD23" s="297">
        <v>0</v>
      </c>
      <c r="AE23" s="297">
        <v>0</v>
      </c>
      <c r="AF23" s="297">
        <v>0</v>
      </c>
      <c r="AG23" s="295">
        <v>0</v>
      </c>
      <c r="AH23" s="295">
        <v>0</v>
      </c>
      <c r="AI23" s="295">
        <v>0</v>
      </c>
      <c r="AJ23" s="297">
        <v>0</v>
      </c>
      <c r="AK23" s="297"/>
    </row>
    <row r="24" spans="1:39" ht="14.25">
      <c r="A24" s="108" t="s">
        <v>52</v>
      </c>
      <c r="B24" s="229">
        <v>7703332</v>
      </c>
      <c r="C24" s="229">
        <v>7703332</v>
      </c>
      <c r="D24" s="229">
        <v>11147719.779999999</v>
      </c>
      <c r="E24" s="229">
        <v>11246319.779999999</v>
      </c>
      <c r="F24" s="229">
        <v>11246319.779999999</v>
      </c>
      <c r="G24" s="229">
        <v>11246319.779999999</v>
      </c>
      <c r="H24" s="229">
        <v>20509535.780000001</v>
      </c>
      <c r="I24" s="229">
        <v>20509535.780000001</v>
      </c>
      <c r="J24" s="229">
        <v>22614239.780000001</v>
      </c>
      <c r="K24" s="229"/>
      <c r="L24" s="229">
        <v>22614239.780000001</v>
      </c>
      <c r="M24" s="266">
        <v>15083697.779999999</v>
      </c>
      <c r="N24" s="102">
        <v>15083698</v>
      </c>
      <c r="O24" s="269">
        <v>15083697.779999999</v>
      </c>
      <c r="P24" s="269">
        <v>16805891.780000001</v>
      </c>
      <c r="Q24" s="269">
        <v>16805891.780000001</v>
      </c>
      <c r="R24" s="269">
        <v>16805891.780000001</v>
      </c>
      <c r="S24" s="269">
        <v>16805891.780000001</v>
      </c>
      <c r="T24" s="269">
        <v>16805891.780000001</v>
      </c>
      <c r="U24" s="269">
        <v>16805891.780000001</v>
      </c>
      <c r="V24" s="269">
        <v>16805891.780000001</v>
      </c>
      <c r="W24" s="269">
        <v>16805891.780000001</v>
      </c>
      <c r="X24" s="269">
        <v>16805891.780000001</v>
      </c>
      <c r="Y24" s="269">
        <v>17408533.780000001</v>
      </c>
      <c r="Z24" s="285">
        <v>15083698</v>
      </c>
      <c r="AA24" s="240">
        <f t="shared" si="3"/>
        <v>0</v>
      </c>
      <c r="AB24" s="275">
        <v>11611492</v>
      </c>
      <c r="AC24" s="296">
        <v>11611492.02</v>
      </c>
      <c r="AD24" s="298">
        <v>12713840.02</v>
      </c>
      <c r="AE24" s="298">
        <v>12713840.02</v>
      </c>
      <c r="AF24" s="298">
        <v>12713840.02</v>
      </c>
      <c r="AG24" s="296">
        <v>12713840.02</v>
      </c>
      <c r="AH24" s="296">
        <v>12713840.02</v>
      </c>
      <c r="AI24" s="296">
        <v>12713840.02</v>
      </c>
      <c r="AJ24" s="298">
        <v>12713840.02</v>
      </c>
      <c r="AK24" s="298"/>
    </row>
    <row r="25" spans="1:39" ht="14.25">
      <c r="A25" s="108" t="s">
        <v>53</v>
      </c>
      <c r="B25" s="229">
        <v>14284804.49</v>
      </c>
      <c r="C25" s="229">
        <v>13955693.49</v>
      </c>
      <c r="D25" s="229">
        <v>15715109.789999999</v>
      </c>
      <c r="E25" s="229">
        <v>16165109.789999999</v>
      </c>
      <c r="F25" s="229">
        <v>16165109.789999999</v>
      </c>
      <c r="G25" s="229">
        <v>16465109.789999999</v>
      </c>
      <c r="H25" s="229">
        <v>16465109.789999999</v>
      </c>
      <c r="I25" s="229">
        <v>16481109.789999999</v>
      </c>
      <c r="J25" s="229">
        <v>16481109.789999999</v>
      </c>
      <c r="K25" s="229"/>
      <c r="L25" s="229">
        <v>18136395.449999999</v>
      </c>
      <c r="M25" s="266">
        <v>19311814.68</v>
      </c>
      <c r="N25" s="102">
        <f>236778710+10250000+10161646+59922637</f>
        <v>317112993</v>
      </c>
      <c r="O25" s="269">
        <v>19627392.989999998</v>
      </c>
      <c r="P25" s="269">
        <v>19190415.789999999</v>
      </c>
      <c r="Q25" s="269">
        <v>19481109.789999999</v>
      </c>
      <c r="R25" s="269">
        <v>20081109.789999999</v>
      </c>
      <c r="S25" s="269">
        <v>20430725.789999999</v>
      </c>
      <c r="T25" s="269">
        <v>20430725.789999999</v>
      </c>
      <c r="U25" s="269">
        <v>20730725.789999999</v>
      </c>
      <c r="V25" s="269">
        <v>21330725.789999999</v>
      </c>
      <c r="W25" s="269">
        <v>21630725.559999999</v>
      </c>
      <c r="X25" s="269">
        <v>21930725.559999999</v>
      </c>
      <c r="Y25" s="269">
        <v>22230725.789999999</v>
      </c>
      <c r="Z25" s="269">
        <f>257190356+59922637-Z21</f>
        <v>80334283</v>
      </c>
      <c r="AA25" s="240">
        <f t="shared" si="3"/>
        <v>236778710</v>
      </c>
      <c r="AB25" s="270">
        <f>309016568+94726269-AB21</f>
        <v>168727492</v>
      </c>
      <c r="AC25" s="296">
        <v>27325223.239999998</v>
      </c>
      <c r="AD25" s="298">
        <v>28305777.239999998</v>
      </c>
      <c r="AE25" s="298">
        <v>28594027.239999998</v>
      </c>
      <c r="AF25" s="298">
        <v>29381192.239999998</v>
      </c>
      <c r="AG25" s="296">
        <v>29895667.239999998</v>
      </c>
      <c r="AH25" s="296">
        <v>29895667.239999998</v>
      </c>
      <c r="AI25" s="296">
        <v>30618307.239999998</v>
      </c>
      <c r="AJ25" s="298">
        <v>31014072.239999998</v>
      </c>
      <c r="AK25" s="298"/>
    </row>
    <row r="26" spans="1:39" s="105" customFormat="1" ht="13.9">
      <c r="A26" s="103" t="s">
        <v>54</v>
      </c>
      <c r="B26" s="158">
        <f t="shared" ref="B26:AM26" si="8">SUM(B4,B7,B8,B13,B16,B20)</f>
        <v>6330238860.6599998</v>
      </c>
      <c r="C26" s="158">
        <f t="shared" si="8"/>
        <v>6428231294.1799994</v>
      </c>
      <c r="D26" s="158">
        <f t="shared" si="8"/>
        <v>6543499666.96</v>
      </c>
      <c r="E26" s="158">
        <f t="shared" si="8"/>
        <v>6342393278.8299999</v>
      </c>
      <c r="F26" s="158">
        <f t="shared" si="8"/>
        <v>6661702431.2299995</v>
      </c>
      <c r="G26" s="158">
        <f t="shared" si="8"/>
        <v>6812616699.8100004</v>
      </c>
      <c r="H26" s="158">
        <f t="shared" si="8"/>
        <v>6757962265.5</v>
      </c>
      <c r="I26" s="158">
        <f t="shared" si="8"/>
        <v>6747440210.1100006</v>
      </c>
      <c r="J26" s="158">
        <f t="shared" si="8"/>
        <v>6781571563.7999992</v>
      </c>
      <c r="K26" s="158">
        <f t="shared" si="8"/>
        <v>0</v>
      </c>
      <c r="L26" s="158">
        <f t="shared" si="8"/>
        <v>6845494708.7800007</v>
      </c>
      <c r="M26" s="265">
        <f t="shared" si="8"/>
        <v>6877469704.6600008</v>
      </c>
      <c r="N26" s="158">
        <f t="shared" si="8"/>
        <v>7082432647.2600002</v>
      </c>
      <c r="O26" s="158">
        <f t="shared" si="8"/>
        <v>5053715412.5999994</v>
      </c>
      <c r="P26" s="158">
        <f t="shared" si="8"/>
        <v>6964117814.5699997</v>
      </c>
      <c r="Q26" s="158">
        <f t="shared" si="8"/>
        <v>6736029678.1500006</v>
      </c>
      <c r="R26" s="158">
        <f t="shared" si="8"/>
        <v>6775741812.0099993</v>
      </c>
      <c r="S26" s="158">
        <f t="shared" si="8"/>
        <v>6834593083.1300001</v>
      </c>
      <c r="T26" s="158">
        <f t="shared" si="8"/>
        <v>6858193054.8399992</v>
      </c>
      <c r="U26" s="158">
        <f t="shared" si="8"/>
        <v>6913365152.6999998</v>
      </c>
      <c r="V26" s="158">
        <f t="shared" si="8"/>
        <v>6965374381.7799997</v>
      </c>
      <c r="W26" s="158">
        <f t="shared" si="8"/>
        <v>7026063105.1300001</v>
      </c>
      <c r="X26" s="158">
        <f t="shared" si="8"/>
        <v>7182239042.3800001</v>
      </c>
      <c r="Y26" s="158">
        <f t="shared" si="8"/>
        <v>7188539487.4200001</v>
      </c>
      <c r="Z26" s="158">
        <f t="shared" si="8"/>
        <v>6956390321</v>
      </c>
      <c r="AA26" s="240">
        <f t="shared" si="3"/>
        <v>126042326.26000023</v>
      </c>
      <c r="AB26" s="158">
        <f t="shared" si="8"/>
        <v>7049229871</v>
      </c>
      <c r="AC26" s="158">
        <f t="shared" si="8"/>
        <v>6804181267.579999</v>
      </c>
      <c r="AD26" s="158">
        <f t="shared" si="8"/>
        <v>6875749948.5899992</v>
      </c>
      <c r="AE26" s="158">
        <f t="shared" si="8"/>
        <v>7021208304.8100004</v>
      </c>
      <c r="AF26" s="158">
        <f t="shared" si="8"/>
        <v>7020206053.1599989</v>
      </c>
      <c r="AG26" s="158">
        <f t="shared" si="8"/>
        <v>7144417899.3599997</v>
      </c>
      <c r="AH26" s="158">
        <f t="shared" si="8"/>
        <v>7663983494.3599997</v>
      </c>
      <c r="AI26" s="158">
        <f t="shared" si="8"/>
        <v>5525413063.9099998</v>
      </c>
      <c r="AJ26" s="158">
        <f t="shared" si="8"/>
        <v>7752090570.8800001</v>
      </c>
      <c r="AK26" s="158">
        <f t="shared" si="8"/>
        <v>0</v>
      </c>
      <c r="AL26" s="158">
        <f t="shared" si="8"/>
        <v>0</v>
      </c>
      <c r="AM26" s="158">
        <f t="shared" si="8"/>
        <v>0</v>
      </c>
    </row>
    <row r="27" spans="1:39" ht="24">
      <c r="A27" s="108" t="s">
        <v>55</v>
      </c>
      <c r="B27" s="229">
        <v>145082753.34999999</v>
      </c>
      <c r="C27" s="229">
        <v>50126547.200000003</v>
      </c>
      <c r="D27" s="229">
        <v>54986080.380000003</v>
      </c>
      <c r="E27" s="229">
        <v>180950275.09999999</v>
      </c>
      <c r="F27" s="229">
        <v>90227798.480000004</v>
      </c>
      <c r="G27" s="229">
        <v>99328974.920000002</v>
      </c>
      <c r="H27" s="229">
        <v>64548910.280000001</v>
      </c>
      <c r="I27" s="229">
        <v>71312236.480000004</v>
      </c>
      <c r="J27" s="229">
        <v>70450182.540000007</v>
      </c>
      <c r="K27" s="229"/>
      <c r="L27" s="229">
        <v>43575722.409999996</v>
      </c>
      <c r="M27" s="266">
        <v>42772811.799999997</v>
      </c>
      <c r="N27" s="102">
        <f>'[2]Note 8'!$D$21</f>
        <v>46810691.859999999</v>
      </c>
      <c r="O27" s="269">
        <v>51447487.469999999</v>
      </c>
      <c r="P27" s="269">
        <v>383704415.04000002</v>
      </c>
      <c r="Q27" s="269">
        <v>49687100.170000002</v>
      </c>
      <c r="R27" s="269">
        <v>40587003.689999998</v>
      </c>
      <c r="S27" s="269">
        <v>51321682.439999998</v>
      </c>
      <c r="T27" s="269">
        <v>50671163.130000003</v>
      </c>
      <c r="U27" s="269">
        <v>40398536.82</v>
      </c>
      <c r="V27" s="269">
        <v>46999006.979999997</v>
      </c>
      <c r="W27" s="269">
        <v>61341125.899999999</v>
      </c>
      <c r="X27" s="269">
        <v>178421345.91</v>
      </c>
      <c r="Y27" s="269">
        <v>110728180.45999999</v>
      </c>
      <c r="Z27" s="274">
        <v>46810692</v>
      </c>
      <c r="AA27" s="240">
        <f t="shared" si="3"/>
        <v>-0.14000000059604645</v>
      </c>
      <c r="AB27" s="274">
        <v>102062910</v>
      </c>
      <c r="AC27" s="292">
        <v>80180893.5</v>
      </c>
      <c r="AD27" s="294">
        <v>69615023.230000004</v>
      </c>
      <c r="AE27" s="294">
        <v>153727806</v>
      </c>
      <c r="AF27" s="294">
        <v>93009594.890000001</v>
      </c>
      <c r="AG27" s="292">
        <v>71555548.709999993</v>
      </c>
      <c r="AH27" s="292">
        <v>92762959.920000002</v>
      </c>
      <c r="AI27" s="292">
        <v>102437741</v>
      </c>
      <c r="AJ27" s="294">
        <v>87295854.310000002</v>
      </c>
      <c r="AK27" s="294"/>
    </row>
    <row r="28" spans="1:39" ht="24">
      <c r="A28" s="108" t="s">
        <v>56</v>
      </c>
      <c r="B28" s="229">
        <v>16592130.33</v>
      </c>
      <c r="C28" s="229">
        <v>18660130.329999998</v>
      </c>
      <c r="D28" s="229">
        <v>18588037.550000001</v>
      </c>
      <c r="E28" s="229">
        <v>19405537.550000001</v>
      </c>
      <c r="F28" s="229">
        <v>19092537.550000001</v>
      </c>
      <c r="G28" s="229">
        <v>20492537.550000001</v>
      </c>
      <c r="H28" s="229">
        <v>19626037.550000001</v>
      </c>
      <c r="I28" s="229">
        <v>17826037.550000001</v>
      </c>
      <c r="J28" s="229">
        <v>17126037.550000001</v>
      </c>
      <c r="K28" s="229"/>
      <c r="L28" s="229">
        <v>18458037.550000001</v>
      </c>
      <c r="M28" s="266">
        <v>16288037.550000001</v>
      </c>
      <c r="N28" s="102">
        <f>'[2]Note 8'!$D$22</f>
        <v>16288037.550000001</v>
      </c>
      <c r="O28" s="269">
        <v>19371037.550000001</v>
      </c>
      <c r="P28" s="269">
        <v>20881637.550000001</v>
      </c>
      <c r="Q28" s="269">
        <v>21254237.550000001</v>
      </c>
      <c r="R28" s="269">
        <v>20144637.550000001</v>
      </c>
      <c r="S28" s="269">
        <v>22654637.550000001</v>
      </c>
      <c r="T28" s="269">
        <v>21483037.550000001</v>
      </c>
      <c r="U28" s="269">
        <v>24084037.550000001</v>
      </c>
      <c r="V28" s="269">
        <v>27266037.550000001</v>
      </c>
      <c r="W28" s="269">
        <v>27270837.550000001</v>
      </c>
      <c r="X28" s="269">
        <v>25548837.550000001</v>
      </c>
      <c r="Y28" s="269">
        <v>25378837.550000001</v>
      </c>
      <c r="Z28" s="269">
        <v>16286038</v>
      </c>
      <c r="AA28" s="240">
        <f t="shared" si="3"/>
        <v>1999.5500000007451</v>
      </c>
      <c r="AB28" s="274">
        <v>25378838</v>
      </c>
      <c r="AC28" s="296">
        <v>23189837.550000001</v>
      </c>
      <c r="AD28" s="298">
        <v>26719837.550000001</v>
      </c>
      <c r="AE28" s="298">
        <v>26617837.550000001</v>
      </c>
      <c r="AF28" s="298">
        <v>28985037.550000001</v>
      </c>
      <c r="AG28" s="296">
        <v>26030551.550000001</v>
      </c>
      <c r="AH28" s="296">
        <v>30039736.550000001</v>
      </c>
      <c r="AI28" s="296">
        <v>31413520.550000001</v>
      </c>
      <c r="AJ28" s="298">
        <v>27147006.550000001</v>
      </c>
      <c r="AK28" s="298"/>
    </row>
    <row r="29" spans="1:39" ht="24">
      <c r="A29" s="108" t="s">
        <v>57</v>
      </c>
      <c r="B29" s="229">
        <v>4498252691.3000002</v>
      </c>
      <c r="C29" s="229">
        <v>4541513296.4099998</v>
      </c>
      <c r="D29" s="229">
        <v>4587773678.0200005</v>
      </c>
      <c r="E29" s="229">
        <v>4633170884.9499998</v>
      </c>
      <c r="F29" s="229">
        <v>4670874642.1999998</v>
      </c>
      <c r="G29" s="229">
        <v>4680366950.79</v>
      </c>
      <c r="H29" s="229">
        <v>4706275412.1499996</v>
      </c>
      <c r="I29" s="229">
        <v>4735345397.79</v>
      </c>
      <c r="J29" s="229">
        <v>4768685898.5200005</v>
      </c>
      <c r="K29" s="229"/>
      <c r="L29" s="229">
        <v>4845897538.3999996</v>
      </c>
      <c r="M29" s="266">
        <v>4889080698.8800001</v>
      </c>
      <c r="N29" s="102">
        <f>4877606072-16491047</f>
        <v>4861115025</v>
      </c>
      <c r="O29" s="269">
        <v>4914430869.1800003</v>
      </c>
      <c r="P29" s="269">
        <v>4934462781.25</v>
      </c>
      <c r="Q29" s="269">
        <v>5000961972.0600004</v>
      </c>
      <c r="R29" s="269">
        <v>5033735643.8500004</v>
      </c>
      <c r="S29" s="269">
        <v>5025449033.9099998</v>
      </c>
      <c r="T29" s="269">
        <v>5044517493.0299997</v>
      </c>
      <c r="U29" s="269">
        <v>4867035193.5</v>
      </c>
      <c r="V29" s="269">
        <v>4903369969.9300003</v>
      </c>
      <c r="W29" s="269">
        <v>4938086172.5100002</v>
      </c>
      <c r="X29" s="269">
        <v>4978438586.0299997</v>
      </c>
      <c r="Y29" s="269">
        <v>5026152031.4399996</v>
      </c>
      <c r="Z29" s="274">
        <v>4891356072</v>
      </c>
      <c r="AA29" s="240">
        <f t="shared" si="3"/>
        <v>-30241047</v>
      </c>
      <c r="AB29" s="285">
        <v>5026214141</v>
      </c>
      <c r="AC29" s="296">
        <v>5067060633.46</v>
      </c>
      <c r="AD29" s="298">
        <v>5114367684.7600002</v>
      </c>
      <c r="AE29" s="298">
        <v>5155856917.3000002</v>
      </c>
      <c r="AF29" s="298">
        <v>5198335456.5100002</v>
      </c>
      <c r="AG29" s="296">
        <v>5213077265.75</v>
      </c>
      <c r="AH29" s="296">
        <v>5255268362.5600004</v>
      </c>
      <c r="AI29" s="296">
        <v>5287777572.1400003</v>
      </c>
      <c r="AJ29" s="298">
        <v>5332538238.3000002</v>
      </c>
      <c r="AK29" s="298"/>
    </row>
    <row r="30" spans="1:39" s="105" customFormat="1" ht="13.9">
      <c r="A30" s="103" t="s">
        <v>58</v>
      </c>
      <c r="B30" s="158">
        <f>SUM(B27:B29)</f>
        <v>4659927574.9800005</v>
      </c>
      <c r="C30" s="158">
        <f t="shared" ref="C30:N30" si="9">SUM(C27:C29)</f>
        <v>4610299973.9399996</v>
      </c>
      <c r="D30" s="158">
        <f t="shared" si="9"/>
        <v>4661347795.9500008</v>
      </c>
      <c r="E30" s="158">
        <f t="shared" si="9"/>
        <v>4833526697.5999994</v>
      </c>
      <c r="F30" s="158">
        <f t="shared" si="9"/>
        <v>4780194978.2299995</v>
      </c>
      <c r="G30" s="158">
        <f t="shared" si="9"/>
        <v>4800188463.2600002</v>
      </c>
      <c r="H30" s="158">
        <f t="shared" si="9"/>
        <v>4790450359.9799995</v>
      </c>
      <c r="I30" s="158">
        <f t="shared" si="9"/>
        <v>4824483671.8199997</v>
      </c>
      <c r="J30" s="158">
        <f t="shared" si="9"/>
        <v>4856262118.6100006</v>
      </c>
      <c r="K30" s="158">
        <f t="shared" si="9"/>
        <v>0</v>
      </c>
      <c r="L30" s="158">
        <f t="shared" si="9"/>
        <v>4907931298.3599997</v>
      </c>
      <c r="M30" s="265">
        <f t="shared" si="9"/>
        <v>4948141548.2300005</v>
      </c>
      <c r="N30" s="158">
        <f t="shared" si="9"/>
        <v>4924213754.4099998</v>
      </c>
      <c r="O30" s="158">
        <f t="shared" ref="O30:Y30" si="10">SUM(O27:O29)</f>
        <v>4985249394.2000008</v>
      </c>
      <c r="P30" s="158">
        <f t="shared" si="10"/>
        <v>5339048833.8400002</v>
      </c>
      <c r="Q30" s="158">
        <f t="shared" si="10"/>
        <v>5071903309.7800007</v>
      </c>
      <c r="R30" s="158">
        <f t="shared" si="10"/>
        <v>5094467285.0900002</v>
      </c>
      <c r="S30" s="158">
        <f t="shared" si="10"/>
        <v>5099425353.8999996</v>
      </c>
      <c r="T30" s="158">
        <f t="shared" si="10"/>
        <v>5116671693.71</v>
      </c>
      <c r="U30" s="158">
        <f t="shared" si="10"/>
        <v>4931517767.8699999</v>
      </c>
      <c r="V30" s="158">
        <f t="shared" si="10"/>
        <v>4977635014.46</v>
      </c>
      <c r="W30" s="158">
        <f t="shared" si="10"/>
        <v>5026698135.96</v>
      </c>
      <c r="X30" s="158">
        <f t="shared" si="10"/>
        <v>5182408769.4899998</v>
      </c>
      <c r="Y30" s="158">
        <f t="shared" si="10"/>
        <v>5162259049.4499998</v>
      </c>
      <c r="Z30" s="158">
        <f t="shared" ref="Z30" si="11">SUM(Z27:Z29)</f>
        <v>4954452802</v>
      </c>
      <c r="AA30" s="240">
        <f t="shared" si="3"/>
        <v>-30239047.590000153</v>
      </c>
      <c r="AB30" s="158">
        <f t="shared" ref="AB30:AF30" si="12">SUM(AB27:AB29)</f>
        <v>5153655889</v>
      </c>
      <c r="AC30" s="158">
        <f t="shared" si="12"/>
        <v>5170431364.5100002</v>
      </c>
      <c r="AD30" s="158">
        <f t="shared" si="12"/>
        <v>5210702545.54</v>
      </c>
      <c r="AE30" s="158">
        <f t="shared" si="12"/>
        <v>5336202560.8500004</v>
      </c>
      <c r="AF30" s="158">
        <f t="shared" si="12"/>
        <v>5320330088.9499998</v>
      </c>
      <c r="AG30" s="158">
        <f t="shared" ref="AG30:AJ30" si="13">SUM(AG27:AG29)</f>
        <v>5310663366.0100002</v>
      </c>
      <c r="AH30" s="158">
        <f t="shared" si="13"/>
        <v>5378071059.0300007</v>
      </c>
      <c r="AI30" s="158">
        <f t="shared" si="13"/>
        <v>5421628833.6900005</v>
      </c>
      <c r="AJ30" s="158">
        <f t="shared" si="13"/>
        <v>5446981099.1599998</v>
      </c>
      <c r="AK30" s="158">
        <f t="shared" ref="AK30:AM30" si="14">SUM(AK27:AK29)</f>
        <v>0</v>
      </c>
      <c r="AL30" s="158">
        <f t="shared" si="14"/>
        <v>0</v>
      </c>
      <c r="AM30" s="158">
        <f t="shared" si="14"/>
        <v>0</v>
      </c>
    </row>
    <row r="31" spans="1:39" s="105" customFormat="1" ht="13.9">
      <c r="A31" s="103" t="s">
        <v>59</v>
      </c>
      <c r="B31" s="161">
        <f>SUM(B32:B37)</f>
        <v>297890714.87</v>
      </c>
      <c r="C31" s="161">
        <f t="shared" ref="C31:N31" si="15">SUM(C32:C37)</f>
        <v>444490134.43000001</v>
      </c>
      <c r="D31" s="161">
        <f t="shared" si="15"/>
        <v>458501105.04000002</v>
      </c>
      <c r="E31" s="161">
        <f t="shared" si="15"/>
        <v>69029041.599999994</v>
      </c>
      <c r="F31" s="161">
        <f t="shared" si="15"/>
        <v>416229944.45999998</v>
      </c>
      <c r="G31" s="161">
        <f t="shared" si="15"/>
        <v>465269344.52999997</v>
      </c>
      <c r="H31" s="161">
        <f t="shared" si="15"/>
        <v>459496043.48000002</v>
      </c>
      <c r="I31" s="161">
        <f t="shared" si="15"/>
        <v>400284456.54999995</v>
      </c>
      <c r="J31" s="161">
        <f t="shared" si="15"/>
        <v>388405398.25</v>
      </c>
      <c r="K31" s="161">
        <f t="shared" si="15"/>
        <v>0</v>
      </c>
      <c r="L31" s="161">
        <f t="shared" si="15"/>
        <v>361148317.68000001</v>
      </c>
      <c r="M31" s="267">
        <f t="shared" si="15"/>
        <v>348501031.58999997</v>
      </c>
      <c r="N31" s="161">
        <f t="shared" si="15"/>
        <v>778523242</v>
      </c>
      <c r="O31" s="161">
        <f t="shared" ref="O31:Y31" si="16">SUM(O32:O37)</f>
        <v>336138277.44</v>
      </c>
      <c r="P31" s="161">
        <f t="shared" si="16"/>
        <v>314510260.53999996</v>
      </c>
      <c r="Q31" s="161">
        <f t="shared" si="16"/>
        <v>294462780.94999999</v>
      </c>
      <c r="R31" s="161">
        <f t="shared" si="16"/>
        <v>277159091.90000004</v>
      </c>
      <c r="S31" s="161">
        <f t="shared" si="16"/>
        <v>267868496.71000001</v>
      </c>
      <c r="T31" s="161">
        <f t="shared" si="16"/>
        <v>259888732.81</v>
      </c>
      <c r="U31" s="161">
        <f t="shared" si="16"/>
        <v>255461103.77000001</v>
      </c>
      <c r="V31" s="161">
        <f t="shared" si="16"/>
        <v>250184040.45999998</v>
      </c>
      <c r="W31" s="161">
        <f t="shared" si="16"/>
        <v>251935288.75</v>
      </c>
      <c r="X31" s="161">
        <f t="shared" si="16"/>
        <v>233946414.35999998</v>
      </c>
      <c r="Y31" s="161">
        <f t="shared" si="16"/>
        <v>226732164.38000003</v>
      </c>
      <c r="Z31" s="161">
        <f t="shared" ref="Z31" si="17">SUM(Z32:Z37)</f>
        <v>693958758</v>
      </c>
      <c r="AA31" s="240">
        <f t="shared" si="3"/>
        <v>84564484</v>
      </c>
      <c r="AB31" s="161">
        <f t="shared" ref="AB31:AF31" si="18">SUM(AB32:AB37)</f>
        <v>491262851</v>
      </c>
      <c r="AC31" s="161">
        <f t="shared" si="18"/>
        <v>234676225.07999998</v>
      </c>
      <c r="AD31" s="161">
        <f t="shared" si="18"/>
        <v>228647443.05000001</v>
      </c>
      <c r="AE31" s="161">
        <f t="shared" si="18"/>
        <v>221940424.28999999</v>
      </c>
      <c r="AF31" s="161">
        <f t="shared" si="18"/>
        <v>187619586.72000003</v>
      </c>
      <c r="AG31" s="161">
        <f t="shared" ref="AG31:AJ31" si="19">SUM(AG32:AG37)</f>
        <v>278338628.06</v>
      </c>
      <c r="AH31" s="161">
        <f t="shared" si="19"/>
        <v>627493689.60000002</v>
      </c>
      <c r="AI31" s="161">
        <f t="shared" si="19"/>
        <v>655667935.71000004</v>
      </c>
      <c r="AJ31" s="161">
        <f t="shared" si="19"/>
        <v>644483249.90999997</v>
      </c>
      <c r="AK31" s="161">
        <f t="shared" ref="AK31:AM31" si="20">SUM(AK32:AK37)</f>
        <v>0</v>
      </c>
      <c r="AL31" s="161">
        <f t="shared" si="20"/>
        <v>0</v>
      </c>
      <c r="AM31" s="161">
        <f t="shared" si="20"/>
        <v>0</v>
      </c>
    </row>
    <row r="32" spans="1:39" ht="14.25">
      <c r="A32" s="108" t="s">
        <v>60</v>
      </c>
      <c r="B32" s="229">
        <v>10139396.02</v>
      </c>
      <c r="C32" s="229">
        <v>14921082</v>
      </c>
      <c r="D32" s="229">
        <v>10419890.32</v>
      </c>
      <c r="E32" s="229">
        <v>9340256.8100000005</v>
      </c>
      <c r="F32" s="229">
        <v>9939305.6899999995</v>
      </c>
      <c r="G32" s="229">
        <v>14932245</v>
      </c>
      <c r="H32" s="229">
        <v>11117248.460000001</v>
      </c>
      <c r="I32" s="229">
        <v>10276917.539999999</v>
      </c>
      <c r="J32" s="229">
        <v>13505270.35</v>
      </c>
      <c r="K32" s="229"/>
      <c r="L32" s="229">
        <v>16358812</v>
      </c>
      <c r="M32" s="266">
        <v>9274006.3800000008</v>
      </c>
      <c r="N32" s="102">
        <v>16288038</v>
      </c>
      <c r="O32" s="269">
        <v>3984363.34</v>
      </c>
      <c r="P32" s="269">
        <v>640368.66</v>
      </c>
      <c r="Q32" s="269">
        <v>901809.23</v>
      </c>
      <c r="R32" s="269">
        <v>159596.94</v>
      </c>
      <c r="S32" s="269">
        <v>498547.20000000001</v>
      </c>
      <c r="T32" s="269">
        <v>1264060.07</v>
      </c>
      <c r="U32" s="269">
        <v>844363.14</v>
      </c>
      <c r="V32" s="269">
        <v>2954710.94</v>
      </c>
      <c r="W32" s="269">
        <v>977559.23</v>
      </c>
      <c r="X32" s="269">
        <v>1530107.06</v>
      </c>
      <c r="Y32" s="269">
        <v>1012717.19</v>
      </c>
      <c r="Z32" s="269">
        <v>11521899</v>
      </c>
      <c r="AA32" s="240">
        <f t="shared" si="3"/>
        <v>4766139</v>
      </c>
      <c r="AB32" s="274">
        <v>23268815</v>
      </c>
      <c r="AC32" s="292">
        <v>267507</v>
      </c>
      <c r="AD32" s="294">
        <v>1001036.08</v>
      </c>
      <c r="AE32" s="294">
        <v>1493792.43</v>
      </c>
      <c r="AF32" s="294">
        <v>550863.97</v>
      </c>
      <c r="AG32" s="292">
        <v>2543127.5299999998</v>
      </c>
      <c r="AH32" s="292">
        <v>710522.43</v>
      </c>
      <c r="AI32" s="292">
        <v>218406.04</v>
      </c>
      <c r="AJ32" s="294">
        <v>1511793.91</v>
      </c>
      <c r="AK32" s="294"/>
    </row>
    <row r="33" spans="1:39" ht="14.25">
      <c r="A33" s="108" t="s">
        <v>61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/>
      <c r="L33" s="229">
        <v>0</v>
      </c>
      <c r="M33" s="266">
        <v>0</v>
      </c>
      <c r="N33" s="102">
        <v>395841179</v>
      </c>
      <c r="O33" s="269">
        <v>0</v>
      </c>
      <c r="P33" s="269">
        <v>0</v>
      </c>
      <c r="Q33" s="269">
        <v>0</v>
      </c>
      <c r="R33" s="269">
        <v>0</v>
      </c>
      <c r="S33" s="269">
        <v>0</v>
      </c>
      <c r="T33" s="269">
        <v>0</v>
      </c>
      <c r="U33" s="269">
        <v>0</v>
      </c>
      <c r="V33" s="269">
        <v>0</v>
      </c>
      <c r="W33" s="269">
        <v>0</v>
      </c>
      <c r="X33" s="269">
        <v>0</v>
      </c>
      <c r="Y33" s="269">
        <v>0</v>
      </c>
      <c r="Z33" s="274">
        <v>303621910</v>
      </c>
      <c r="AA33" s="240">
        <f t="shared" si="3"/>
        <v>92219269</v>
      </c>
      <c r="AB33" s="274">
        <v>241606685</v>
      </c>
      <c r="AC33" s="295">
        <v>0</v>
      </c>
      <c r="AD33" s="297">
        <v>0</v>
      </c>
      <c r="AE33" s="297">
        <v>0</v>
      </c>
      <c r="AF33" s="297">
        <v>0</v>
      </c>
      <c r="AG33" s="295">
        <v>0</v>
      </c>
      <c r="AH33" s="295">
        <v>0</v>
      </c>
      <c r="AI33" s="295">
        <v>0</v>
      </c>
      <c r="AJ33" s="297">
        <v>0</v>
      </c>
      <c r="AK33" s="297"/>
    </row>
    <row r="34" spans="1:39" ht="14.25">
      <c r="A34" s="108" t="s">
        <v>62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/>
      <c r="L34" s="229">
        <v>0</v>
      </c>
      <c r="M34" s="266">
        <v>0</v>
      </c>
      <c r="N34" s="102"/>
      <c r="O34" s="269">
        <v>0</v>
      </c>
      <c r="P34" s="269">
        <v>0</v>
      </c>
      <c r="Q34" s="269">
        <v>0</v>
      </c>
      <c r="R34" s="269">
        <v>0</v>
      </c>
      <c r="S34" s="269">
        <v>0</v>
      </c>
      <c r="T34" s="269">
        <v>0</v>
      </c>
      <c r="U34" s="269">
        <v>0</v>
      </c>
      <c r="V34" s="269">
        <v>0</v>
      </c>
      <c r="W34" s="269">
        <v>0</v>
      </c>
      <c r="X34" s="269">
        <v>0</v>
      </c>
      <c r="Y34" s="269">
        <v>0</v>
      </c>
      <c r="Z34" s="269"/>
      <c r="AA34" s="240">
        <f t="shared" si="3"/>
        <v>0</v>
      </c>
      <c r="AB34" s="270"/>
      <c r="AC34" s="295">
        <v>0</v>
      </c>
      <c r="AD34" s="297">
        <v>0</v>
      </c>
      <c r="AE34" s="297">
        <v>0</v>
      </c>
      <c r="AF34" s="297">
        <v>0</v>
      </c>
      <c r="AG34" s="295">
        <v>0</v>
      </c>
      <c r="AH34" s="295">
        <v>0</v>
      </c>
      <c r="AI34" s="295">
        <v>0</v>
      </c>
      <c r="AJ34" s="297">
        <v>0</v>
      </c>
      <c r="AK34" s="297"/>
    </row>
    <row r="35" spans="1:39" ht="14.25">
      <c r="A35" s="108" t="s">
        <v>63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/>
      <c r="L35" s="229">
        <v>0</v>
      </c>
      <c r="M35" s="266">
        <v>0</v>
      </c>
      <c r="N35" s="102"/>
      <c r="O35" s="269">
        <v>0</v>
      </c>
      <c r="P35" s="269">
        <v>0</v>
      </c>
      <c r="Q35" s="269">
        <v>0</v>
      </c>
      <c r="R35" s="269">
        <v>0</v>
      </c>
      <c r="S35" s="269">
        <v>0</v>
      </c>
      <c r="T35" s="269">
        <v>0</v>
      </c>
      <c r="U35" s="269">
        <v>0</v>
      </c>
      <c r="V35" s="269">
        <v>0</v>
      </c>
      <c r="W35" s="269">
        <v>0</v>
      </c>
      <c r="X35" s="269">
        <v>0</v>
      </c>
      <c r="Y35" s="269">
        <v>0</v>
      </c>
      <c r="Z35" s="269"/>
      <c r="AA35" s="240">
        <f t="shared" si="3"/>
        <v>0</v>
      </c>
      <c r="AB35" s="270"/>
      <c r="AC35" s="295">
        <v>0</v>
      </c>
      <c r="AD35" s="297">
        <v>0</v>
      </c>
      <c r="AE35" s="297">
        <v>0</v>
      </c>
      <c r="AF35" s="297">
        <v>0</v>
      </c>
      <c r="AG35" s="295">
        <v>0</v>
      </c>
      <c r="AH35" s="295">
        <v>0</v>
      </c>
      <c r="AI35" s="295">
        <v>0</v>
      </c>
      <c r="AJ35" s="297">
        <v>0</v>
      </c>
      <c r="AK35" s="297"/>
    </row>
    <row r="36" spans="1:39" ht="14.25">
      <c r="A36" s="108" t="s">
        <v>64</v>
      </c>
      <c r="B36" s="229">
        <v>287751318.85000002</v>
      </c>
      <c r="C36" s="229">
        <v>429569052.43000001</v>
      </c>
      <c r="D36" s="229">
        <v>448081214.72000003</v>
      </c>
      <c r="E36" s="229">
        <v>59688784.789999999</v>
      </c>
      <c r="F36" s="229">
        <v>6290638.7699999996</v>
      </c>
      <c r="G36" s="229">
        <v>50337099.530000001</v>
      </c>
      <c r="H36" s="229">
        <v>59489906.130000003</v>
      </c>
      <c r="I36" s="229">
        <v>12229761.23</v>
      </c>
      <c r="J36" s="229">
        <v>8233461.2300000004</v>
      </c>
      <c r="K36" s="229"/>
      <c r="L36" s="229">
        <v>345061.23</v>
      </c>
      <c r="M36" s="266">
        <v>5893691.8700000001</v>
      </c>
      <c r="N36" s="102">
        <v>33060692</v>
      </c>
      <c r="O36" s="269">
        <v>9931691.8699999992</v>
      </c>
      <c r="P36" s="269">
        <v>13869891.869999999</v>
      </c>
      <c r="Q36" s="269">
        <v>4672082.83</v>
      </c>
      <c r="R36" s="269">
        <v>-778282.83</v>
      </c>
      <c r="S36" s="269">
        <v>703282.83</v>
      </c>
      <c r="T36" s="269">
        <v>3069117.17</v>
      </c>
      <c r="U36" s="269">
        <v>10172296.17</v>
      </c>
      <c r="V36" s="269">
        <v>13895996.17</v>
      </c>
      <c r="W36" s="269">
        <v>17624396.170000002</v>
      </c>
      <c r="X36" s="269">
        <v>21305196.170000002</v>
      </c>
      <c r="Y36" s="269">
        <v>25719447.170000002</v>
      </c>
      <c r="Z36" s="274">
        <v>45481616</v>
      </c>
      <c r="AA36" s="240">
        <f t="shared" si="3"/>
        <v>-12420924</v>
      </c>
      <c r="AB36" s="285">
        <v>26387351</v>
      </c>
      <c r="AC36" s="296">
        <v>45519829.170000002</v>
      </c>
      <c r="AD36" s="298">
        <v>49868629.170000002</v>
      </c>
      <c r="AE36" s="298">
        <v>53779965.170000002</v>
      </c>
      <c r="AF36" s="298">
        <v>31513167.170000002</v>
      </c>
      <c r="AG36" s="296">
        <v>22462167.170000002</v>
      </c>
      <c r="AH36" s="296">
        <v>26783167.170000002</v>
      </c>
      <c r="AI36" s="296">
        <v>72116196.340000004</v>
      </c>
      <c r="AJ36" s="298">
        <v>76304789.340000004</v>
      </c>
      <c r="AK36" s="298"/>
    </row>
    <row r="37" spans="1:39" ht="14.25">
      <c r="A37" s="108" t="s">
        <v>65</v>
      </c>
      <c r="B37" s="229">
        <v>0</v>
      </c>
      <c r="C37" s="229">
        <v>0</v>
      </c>
      <c r="D37" s="229">
        <v>0</v>
      </c>
      <c r="E37" s="229">
        <v>0</v>
      </c>
      <c r="F37" s="229">
        <v>400000000</v>
      </c>
      <c r="G37" s="229">
        <v>400000000</v>
      </c>
      <c r="H37" s="229">
        <v>388888888.88999999</v>
      </c>
      <c r="I37" s="229">
        <v>377777777.77999997</v>
      </c>
      <c r="J37" s="229">
        <v>366666666.67000002</v>
      </c>
      <c r="K37" s="229"/>
      <c r="L37" s="229">
        <v>344444444.44999999</v>
      </c>
      <c r="M37" s="266">
        <v>333333333.33999997</v>
      </c>
      <c r="N37" s="102">
        <v>333333333</v>
      </c>
      <c r="O37" s="269">
        <v>322222222.23000002</v>
      </c>
      <c r="P37" s="269">
        <v>300000000.00999999</v>
      </c>
      <c r="Q37" s="269">
        <v>288888888.88999999</v>
      </c>
      <c r="R37" s="269">
        <v>277777777.79000002</v>
      </c>
      <c r="S37" s="269">
        <v>266666666.68000001</v>
      </c>
      <c r="T37" s="269">
        <v>255555555.56999999</v>
      </c>
      <c r="U37" s="269">
        <v>244444444.46000001</v>
      </c>
      <c r="V37" s="269">
        <v>233333333.34999999</v>
      </c>
      <c r="W37" s="269">
        <v>233333333.34999999</v>
      </c>
      <c r="X37" s="269">
        <v>211111111.13</v>
      </c>
      <c r="Y37" s="269">
        <v>200000000.02000001</v>
      </c>
      <c r="Z37" s="274">
        <v>333333333</v>
      </c>
      <c r="AA37" s="240">
        <f t="shared" si="3"/>
        <v>0</v>
      </c>
      <c r="AB37" s="285">
        <v>200000000</v>
      </c>
      <c r="AC37" s="296">
        <v>188888888.91</v>
      </c>
      <c r="AD37" s="298">
        <v>177777777.80000001</v>
      </c>
      <c r="AE37" s="298">
        <v>166666666.69</v>
      </c>
      <c r="AF37" s="298">
        <v>155555555.58000001</v>
      </c>
      <c r="AG37" s="296">
        <v>253333333.36000001</v>
      </c>
      <c r="AH37" s="296">
        <v>600000000</v>
      </c>
      <c r="AI37" s="296">
        <v>583333333.33000004</v>
      </c>
      <c r="AJ37" s="298">
        <v>566666666.65999997</v>
      </c>
      <c r="AK37" s="298"/>
    </row>
    <row r="38" spans="1:39" s="105" customFormat="1" ht="13.9">
      <c r="A38" s="103" t="s">
        <v>66</v>
      </c>
      <c r="B38" s="158">
        <f>B31+B30</f>
        <v>4957818289.8500004</v>
      </c>
      <c r="C38" s="158">
        <f t="shared" ref="C38:AM38" si="21">C31+C30</f>
        <v>5054790108.3699999</v>
      </c>
      <c r="D38" s="158">
        <f t="shared" si="21"/>
        <v>5119848900.9900007</v>
      </c>
      <c r="E38" s="158">
        <f t="shared" si="21"/>
        <v>4902555739.1999998</v>
      </c>
      <c r="F38" s="158">
        <f t="shared" si="21"/>
        <v>5196424922.6899996</v>
      </c>
      <c r="G38" s="158">
        <f t="shared" si="21"/>
        <v>5265457807.79</v>
      </c>
      <c r="H38" s="158">
        <f t="shared" si="21"/>
        <v>5249946403.4599991</v>
      </c>
      <c r="I38" s="158">
        <f t="shared" si="21"/>
        <v>5224768128.3699999</v>
      </c>
      <c r="J38" s="158">
        <f t="shared" si="21"/>
        <v>5244667516.8600006</v>
      </c>
      <c r="K38" s="158">
        <f t="shared" si="21"/>
        <v>0</v>
      </c>
      <c r="L38" s="158">
        <f t="shared" si="21"/>
        <v>5269079616.04</v>
      </c>
      <c r="M38" s="265">
        <f t="shared" si="21"/>
        <v>5296642579.8200006</v>
      </c>
      <c r="N38" s="158">
        <f t="shared" si="21"/>
        <v>5702736996.4099998</v>
      </c>
      <c r="O38" s="158">
        <f t="shared" si="21"/>
        <v>5321387671.6400003</v>
      </c>
      <c r="P38" s="158">
        <f t="shared" si="21"/>
        <v>5653559094.3800001</v>
      </c>
      <c r="Q38" s="158">
        <f t="shared" si="21"/>
        <v>5366366090.7300005</v>
      </c>
      <c r="R38" s="158">
        <f t="shared" si="21"/>
        <v>5371626376.9899998</v>
      </c>
      <c r="S38" s="158">
        <f t="shared" si="21"/>
        <v>5367293850.6099997</v>
      </c>
      <c r="T38" s="158">
        <f t="shared" si="21"/>
        <v>5376560426.5200005</v>
      </c>
      <c r="U38" s="158">
        <f t="shared" si="21"/>
        <v>5186978871.6400003</v>
      </c>
      <c r="V38" s="158">
        <f t="shared" si="21"/>
        <v>5227819054.9200001</v>
      </c>
      <c r="W38" s="158">
        <f t="shared" si="21"/>
        <v>5278633424.71</v>
      </c>
      <c r="X38" s="158">
        <f t="shared" si="21"/>
        <v>5416355183.8499994</v>
      </c>
      <c r="Y38" s="158">
        <f t="shared" si="21"/>
        <v>5388991213.8299999</v>
      </c>
      <c r="Z38" s="158">
        <f t="shared" si="21"/>
        <v>5648411560</v>
      </c>
      <c r="AA38" s="240">
        <f t="shared" si="3"/>
        <v>54325436.409999847</v>
      </c>
      <c r="AB38" s="158">
        <f t="shared" si="21"/>
        <v>5644918740</v>
      </c>
      <c r="AC38" s="158">
        <f t="shared" si="21"/>
        <v>5405107589.5900002</v>
      </c>
      <c r="AD38" s="158">
        <f t="shared" si="21"/>
        <v>5439349988.5900002</v>
      </c>
      <c r="AE38" s="158">
        <f t="shared" si="21"/>
        <v>5558142985.1400003</v>
      </c>
      <c r="AF38" s="158">
        <f t="shared" si="21"/>
        <v>5507949675.6700001</v>
      </c>
      <c r="AG38" s="158">
        <f t="shared" si="21"/>
        <v>5589001994.0700006</v>
      </c>
      <c r="AH38" s="158">
        <f t="shared" si="21"/>
        <v>6005564748.6300011</v>
      </c>
      <c r="AI38" s="158">
        <f t="shared" si="21"/>
        <v>6077296769.4000006</v>
      </c>
      <c r="AJ38" s="158">
        <f t="shared" si="21"/>
        <v>6091464349.0699997</v>
      </c>
      <c r="AK38" s="158">
        <f t="shared" si="21"/>
        <v>0</v>
      </c>
      <c r="AL38" s="158">
        <f t="shared" si="21"/>
        <v>0</v>
      </c>
      <c r="AM38" s="158">
        <f t="shared" si="21"/>
        <v>0</v>
      </c>
    </row>
    <row r="39" spans="1:39" ht="24">
      <c r="A39" s="108" t="s">
        <v>67</v>
      </c>
      <c r="B39" s="229">
        <v>440188212.41000003</v>
      </c>
      <c r="C39" s="229">
        <v>440187812.41000003</v>
      </c>
      <c r="D39" s="229">
        <v>440187412.41000003</v>
      </c>
      <c r="E39" s="229">
        <v>440445258.45999998</v>
      </c>
      <c r="F39" s="229">
        <v>440445258.45999998</v>
      </c>
      <c r="G39" s="229">
        <v>440447458.45999998</v>
      </c>
      <c r="H39" s="229">
        <v>440446058.45999998</v>
      </c>
      <c r="I39" s="229">
        <v>440452035.45999998</v>
      </c>
      <c r="J39" s="229">
        <v>440473335.45999998</v>
      </c>
      <c r="K39" s="229"/>
      <c r="L39" s="229">
        <v>440474035.45999998</v>
      </c>
      <c r="M39" s="266">
        <v>440474635.45999998</v>
      </c>
      <c r="N39" s="102">
        <v>440474635</v>
      </c>
      <c r="O39" s="269">
        <v>440475435.45999998</v>
      </c>
      <c r="P39" s="269">
        <v>440598100.00999999</v>
      </c>
      <c r="Q39" s="269">
        <v>440512410.63999999</v>
      </c>
      <c r="R39" s="269">
        <v>440492010.63999999</v>
      </c>
      <c r="S39" s="269">
        <v>440492410.63999999</v>
      </c>
      <c r="T39" s="269">
        <v>440491810.63999999</v>
      </c>
      <c r="U39" s="269">
        <v>650110927.27999997</v>
      </c>
      <c r="V39" s="269">
        <v>650050927.27999997</v>
      </c>
      <c r="W39" s="269">
        <v>650072327.27999997</v>
      </c>
      <c r="X39" s="269">
        <v>650020594.39999998</v>
      </c>
      <c r="Y39" s="269">
        <v>650021994.39999998</v>
      </c>
      <c r="Z39" s="277">
        <v>440474635</v>
      </c>
      <c r="AA39" s="240">
        <f t="shared" si="3"/>
        <v>0</v>
      </c>
      <c r="AB39" s="278">
        <v>650021994</v>
      </c>
      <c r="AC39" s="292">
        <v>649995852.89999998</v>
      </c>
      <c r="AD39" s="294">
        <v>649996252.89999998</v>
      </c>
      <c r="AE39" s="294">
        <v>650108214.39999998</v>
      </c>
      <c r="AF39" s="294">
        <v>650103564.39999998</v>
      </c>
      <c r="AG39" s="292">
        <v>650079264.39999998</v>
      </c>
      <c r="AH39" s="292">
        <v>650220611.03999996</v>
      </c>
      <c r="AI39" s="292">
        <v>650222944.03999996</v>
      </c>
      <c r="AJ39" s="294">
        <v>650222444.03999996</v>
      </c>
      <c r="AK39" s="294"/>
    </row>
    <row r="40" spans="1:39" ht="14.25">
      <c r="A40" s="107" t="s">
        <v>68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/>
      <c r="L40" s="229">
        <v>0</v>
      </c>
      <c r="M40" s="266">
        <v>0</v>
      </c>
      <c r="N40" s="102"/>
      <c r="O40" s="269">
        <v>0</v>
      </c>
      <c r="P40" s="269">
        <v>0</v>
      </c>
      <c r="Q40" s="269">
        <v>0</v>
      </c>
      <c r="R40" s="269">
        <v>0</v>
      </c>
      <c r="S40" s="269">
        <v>0</v>
      </c>
      <c r="T40" s="269">
        <v>0</v>
      </c>
      <c r="U40" s="269">
        <v>0</v>
      </c>
      <c r="V40" s="269">
        <v>0</v>
      </c>
      <c r="W40" s="269">
        <v>0</v>
      </c>
      <c r="X40" s="269">
        <v>0</v>
      </c>
      <c r="Y40" s="269">
        <v>0</v>
      </c>
      <c r="Z40" s="269"/>
      <c r="AA40" s="240">
        <f t="shared" si="3"/>
        <v>0</v>
      </c>
      <c r="AB40" s="270"/>
      <c r="AC40" s="295">
        <v>0</v>
      </c>
      <c r="AD40" s="297">
        <v>0</v>
      </c>
      <c r="AE40" s="297">
        <v>0</v>
      </c>
      <c r="AF40" s="297">
        <v>0</v>
      </c>
      <c r="AG40" s="295">
        <v>0</v>
      </c>
      <c r="AH40" s="295">
        <v>0</v>
      </c>
      <c r="AI40" s="295">
        <v>0</v>
      </c>
      <c r="AJ40" s="297">
        <v>0</v>
      </c>
      <c r="AK40" s="297"/>
    </row>
    <row r="41" spans="1:39" s="105" customFormat="1" ht="13.9">
      <c r="A41" s="103" t="s">
        <v>69</v>
      </c>
      <c r="B41" s="161">
        <f t="shared" ref="B41:AM41" si="22">B43+B42</f>
        <v>207414783.40000001</v>
      </c>
      <c r="C41" s="161">
        <f t="shared" si="22"/>
        <v>208432994.40000001</v>
      </c>
      <c r="D41" s="161">
        <f t="shared" si="22"/>
        <v>240888796.68000001</v>
      </c>
      <c r="E41" s="161">
        <f t="shared" si="22"/>
        <v>313217558.68000001</v>
      </c>
      <c r="F41" s="161">
        <f t="shared" si="22"/>
        <v>333515072.27999997</v>
      </c>
      <c r="G41" s="161">
        <f t="shared" si="22"/>
        <v>364136876.68000001</v>
      </c>
      <c r="H41" s="161">
        <f t="shared" si="22"/>
        <v>376252625.77999997</v>
      </c>
      <c r="I41" s="161">
        <f t="shared" si="22"/>
        <v>390902868.48000002</v>
      </c>
      <c r="J41" s="161">
        <f t="shared" si="22"/>
        <v>405113533.68000001</v>
      </c>
      <c r="K41" s="161">
        <f t="shared" si="22"/>
        <v>0</v>
      </c>
      <c r="L41" s="161">
        <f t="shared" si="22"/>
        <v>444623879.48000002</v>
      </c>
      <c r="M41" s="267">
        <f t="shared" si="22"/>
        <v>449035311.58000004</v>
      </c>
      <c r="N41" s="161">
        <f t="shared" si="22"/>
        <v>169274732</v>
      </c>
      <c r="O41" s="161">
        <f t="shared" si="22"/>
        <v>174323867.68000001</v>
      </c>
      <c r="P41" s="161">
        <f t="shared" si="22"/>
        <v>178643442.38000003</v>
      </c>
      <c r="Q41" s="161">
        <f t="shared" si="22"/>
        <v>237833998.98000002</v>
      </c>
      <c r="R41" s="161">
        <f t="shared" si="22"/>
        <v>272306246.58000004</v>
      </c>
      <c r="S41" s="161">
        <f t="shared" si="22"/>
        <v>335489644.08000004</v>
      </c>
      <c r="T41" s="161">
        <f t="shared" si="22"/>
        <v>349823639.88</v>
      </c>
      <c r="U41" s="161">
        <f t="shared" si="22"/>
        <v>384958175.98000002</v>
      </c>
      <c r="V41" s="161">
        <f t="shared" si="22"/>
        <v>396187221.77999997</v>
      </c>
      <c r="W41" s="161">
        <f t="shared" si="22"/>
        <v>406040175.34000003</v>
      </c>
      <c r="X41" s="161">
        <f t="shared" si="22"/>
        <v>424546086.33000004</v>
      </c>
      <c r="Y41" s="161">
        <f t="shared" si="22"/>
        <v>458209101.38999999</v>
      </c>
      <c r="Z41" s="161">
        <f t="shared" si="22"/>
        <v>111899621</v>
      </c>
      <c r="AA41" s="240">
        <f t="shared" si="3"/>
        <v>57375111</v>
      </c>
      <c r="AB41" s="161">
        <f t="shared" si="22"/>
        <v>-28220167</v>
      </c>
      <c r="AC41" s="161">
        <f t="shared" si="22"/>
        <v>152149317.49000001</v>
      </c>
      <c r="AD41" s="161">
        <f t="shared" si="22"/>
        <v>189475199.5</v>
      </c>
      <c r="AE41" s="161">
        <f t="shared" si="22"/>
        <v>216028597.67000002</v>
      </c>
      <c r="AF41" s="161">
        <f t="shared" si="22"/>
        <v>265224305.49000001</v>
      </c>
      <c r="AG41" s="161">
        <f t="shared" si="22"/>
        <v>308408133.29000002</v>
      </c>
      <c r="AH41" s="161">
        <f t="shared" si="22"/>
        <v>411269627.09000003</v>
      </c>
      <c r="AI41" s="161">
        <f t="shared" si="22"/>
        <v>308408133.29000002</v>
      </c>
      <c r="AJ41" s="161">
        <f t="shared" si="22"/>
        <v>397026929.17000002</v>
      </c>
      <c r="AK41" s="161">
        <f t="shared" si="22"/>
        <v>0</v>
      </c>
      <c r="AL41" s="161">
        <f t="shared" si="22"/>
        <v>0</v>
      </c>
      <c r="AM41" s="161">
        <f t="shared" si="22"/>
        <v>0</v>
      </c>
    </row>
    <row r="42" spans="1:39" ht="14.25">
      <c r="A42" s="108" t="s">
        <v>70</v>
      </c>
      <c r="B42" s="229">
        <v>176608120</v>
      </c>
      <c r="C42" s="229">
        <v>151168883</v>
      </c>
      <c r="D42" s="229">
        <v>146956560.58000001</v>
      </c>
      <c r="E42" s="229">
        <v>146956560.58000001</v>
      </c>
      <c r="F42" s="229">
        <v>146956560.58000001</v>
      </c>
      <c r="G42" s="229">
        <v>146956560.58000001</v>
      </c>
      <c r="H42" s="229">
        <v>146956560.58000001</v>
      </c>
      <c r="I42" s="229">
        <v>146956560.58000001</v>
      </c>
      <c r="J42" s="229">
        <v>146956560.58000001</v>
      </c>
      <c r="K42" s="229"/>
      <c r="L42" s="229">
        <v>146956560.58000001</v>
      </c>
      <c r="M42" s="266">
        <v>146956560.58000001</v>
      </c>
      <c r="N42" s="102">
        <v>146956560</v>
      </c>
      <c r="O42" s="269">
        <v>146956560.58000001</v>
      </c>
      <c r="P42" s="269">
        <v>146956560.58000001</v>
      </c>
      <c r="Q42" s="269">
        <v>146956560.58000001</v>
      </c>
      <c r="R42" s="269">
        <v>146956560.58000001</v>
      </c>
      <c r="S42" s="269">
        <v>146956560.58000001</v>
      </c>
      <c r="T42" s="269">
        <v>146956560.58000001</v>
      </c>
      <c r="U42" s="269">
        <v>146956560.58000001</v>
      </c>
      <c r="V42" s="269">
        <v>146956560.58000001</v>
      </c>
      <c r="W42" s="269">
        <v>146956560.58000001</v>
      </c>
      <c r="X42" s="269">
        <v>146956560.58000001</v>
      </c>
      <c r="Y42" s="269">
        <v>146956560.58000001</v>
      </c>
      <c r="Z42" s="277">
        <v>146956560</v>
      </c>
      <c r="AA42" s="240">
        <f t="shared" si="3"/>
        <v>0</v>
      </c>
      <c r="AB42" s="278">
        <v>111899621</v>
      </c>
      <c r="AC42" s="292">
        <v>107531200.98999999</v>
      </c>
      <c r="AD42" s="294">
        <v>107531200.98999999</v>
      </c>
      <c r="AE42" s="294">
        <v>107531200.98999999</v>
      </c>
      <c r="AF42" s="294">
        <v>107531200.98999999</v>
      </c>
      <c r="AG42" s="292">
        <v>107531200.98999999</v>
      </c>
      <c r="AH42" s="292">
        <v>107531200.98999999</v>
      </c>
      <c r="AI42" s="292">
        <v>107531200.98999999</v>
      </c>
      <c r="AJ42" s="294">
        <v>-588870.14</v>
      </c>
      <c r="AK42" s="294"/>
    </row>
    <row r="43" spans="1:39" ht="14.25">
      <c r="A43" s="108" t="s">
        <v>71</v>
      </c>
      <c r="B43" s="229">
        <v>30806663.399999999</v>
      </c>
      <c r="C43" s="229">
        <v>57264111.399999999</v>
      </c>
      <c r="D43" s="229">
        <v>93932236.099999994</v>
      </c>
      <c r="E43" s="229">
        <v>166260998.09999999</v>
      </c>
      <c r="F43" s="229">
        <v>186558511.69999999</v>
      </c>
      <c r="G43" s="229">
        <v>217180316.09999999</v>
      </c>
      <c r="H43" s="229">
        <v>229296065.19999999</v>
      </c>
      <c r="I43" s="229">
        <v>243946307.90000001</v>
      </c>
      <c r="J43" s="229">
        <v>258156973.09999999</v>
      </c>
      <c r="K43" s="229"/>
      <c r="L43" s="229">
        <v>297667318.89999998</v>
      </c>
      <c r="M43" s="266">
        <v>302078751</v>
      </c>
      <c r="N43" s="102">
        <f>169274732-146956560</f>
        <v>22318172</v>
      </c>
      <c r="O43" s="269">
        <v>27367307.100000001</v>
      </c>
      <c r="P43" s="269">
        <v>31686881.800000001</v>
      </c>
      <c r="Q43" s="269">
        <v>90877438.400000006</v>
      </c>
      <c r="R43" s="269">
        <v>125349686</v>
      </c>
      <c r="S43" s="269">
        <v>188533083.5</v>
      </c>
      <c r="T43" s="269">
        <v>202867079.30000001</v>
      </c>
      <c r="U43" s="269">
        <v>238001615.40000001</v>
      </c>
      <c r="V43" s="269">
        <v>249230661.19999999</v>
      </c>
      <c r="W43" s="269">
        <v>259083614.75999999</v>
      </c>
      <c r="X43" s="269">
        <v>277589525.75</v>
      </c>
      <c r="Y43" s="269">
        <v>311252540.81</v>
      </c>
      <c r="Z43" s="269">
        <v>-35056939</v>
      </c>
      <c r="AA43" s="240">
        <f t="shared" si="3"/>
        <v>57375111</v>
      </c>
      <c r="AB43" s="270">
        <f>84294453-16858891-2000000-65002199-(138621552+1931599)</f>
        <v>-140119788</v>
      </c>
      <c r="AC43" s="296">
        <v>44618116.5</v>
      </c>
      <c r="AD43" s="298">
        <v>81943998.510000005</v>
      </c>
      <c r="AE43" s="298">
        <v>108497396.68000001</v>
      </c>
      <c r="AF43" s="298">
        <v>157693104.5</v>
      </c>
      <c r="AG43" s="296">
        <v>200876932.30000001</v>
      </c>
      <c r="AH43" s="296">
        <v>303738426.10000002</v>
      </c>
      <c r="AI43" s="296">
        <v>200876932.30000001</v>
      </c>
      <c r="AJ43" s="298">
        <v>397615799.31</v>
      </c>
      <c r="AK43" s="298"/>
    </row>
    <row r="44" spans="1:39" s="105" customFormat="1" ht="13.9">
      <c r="A44" s="103" t="s">
        <v>72</v>
      </c>
      <c r="B44" s="161">
        <f t="shared" ref="B44:AM44" si="23">SUM(B45:B49)</f>
        <v>724817575</v>
      </c>
      <c r="C44" s="161">
        <f t="shared" si="23"/>
        <v>724820379</v>
      </c>
      <c r="D44" s="161">
        <f t="shared" si="23"/>
        <v>742574556.88</v>
      </c>
      <c r="E44" s="161">
        <f t="shared" si="23"/>
        <v>691317177.79999995</v>
      </c>
      <c r="F44" s="161">
        <f t="shared" si="23"/>
        <v>691317177.79999995</v>
      </c>
      <c r="G44" s="161">
        <f t="shared" si="23"/>
        <v>742574556.88</v>
      </c>
      <c r="H44" s="161">
        <f t="shared" si="23"/>
        <v>691317177.79999995</v>
      </c>
      <c r="I44" s="161">
        <f t="shared" si="23"/>
        <v>691317177.79999995</v>
      </c>
      <c r="J44" s="161">
        <f t="shared" si="23"/>
        <v>691317177.79999995</v>
      </c>
      <c r="K44" s="161">
        <f t="shared" si="23"/>
        <v>0</v>
      </c>
      <c r="L44" s="161">
        <f t="shared" si="23"/>
        <v>691317177.79999995</v>
      </c>
      <c r="M44" s="267">
        <f t="shared" si="23"/>
        <v>691317177.79999995</v>
      </c>
      <c r="N44" s="161">
        <f t="shared" si="23"/>
        <v>769946284.79059994</v>
      </c>
      <c r="O44" s="161">
        <f t="shared" si="23"/>
        <v>691317177.79999995</v>
      </c>
      <c r="P44" s="161">
        <f t="shared" si="23"/>
        <v>691317177.79999995</v>
      </c>
      <c r="Q44" s="161">
        <f t="shared" si="23"/>
        <v>691317177.79999995</v>
      </c>
      <c r="R44" s="161">
        <f t="shared" si="23"/>
        <v>691317177.79999995</v>
      </c>
      <c r="S44" s="161">
        <f t="shared" si="23"/>
        <v>691317177.79999995</v>
      </c>
      <c r="T44" s="161">
        <f t="shared" si="23"/>
        <v>691317177.79999995</v>
      </c>
      <c r="U44" s="161">
        <f t="shared" si="23"/>
        <v>691317177.79999995</v>
      </c>
      <c r="V44" s="161">
        <f t="shared" si="23"/>
        <v>691317177.79999995</v>
      </c>
      <c r="W44" s="161">
        <f t="shared" si="23"/>
        <v>691317177.79999995</v>
      </c>
      <c r="X44" s="161">
        <f t="shared" si="23"/>
        <v>691317177.79999995</v>
      </c>
      <c r="Y44" s="161">
        <f t="shared" si="23"/>
        <v>691317177.79999995</v>
      </c>
      <c r="Z44" s="161">
        <f t="shared" si="23"/>
        <v>755602507</v>
      </c>
      <c r="AA44" s="240">
        <f t="shared" si="3"/>
        <v>14343777.790599942</v>
      </c>
      <c r="AB44" s="161">
        <f t="shared" si="23"/>
        <v>782509305</v>
      </c>
      <c r="AC44" s="161">
        <f t="shared" si="23"/>
        <v>596928507.60000002</v>
      </c>
      <c r="AD44" s="161">
        <f t="shared" si="23"/>
        <v>596928507.60000002</v>
      </c>
      <c r="AE44" s="161">
        <f t="shared" si="23"/>
        <v>596928507.60000002</v>
      </c>
      <c r="AF44" s="161">
        <f t="shared" si="23"/>
        <v>596928507.60000002</v>
      </c>
      <c r="AG44" s="161">
        <f t="shared" si="23"/>
        <v>596928507.60000002</v>
      </c>
      <c r="AH44" s="161">
        <f t="shared" si="23"/>
        <v>596928507.60000002</v>
      </c>
      <c r="AI44" s="161">
        <f t="shared" si="23"/>
        <v>596928507.60000002</v>
      </c>
      <c r="AJ44" s="161">
        <f t="shared" si="23"/>
        <v>613376848.60000002</v>
      </c>
      <c r="AK44" s="161">
        <f t="shared" si="23"/>
        <v>0</v>
      </c>
      <c r="AL44" s="161">
        <f t="shared" si="23"/>
        <v>0</v>
      </c>
      <c r="AM44" s="161">
        <f t="shared" si="23"/>
        <v>0</v>
      </c>
    </row>
    <row r="45" spans="1:39" ht="14.25">
      <c r="A45" s="108" t="s">
        <v>73</v>
      </c>
      <c r="B45" s="229">
        <v>90967158</v>
      </c>
      <c r="C45" s="229">
        <v>108504682</v>
      </c>
      <c r="D45" s="229">
        <v>108552071</v>
      </c>
      <c r="E45" s="229">
        <v>108552071</v>
      </c>
      <c r="F45" s="229">
        <v>108552071</v>
      </c>
      <c r="G45" s="229">
        <v>108552071</v>
      </c>
      <c r="H45" s="229">
        <v>108552071</v>
      </c>
      <c r="I45" s="229">
        <v>108552071</v>
      </c>
      <c r="J45" s="229">
        <v>108552071</v>
      </c>
      <c r="K45" s="229"/>
      <c r="L45" s="229">
        <v>108552071</v>
      </c>
      <c r="M45" s="266">
        <v>108552071</v>
      </c>
      <c r="N45" s="102">
        <v>126744666</v>
      </c>
      <c r="O45" s="269">
        <v>108552071</v>
      </c>
      <c r="P45" s="269">
        <v>108552071</v>
      </c>
      <c r="Q45" s="269">
        <v>108552071</v>
      </c>
      <c r="R45" s="269">
        <v>108552071</v>
      </c>
      <c r="S45" s="269">
        <v>108552071</v>
      </c>
      <c r="T45" s="269">
        <v>108552071</v>
      </c>
      <c r="U45" s="269">
        <v>108552071</v>
      </c>
      <c r="V45" s="269">
        <v>108552071</v>
      </c>
      <c r="W45" s="269">
        <v>108552071</v>
      </c>
      <c r="X45" s="269">
        <v>108552071</v>
      </c>
      <c r="Y45" s="269">
        <v>108552071</v>
      </c>
      <c r="Z45" s="277">
        <v>112400888</v>
      </c>
      <c r="AA45" s="240">
        <f t="shared" si="3"/>
        <v>14343778</v>
      </c>
      <c r="AB45" s="278">
        <v>129259779</v>
      </c>
      <c r="AC45" s="312">
        <v>112400889</v>
      </c>
      <c r="AD45" s="313">
        <v>112400889</v>
      </c>
      <c r="AE45" s="313">
        <v>112400889</v>
      </c>
      <c r="AF45" s="313">
        <v>112400889</v>
      </c>
      <c r="AG45" s="312">
        <v>112400889</v>
      </c>
      <c r="AH45" s="312">
        <v>112400889</v>
      </c>
      <c r="AI45" s="312">
        <v>112400889</v>
      </c>
      <c r="AJ45" s="313">
        <v>129259780</v>
      </c>
      <c r="AK45" s="313"/>
    </row>
    <row r="46" spans="1:39" ht="24">
      <c r="A46" s="108" t="s">
        <v>74</v>
      </c>
      <c r="B46" s="229">
        <v>4500000</v>
      </c>
      <c r="C46" s="229">
        <v>4500000</v>
      </c>
      <c r="D46" s="229">
        <v>4500000</v>
      </c>
      <c r="E46" s="229">
        <v>4500000</v>
      </c>
      <c r="F46" s="229">
        <v>4500000</v>
      </c>
      <c r="G46" s="229">
        <v>4500000</v>
      </c>
      <c r="H46" s="229">
        <v>4500000</v>
      </c>
      <c r="I46" s="229">
        <v>4500000</v>
      </c>
      <c r="J46" s="229">
        <v>4500000</v>
      </c>
      <c r="K46" s="229"/>
      <c r="L46" s="229">
        <v>4500000</v>
      </c>
      <c r="M46" s="266">
        <v>4500000</v>
      </c>
      <c r="N46" s="102">
        <f>[2]CiE!$M$52+1434640</f>
        <v>5934640</v>
      </c>
      <c r="O46" s="269">
        <v>4500000</v>
      </c>
      <c r="P46" s="269">
        <v>4500000</v>
      </c>
      <c r="Q46" s="269">
        <v>4500000</v>
      </c>
      <c r="R46" s="269">
        <v>4500000</v>
      </c>
      <c r="S46" s="269">
        <v>4500000</v>
      </c>
      <c r="T46" s="269">
        <v>4500000</v>
      </c>
      <c r="U46" s="269">
        <v>4500000</v>
      </c>
      <c r="V46" s="269">
        <v>4500000</v>
      </c>
      <c r="W46" s="269">
        <v>4500000</v>
      </c>
      <c r="X46" s="269">
        <v>4500000</v>
      </c>
      <c r="Y46" s="269">
        <v>4500000</v>
      </c>
      <c r="Z46" s="277">
        <v>5934640</v>
      </c>
      <c r="AA46" s="240">
        <f t="shared" si="3"/>
        <v>0</v>
      </c>
      <c r="AB46" s="270">
        <v>5934640</v>
      </c>
      <c r="AC46" s="314">
        <v>3538825</v>
      </c>
      <c r="AD46" s="315">
        <v>3538825</v>
      </c>
      <c r="AE46" s="315">
        <v>3538825</v>
      </c>
      <c r="AF46" s="315">
        <v>3538825</v>
      </c>
      <c r="AG46" s="314">
        <v>3538825</v>
      </c>
      <c r="AH46" s="314">
        <v>3538825</v>
      </c>
      <c r="AI46" s="314">
        <v>3538825</v>
      </c>
      <c r="AJ46" s="315">
        <v>3538825</v>
      </c>
      <c r="AK46" s="315"/>
    </row>
    <row r="47" spans="1:39" ht="14.25">
      <c r="A47" s="108" t="s">
        <v>75</v>
      </c>
      <c r="B47" s="229">
        <v>627915777</v>
      </c>
      <c r="C47" s="229">
        <v>559802030</v>
      </c>
      <c r="D47" s="229">
        <v>576830466.79999995</v>
      </c>
      <c r="E47" s="229">
        <v>576830466.79999995</v>
      </c>
      <c r="F47" s="229">
        <v>576830466.79999995</v>
      </c>
      <c r="G47" s="229">
        <v>576830466.79999995</v>
      </c>
      <c r="H47" s="229">
        <v>576830466.79999995</v>
      </c>
      <c r="I47" s="229">
        <v>576830466.79999995</v>
      </c>
      <c r="J47" s="229">
        <v>576830466.79999995</v>
      </c>
      <c r="K47" s="229"/>
      <c r="L47" s="229">
        <v>576830466.79999995</v>
      </c>
      <c r="M47" s="266">
        <v>576830466.79999995</v>
      </c>
      <c r="N47" s="102">
        <f>[2]CiE!$I$52</f>
        <v>586738856.19999993</v>
      </c>
      <c r="O47" s="269">
        <v>576830466.79999995</v>
      </c>
      <c r="P47" s="269">
        <v>576830466.79999995</v>
      </c>
      <c r="Q47" s="269">
        <v>576830466.79999995</v>
      </c>
      <c r="R47" s="269">
        <v>576830466.79999995</v>
      </c>
      <c r="S47" s="269">
        <v>576830466.79999995</v>
      </c>
      <c r="T47" s="269">
        <v>576830466.79999995</v>
      </c>
      <c r="U47" s="269">
        <v>576830466.79999995</v>
      </c>
      <c r="V47" s="269">
        <v>576830466.79999995</v>
      </c>
      <c r="W47" s="269">
        <v>576830466.79999995</v>
      </c>
      <c r="X47" s="269">
        <v>576830466.79999995</v>
      </c>
      <c r="Y47" s="269">
        <v>576830466.79999995</v>
      </c>
      <c r="Z47" s="277">
        <v>586738856</v>
      </c>
      <c r="AA47" s="240">
        <f t="shared" si="3"/>
        <v>0.19999992847442627</v>
      </c>
      <c r="AB47" s="278">
        <f>586738856-6529659</f>
        <v>580209197</v>
      </c>
      <c r="AC47" s="314">
        <v>479554153.60000002</v>
      </c>
      <c r="AD47" s="315">
        <v>479554153.60000002</v>
      </c>
      <c r="AE47" s="315">
        <v>479554153.60000002</v>
      </c>
      <c r="AF47" s="315">
        <v>479554153.60000002</v>
      </c>
      <c r="AG47" s="314">
        <v>479554153.60000002</v>
      </c>
      <c r="AH47" s="314">
        <v>479554153.60000002</v>
      </c>
      <c r="AI47" s="314">
        <v>479554153.60000002</v>
      </c>
      <c r="AJ47" s="315">
        <v>479143603.60000002</v>
      </c>
      <c r="AK47" s="315"/>
    </row>
    <row r="48" spans="1:39" ht="14.25">
      <c r="A48" s="108" t="s">
        <v>76</v>
      </c>
      <c r="B48" s="230">
        <v>0</v>
      </c>
      <c r="C48" s="230">
        <v>50579027</v>
      </c>
      <c r="D48" s="230">
        <v>51257379.079999998</v>
      </c>
      <c r="E48" s="230">
        <v>0</v>
      </c>
      <c r="F48" s="230">
        <v>0</v>
      </c>
      <c r="G48" s="230">
        <v>51257379.079999998</v>
      </c>
      <c r="H48" s="230">
        <v>0</v>
      </c>
      <c r="I48" s="230">
        <v>0</v>
      </c>
      <c r="J48" s="230">
        <v>0</v>
      </c>
      <c r="K48" s="230"/>
      <c r="L48" s="230">
        <v>0</v>
      </c>
      <c r="M48" s="268">
        <v>0</v>
      </c>
      <c r="N48" s="102">
        <f>[2]CiE!$Q$52</f>
        <v>50528122.590599999</v>
      </c>
      <c r="O48" s="279">
        <v>0</v>
      </c>
      <c r="P48" s="279">
        <v>0</v>
      </c>
      <c r="Q48" s="279">
        <v>0</v>
      </c>
      <c r="R48" s="279">
        <v>0</v>
      </c>
      <c r="S48" s="279">
        <v>0</v>
      </c>
      <c r="T48" s="279">
        <v>0</v>
      </c>
      <c r="U48" s="279">
        <v>0</v>
      </c>
      <c r="V48" s="279">
        <v>0</v>
      </c>
      <c r="W48" s="279">
        <v>0</v>
      </c>
      <c r="X48" s="279">
        <v>0</v>
      </c>
      <c r="Y48" s="279">
        <v>0</v>
      </c>
      <c r="Z48" s="277">
        <v>50528123</v>
      </c>
      <c r="AA48" s="240">
        <f t="shared" si="3"/>
        <v>-0.40940000116825104</v>
      </c>
      <c r="AB48" s="277">
        <v>67105689</v>
      </c>
      <c r="AC48" s="314">
        <v>0</v>
      </c>
      <c r="AD48" s="315">
        <v>0</v>
      </c>
      <c r="AE48" s="315">
        <v>0</v>
      </c>
      <c r="AF48" s="315">
        <v>0</v>
      </c>
      <c r="AG48" s="314">
        <v>0</v>
      </c>
      <c r="AH48" s="314">
        <v>0</v>
      </c>
      <c r="AI48" s="314">
        <v>0</v>
      </c>
      <c r="AJ48" s="315">
        <v>0</v>
      </c>
      <c r="AK48" s="315"/>
    </row>
    <row r="49" spans="1:39" ht="14.25">
      <c r="A49" s="108" t="s">
        <v>77</v>
      </c>
      <c r="B49" s="230">
        <v>1434640</v>
      </c>
      <c r="C49" s="230">
        <v>1434640</v>
      </c>
      <c r="D49" s="230">
        <v>1434640</v>
      </c>
      <c r="E49" s="230">
        <v>1434640</v>
      </c>
      <c r="F49" s="230">
        <v>1434640</v>
      </c>
      <c r="G49" s="230">
        <v>1434640</v>
      </c>
      <c r="H49" s="230">
        <v>1434640</v>
      </c>
      <c r="I49" s="230">
        <v>1434640</v>
      </c>
      <c r="J49" s="230">
        <v>1434640</v>
      </c>
      <c r="K49" s="230"/>
      <c r="L49" s="230">
        <v>1434640</v>
      </c>
      <c r="M49" s="268">
        <v>1434640</v>
      </c>
      <c r="N49" s="102"/>
      <c r="O49" s="279">
        <v>1434640</v>
      </c>
      <c r="P49" s="279">
        <v>1434640</v>
      </c>
      <c r="Q49" s="279">
        <v>1434640</v>
      </c>
      <c r="R49" s="279">
        <v>1434640</v>
      </c>
      <c r="S49" s="279">
        <v>1434640</v>
      </c>
      <c r="T49" s="279">
        <v>1434640</v>
      </c>
      <c r="U49" s="279">
        <v>1434640</v>
      </c>
      <c r="V49" s="279">
        <v>1434640</v>
      </c>
      <c r="W49" s="279">
        <v>1434640</v>
      </c>
      <c r="X49" s="279">
        <v>1434640</v>
      </c>
      <c r="Y49" s="279">
        <v>1434640</v>
      </c>
      <c r="Z49" s="277"/>
      <c r="AA49" s="240">
        <f t="shared" si="3"/>
        <v>0</v>
      </c>
      <c r="AB49" s="270"/>
      <c r="AC49" s="316">
        <v>1434640</v>
      </c>
      <c r="AD49" s="317">
        <v>1434640</v>
      </c>
      <c r="AE49" s="317">
        <v>1434640</v>
      </c>
      <c r="AF49" s="317">
        <v>1434640</v>
      </c>
      <c r="AG49" s="316">
        <v>1434640</v>
      </c>
      <c r="AH49" s="316">
        <v>1434640</v>
      </c>
      <c r="AI49" s="316">
        <v>1434640</v>
      </c>
      <c r="AJ49" s="317">
        <v>1434640</v>
      </c>
      <c r="AK49" s="317"/>
    </row>
    <row r="50" spans="1:39" s="105" customFormat="1" ht="13.9">
      <c r="A50" s="103" t="s">
        <v>78</v>
      </c>
      <c r="B50" s="158">
        <f>SUM(B39,B40,B41,B44)</f>
        <v>1372420570.8099999</v>
      </c>
      <c r="C50" s="158">
        <f t="shared" ref="C50:N50" si="24">SUM(C39,C40,C41,C44)</f>
        <v>1373441185.8099999</v>
      </c>
      <c r="D50" s="158">
        <f t="shared" si="24"/>
        <v>1423650765.97</v>
      </c>
      <c r="E50" s="158">
        <f t="shared" si="24"/>
        <v>1444979994.9400001</v>
      </c>
      <c r="F50" s="158">
        <f t="shared" si="24"/>
        <v>1465277508.54</v>
      </c>
      <c r="G50" s="158">
        <f t="shared" si="24"/>
        <v>1547158892.02</v>
      </c>
      <c r="H50" s="158">
        <f t="shared" si="24"/>
        <v>1508015862.04</v>
      </c>
      <c r="I50" s="158">
        <f t="shared" si="24"/>
        <v>1522672081.74</v>
      </c>
      <c r="J50" s="158">
        <f t="shared" si="24"/>
        <v>1536904046.9400001</v>
      </c>
      <c r="K50" s="158">
        <f t="shared" si="24"/>
        <v>0</v>
      </c>
      <c r="L50" s="158">
        <f t="shared" si="24"/>
        <v>1576415092.74</v>
      </c>
      <c r="M50" s="265">
        <f t="shared" si="24"/>
        <v>1580827124.8399999</v>
      </c>
      <c r="N50" s="158">
        <f t="shared" si="24"/>
        <v>1379695651.7905998</v>
      </c>
      <c r="O50" s="158">
        <f t="shared" ref="O50:AB50" si="25">SUM(O39,O40,O41,O44)</f>
        <v>1306116480.9400001</v>
      </c>
      <c r="P50" s="158">
        <f t="shared" si="25"/>
        <v>1310558720.1900001</v>
      </c>
      <c r="Q50" s="158">
        <f t="shared" si="25"/>
        <v>1369663587.4200001</v>
      </c>
      <c r="R50" s="158">
        <f t="shared" si="25"/>
        <v>1404115435.02</v>
      </c>
      <c r="S50" s="158">
        <f t="shared" si="25"/>
        <v>1467299232.52</v>
      </c>
      <c r="T50" s="158">
        <f t="shared" si="25"/>
        <v>1481632628.3199999</v>
      </c>
      <c r="U50" s="158">
        <f t="shared" si="25"/>
        <v>1726386281.0599999</v>
      </c>
      <c r="V50" s="158">
        <f t="shared" si="25"/>
        <v>1737555326.8599999</v>
      </c>
      <c r="W50" s="158">
        <f t="shared" si="25"/>
        <v>1747429680.4200001</v>
      </c>
      <c r="X50" s="158">
        <f t="shared" si="25"/>
        <v>1765883858.53</v>
      </c>
      <c r="Y50" s="158">
        <f t="shared" si="25"/>
        <v>1799548273.5899999</v>
      </c>
      <c r="Z50" s="158">
        <f t="shared" ref="Z50" si="26">SUM(Z39,Z40,Z41,Z44)</f>
        <v>1307976763</v>
      </c>
      <c r="AA50" s="240">
        <f t="shared" si="3"/>
        <v>71718888.790599823</v>
      </c>
      <c r="AB50" s="158">
        <f t="shared" si="25"/>
        <v>1404311132</v>
      </c>
      <c r="AC50" s="158">
        <f t="shared" ref="AC50:AF50" si="27">SUM(AC39,AC40,AC41,AC44)</f>
        <v>1399073677.99</v>
      </c>
      <c r="AD50" s="158">
        <f t="shared" si="27"/>
        <v>1436399960</v>
      </c>
      <c r="AE50" s="158">
        <f t="shared" si="27"/>
        <v>1463065319.6700001</v>
      </c>
      <c r="AF50" s="158">
        <f t="shared" si="27"/>
        <v>1512256377.49</v>
      </c>
      <c r="AG50" s="311">
        <f t="shared" ref="AG50:AJ50" si="28">SUM(AG39,AG40,AG41,AG44)</f>
        <v>1555415905.29</v>
      </c>
      <c r="AH50" s="311">
        <f t="shared" si="28"/>
        <v>1658418745.73</v>
      </c>
      <c r="AI50" s="311">
        <f t="shared" si="28"/>
        <v>1555559584.9299998</v>
      </c>
      <c r="AJ50" s="311">
        <f t="shared" si="28"/>
        <v>1660626221.8099999</v>
      </c>
      <c r="AK50" s="311">
        <f t="shared" ref="AK50:AM50" si="29">SUM(AK39,AK40,AK41,AK44)</f>
        <v>0</v>
      </c>
      <c r="AL50" s="311">
        <f t="shared" si="29"/>
        <v>0</v>
      </c>
      <c r="AM50" s="311">
        <f t="shared" si="29"/>
        <v>0</v>
      </c>
    </row>
    <row r="51" spans="1:39" s="105" customFormat="1" ht="13.9">
      <c r="A51" s="103" t="s">
        <v>79</v>
      </c>
      <c r="B51" s="158">
        <f>SUM(B38,B50)</f>
        <v>6330238860.6599998</v>
      </c>
      <c r="C51" s="158">
        <f t="shared" ref="C51:N51" si="30">SUM(C38,C50)</f>
        <v>6428231294.1800003</v>
      </c>
      <c r="D51" s="158">
        <f t="shared" si="30"/>
        <v>6543499666.960001</v>
      </c>
      <c r="E51" s="158">
        <f t="shared" si="30"/>
        <v>6347535734.1399994</v>
      </c>
      <c r="F51" s="158">
        <f t="shared" si="30"/>
        <v>6661702431.2299995</v>
      </c>
      <c r="G51" s="158">
        <f t="shared" si="30"/>
        <v>6812616699.8099995</v>
      </c>
      <c r="H51" s="158">
        <f t="shared" si="30"/>
        <v>6757962265.499999</v>
      </c>
      <c r="I51" s="158">
        <f t="shared" si="30"/>
        <v>6747440210.1099997</v>
      </c>
      <c r="J51" s="158">
        <f t="shared" si="30"/>
        <v>6781571563.8000011</v>
      </c>
      <c r="K51" s="158">
        <f t="shared" si="30"/>
        <v>0</v>
      </c>
      <c r="L51" s="158">
        <f t="shared" si="30"/>
        <v>6845494708.7799997</v>
      </c>
      <c r="M51" s="265">
        <f t="shared" si="30"/>
        <v>6877469704.6600008</v>
      </c>
      <c r="N51" s="158">
        <f t="shared" si="30"/>
        <v>7082432648.2005997</v>
      </c>
      <c r="O51" s="158">
        <f t="shared" ref="O51:AB51" si="31">SUM(O38,O50)</f>
        <v>6627504152.5799999</v>
      </c>
      <c r="P51" s="158">
        <f t="shared" si="31"/>
        <v>6964117814.5699997</v>
      </c>
      <c r="Q51" s="158">
        <f t="shared" si="31"/>
        <v>6736029678.1500006</v>
      </c>
      <c r="R51" s="158">
        <f t="shared" si="31"/>
        <v>6775741812.0100002</v>
      </c>
      <c r="S51" s="158">
        <f t="shared" si="31"/>
        <v>6834593083.1299992</v>
      </c>
      <c r="T51" s="158">
        <f t="shared" si="31"/>
        <v>6858193054.8400002</v>
      </c>
      <c r="U51" s="158">
        <f t="shared" si="31"/>
        <v>6913365152.7000008</v>
      </c>
      <c r="V51" s="158">
        <f t="shared" si="31"/>
        <v>6965374381.7799997</v>
      </c>
      <c r="W51" s="158">
        <f t="shared" si="31"/>
        <v>7026063105.1300001</v>
      </c>
      <c r="X51" s="158">
        <f t="shared" si="31"/>
        <v>7182239042.3799992</v>
      </c>
      <c r="Y51" s="158">
        <f t="shared" si="31"/>
        <v>7188539487.4200001</v>
      </c>
      <c r="Z51" s="158">
        <f t="shared" ref="Z51" si="32">SUM(Z38,Z50)</f>
        <v>6956388323</v>
      </c>
      <c r="AA51" s="240">
        <f t="shared" si="3"/>
        <v>126044325.20059967</v>
      </c>
      <c r="AB51" s="158">
        <f t="shared" si="31"/>
        <v>7049229872</v>
      </c>
      <c r="AC51" s="158">
        <f t="shared" ref="AC51:AF51" si="33">SUM(AC38,AC50)</f>
        <v>6804181267.5799999</v>
      </c>
      <c r="AD51" s="158">
        <f t="shared" si="33"/>
        <v>6875749948.5900002</v>
      </c>
      <c r="AE51" s="158">
        <f t="shared" si="33"/>
        <v>7021208304.8100004</v>
      </c>
      <c r="AF51" s="158">
        <f t="shared" si="33"/>
        <v>7020206053.1599998</v>
      </c>
      <c r="AG51" s="311">
        <f t="shared" ref="AG51:AJ51" si="34">SUM(AG38,AG50)</f>
        <v>7144417899.3600006</v>
      </c>
      <c r="AH51" s="311">
        <f t="shared" si="34"/>
        <v>7663983494.3600006</v>
      </c>
      <c r="AI51" s="311">
        <f t="shared" si="34"/>
        <v>7632856354.3299999</v>
      </c>
      <c r="AJ51" s="311">
        <f t="shared" si="34"/>
        <v>7752090570.8799992</v>
      </c>
      <c r="AK51" s="311">
        <f t="shared" ref="AK51:AM51" si="35">SUM(AK38,AK50)</f>
        <v>0</v>
      </c>
      <c r="AL51" s="311">
        <f t="shared" si="35"/>
        <v>0</v>
      </c>
      <c r="AM51" s="311">
        <f t="shared" si="35"/>
        <v>0</v>
      </c>
    </row>
    <row r="52" spans="1:39">
      <c r="AB52" s="235">
        <f>+AB51-AB26</f>
        <v>1</v>
      </c>
      <c r="AC52" s="235">
        <f t="shared" ref="AC52:AK52" si="36">+AC51-AC26</f>
        <v>0</v>
      </c>
      <c r="AD52" s="235">
        <f t="shared" si="36"/>
        <v>0</v>
      </c>
      <c r="AE52" s="235">
        <f t="shared" si="36"/>
        <v>0</v>
      </c>
      <c r="AF52" s="235">
        <f t="shared" si="36"/>
        <v>0</v>
      </c>
      <c r="AG52" s="235">
        <f t="shared" si="36"/>
        <v>0</v>
      </c>
      <c r="AH52" s="235">
        <f t="shared" si="36"/>
        <v>0</v>
      </c>
      <c r="AI52" s="235">
        <f t="shared" si="36"/>
        <v>2107443290.4200001</v>
      </c>
      <c r="AJ52" s="235">
        <f t="shared" si="36"/>
        <v>0</v>
      </c>
      <c r="AK52" s="235">
        <f t="shared" si="36"/>
        <v>0</v>
      </c>
    </row>
    <row r="53" spans="1:39">
      <c r="O53" s="104">
        <f>2000000+1088757+48452210</f>
        <v>51540967</v>
      </c>
    </row>
    <row r="54" spans="1:39">
      <c r="N54" s="168">
        <f>N51-N26</f>
        <v>0.94059944152832031</v>
      </c>
      <c r="O54" s="104">
        <f>5443784-51540967</f>
        <v>-46097183</v>
      </c>
    </row>
    <row r="55" spans="1:39">
      <c r="M55" s="168">
        <f>N51-N26</f>
        <v>0.94059944152832031</v>
      </c>
    </row>
    <row r="56" spans="1:39">
      <c r="L56" s="231">
        <f>N13/N51</f>
        <v>0.48853107185976036</v>
      </c>
      <c r="AB56" s="235"/>
    </row>
    <row r="58" spans="1:39">
      <c r="O58" s="104">
        <f>255218036+162988771+781653508</f>
        <v>1199860315</v>
      </c>
    </row>
    <row r="60" spans="1:39">
      <c r="O60" s="231">
        <f>O58/4329137977</f>
        <v>0.27715917611650659</v>
      </c>
    </row>
  </sheetData>
  <phoneticPr fontId="72" type="noConversion"/>
  <pageMargins left="0.7" right="0.7" top="0.75" bottom="0.75" header="0.3" footer="0.3"/>
  <pageSetup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37"/>
  <sheetViews>
    <sheetView zoomScale="85" zoomScaleNormal="85" workbookViewId="0">
      <pane xSplit="1" topLeftCell="AF1" activePane="topRight" state="frozen"/>
      <selection pane="topRight" activeCell="AI36" sqref="AI36:AL36"/>
    </sheetView>
  </sheetViews>
  <sheetFormatPr defaultColWidth="8.85546875" defaultRowHeight="13.9"/>
  <cols>
    <col min="1" max="1" width="38.140625" style="95" customWidth="1"/>
    <col min="2" max="8" width="18.28515625" style="95" hidden="1" customWidth="1"/>
    <col min="9" max="10" width="16.28515625" style="95" hidden="1" customWidth="1"/>
    <col min="11" max="11" width="5.85546875" style="95" hidden="1" customWidth="1"/>
    <col min="12" max="13" width="16.28515625" style="95" hidden="1" customWidth="1"/>
    <col min="14" max="14" width="17.7109375" style="98" bestFit="1" customWidth="1"/>
    <col min="15" max="16" width="16.42578125" style="95" hidden="1" customWidth="1"/>
    <col min="17" max="25" width="17.7109375" style="95" hidden="1" customWidth="1"/>
    <col min="26" max="27" width="20.28515625" style="95" customWidth="1"/>
    <col min="28" max="28" width="17.7109375" style="95" bestFit="1" customWidth="1"/>
    <col min="29" max="29" width="16.5703125" style="95" bestFit="1" customWidth="1"/>
    <col min="30" max="37" width="18" style="95" bestFit="1" customWidth="1"/>
    <col min="38" max="16384" width="8.85546875" style="95"/>
  </cols>
  <sheetData>
    <row r="1" spans="1:52">
      <c r="A1" s="97" t="s">
        <v>80</v>
      </c>
      <c r="N1" s="256" t="s">
        <v>2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256" t="s">
        <v>81</v>
      </c>
      <c r="AA1" s="243" t="s">
        <v>4</v>
      </c>
      <c r="AB1" s="121"/>
    </row>
    <row r="2" spans="1:52" s="97" customFormat="1">
      <c r="A2" s="97" t="s">
        <v>82</v>
      </c>
      <c r="B2" s="165" t="s">
        <v>83</v>
      </c>
      <c r="C2" s="165" t="s">
        <v>18</v>
      </c>
      <c r="D2" s="165" t="s">
        <v>19</v>
      </c>
      <c r="E2" s="165" t="s">
        <v>20</v>
      </c>
      <c r="F2" s="165" t="s">
        <v>21</v>
      </c>
      <c r="G2" s="165" t="s">
        <v>22</v>
      </c>
      <c r="H2" s="165" t="s">
        <v>23</v>
      </c>
      <c r="I2" s="165" t="s">
        <v>24</v>
      </c>
      <c r="J2" s="165" t="s">
        <v>25</v>
      </c>
      <c r="K2" s="165" t="s">
        <v>26</v>
      </c>
      <c r="L2" s="165" t="s">
        <v>27</v>
      </c>
      <c r="M2" s="250" t="s">
        <v>28</v>
      </c>
      <c r="N2" s="257" t="s">
        <v>17</v>
      </c>
      <c r="O2" s="258" t="s">
        <v>18</v>
      </c>
      <c r="P2" s="258" t="s">
        <v>19</v>
      </c>
      <c r="Q2" s="258" t="s">
        <v>20</v>
      </c>
      <c r="R2" s="258" t="s">
        <v>21</v>
      </c>
      <c r="S2" s="258" t="s">
        <v>22</v>
      </c>
      <c r="T2" s="258" t="s">
        <v>23</v>
      </c>
      <c r="U2" s="258" t="s">
        <v>24</v>
      </c>
      <c r="V2" s="258" t="s">
        <v>25</v>
      </c>
      <c r="W2" s="258" t="s">
        <v>26</v>
      </c>
      <c r="X2" s="258" t="s">
        <v>27</v>
      </c>
      <c r="Y2" s="258" t="s">
        <v>28</v>
      </c>
      <c r="Z2" s="259" t="s">
        <v>29</v>
      </c>
      <c r="AA2" s="247" t="s">
        <v>30</v>
      </c>
      <c r="AB2" s="258" t="s">
        <v>31</v>
      </c>
      <c r="AC2" s="290">
        <v>44927</v>
      </c>
      <c r="AD2" s="290">
        <v>44958</v>
      </c>
      <c r="AE2" s="290">
        <v>44986</v>
      </c>
      <c r="AF2" s="290">
        <v>45017</v>
      </c>
      <c r="AG2" s="290">
        <v>45047</v>
      </c>
      <c r="AH2" s="290">
        <v>45078</v>
      </c>
      <c r="AI2" s="290">
        <v>45108</v>
      </c>
      <c r="AJ2" s="290">
        <v>45139</v>
      </c>
      <c r="AK2" s="290">
        <v>45170</v>
      </c>
      <c r="AL2" s="290">
        <v>45200</v>
      </c>
      <c r="AM2" s="290">
        <v>45231</v>
      </c>
    </row>
    <row r="3" spans="1:52" s="96" customFormat="1" ht="14.45">
      <c r="A3" s="68" t="s">
        <v>84</v>
      </c>
      <c r="B3" s="122">
        <f t="shared" ref="B3:N3" si="0">B4+B7</f>
        <v>42188053.030000001</v>
      </c>
      <c r="C3" s="122">
        <f t="shared" si="0"/>
        <v>79467027.359999999</v>
      </c>
      <c r="D3" s="122">
        <f t="shared" si="0"/>
        <v>136364544.19</v>
      </c>
      <c r="E3" s="122">
        <f t="shared" si="0"/>
        <v>232431327.41</v>
      </c>
      <c r="F3" s="122">
        <f t="shared" si="0"/>
        <v>275702468.62</v>
      </c>
      <c r="G3" s="122">
        <f t="shared" si="0"/>
        <v>319005223.83000004</v>
      </c>
      <c r="H3" s="122">
        <f t="shared" si="0"/>
        <v>364726293.94000006</v>
      </c>
      <c r="I3" s="122">
        <f t="shared" si="0"/>
        <v>411370569.35000002</v>
      </c>
      <c r="J3" s="122">
        <f t="shared" si="0"/>
        <v>457504364.76999998</v>
      </c>
      <c r="K3" s="122">
        <f t="shared" si="0"/>
        <v>0</v>
      </c>
      <c r="L3" s="122">
        <f t="shared" si="0"/>
        <v>550154362.96000004</v>
      </c>
      <c r="M3" s="251">
        <f t="shared" si="0"/>
        <v>599724287.21000004</v>
      </c>
      <c r="N3" s="161">
        <f t="shared" si="0"/>
        <v>819970189</v>
      </c>
      <c r="O3" s="161">
        <f t="shared" ref="O3:AF3" si="1">O4+O7</f>
        <v>43538730.489999995</v>
      </c>
      <c r="P3" s="161">
        <f t="shared" si="1"/>
        <v>89648840.520000011</v>
      </c>
      <c r="Q3" s="161">
        <f t="shared" si="1"/>
        <v>209720457.08000001</v>
      </c>
      <c r="R3" s="161">
        <f t="shared" si="1"/>
        <v>259629520.51999998</v>
      </c>
      <c r="S3" s="161">
        <f t="shared" si="1"/>
        <v>348739984.45000005</v>
      </c>
      <c r="T3" s="161">
        <f t="shared" si="1"/>
        <v>398182361.85000002</v>
      </c>
      <c r="U3" s="161">
        <f t="shared" si="1"/>
        <v>445629930.47000003</v>
      </c>
      <c r="V3" s="161">
        <f t="shared" si="1"/>
        <v>494390547.30000007</v>
      </c>
      <c r="W3" s="161">
        <f t="shared" si="1"/>
        <v>544383616.74000001</v>
      </c>
      <c r="X3" s="161">
        <f t="shared" si="1"/>
        <v>598001217.22000003</v>
      </c>
      <c r="Y3" s="161">
        <f t="shared" si="1"/>
        <v>666518665.70000005</v>
      </c>
      <c r="Z3" s="161">
        <f t="shared" ref="Z3" si="2">Z4+Z7</f>
        <v>695984292</v>
      </c>
      <c r="AA3" s="280">
        <f>N3-Z3</f>
        <v>123985897</v>
      </c>
      <c r="AB3" s="161">
        <f t="shared" si="1"/>
        <v>712535574</v>
      </c>
      <c r="AC3" s="161">
        <f t="shared" si="1"/>
        <v>71713957.930000007</v>
      </c>
      <c r="AD3" s="161">
        <f t="shared" si="1"/>
        <v>139483456.49000001</v>
      </c>
      <c r="AE3" s="161">
        <f t="shared" si="1"/>
        <v>207924103.06999999</v>
      </c>
      <c r="AF3" s="161">
        <f t="shared" si="1"/>
        <v>283149690.83999997</v>
      </c>
      <c r="AG3" s="161">
        <f t="shared" ref="AG3:AJ3" si="3">AG4+AG7</f>
        <v>362355718.13</v>
      </c>
      <c r="AH3" s="161">
        <f t="shared" si="3"/>
        <v>496811340.44999999</v>
      </c>
      <c r="AI3" s="161">
        <f t="shared" si="3"/>
        <v>563931615.57999992</v>
      </c>
      <c r="AJ3" s="161">
        <f t="shared" si="3"/>
        <v>636201984.84000003</v>
      </c>
      <c r="AK3" s="161">
        <f t="shared" ref="AK3:AM3" si="4">AK4+AK7</f>
        <v>712123008.91999996</v>
      </c>
      <c r="AL3" s="161">
        <f t="shared" si="4"/>
        <v>0</v>
      </c>
      <c r="AM3" s="161">
        <f t="shared" si="4"/>
        <v>0</v>
      </c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</row>
    <row r="4" spans="1:52" s="146" customFormat="1" ht="14.45">
      <c r="A4" s="144" t="s">
        <v>85</v>
      </c>
      <c r="B4" s="122">
        <f t="shared" ref="B4:N4" si="5">SUM(B5:B6)</f>
        <v>40277498.640000001</v>
      </c>
      <c r="C4" s="122">
        <f t="shared" si="5"/>
        <v>75635248.829999998</v>
      </c>
      <c r="D4" s="122">
        <f t="shared" si="5"/>
        <v>127710357.81</v>
      </c>
      <c r="E4" s="122">
        <f t="shared" si="5"/>
        <v>180345475.31</v>
      </c>
      <c r="F4" s="122">
        <f t="shared" si="5"/>
        <v>221647211.35000002</v>
      </c>
      <c r="G4" s="122">
        <f t="shared" si="5"/>
        <v>262980561.39000002</v>
      </c>
      <c r="H4" s="122">
        <f t="shared" si="5"/>
        <v>306732226.33000004</v>
      </c>
      <c r="I4" s="122">
        <f t="shared" si="5"/>
        <v>351428648.29000002</v>
      </c>
      <c r="J4" s="122">
        <f t="shared" si="5"/>
        <v>395625797.15999997</v>
      </c>
      <c r="K4" s="122">
        <f t="shared" si="5"/>
        <v>0</v>
      </c>
      <c r="L4" s="122">
        <f t="shared" si="5"/>
        <v>485351961.89999998</v>
      </c>
      <c r="M4" s="251">
        <f t="shared" si="5"/>
        <v>529513711.25</v>
      </c>
      <c r="N4" s="161">
        <f t="shared" si="5"/>
        <v>726685238</v>
      </c>
      <c r="O4" s="161">
        <f t="shared" ref="O4:AF4" si="6">SUM(O5:O6)</f>
        <v>40986616.329999998</v>
      </c>
      <c r="P4" s="161">
        <f t="shared" si="6"/>
        <v>85561056.13000001</v>
      </c>
      <c r="Q4" s="161">
        <f t="shared" si="6"/>
        <v>198774543.17000002</v>
      </c>
      <c r="R4" s="161">
        <f t="shared" si="6"/>
        <v>245849314.97999999</v>
      </c>
      <c r="S4" s="161">
        <f t="shared" si="6"/>
        <v>292327484.61000001</v>
      </c>
      <c r="T4" s="161">
        <f t="shared" si="6"/>
        <v>339617584.74000001</v>
      </c>
      <c r="U4" s="161">
        <f t="shared" si="6"/>
        <v>382071801.12</v>
      </c>
      <c r="V4" s="161">
        <f t="shared" si="6"/>
        <v>426710056.33000004</v>
      </c>
      <c r="W4" s="161">
        <f t="shared" si="6"/>
        <v>474319735.75</v>
      </c>
      <c r="X4" s="161">
        <f t="shared" si="6"/>
        <v>522686324.00999999</v>
      </c>
      <c r="Y4" s="161">
        <f t="shared" si="6"/>
        <v>580736171.25</v>
      </c>
      <c r="Z4" s="161">
        <f t="shared" ref="Z4" si="7">SUM(Z5:Z6)</f>
        <v>604120606</v>
      </c>
      <c r="AA4" s="280">
        <f t="shared" ref="AA4:AA37" si="8">N4-Z4</f>
        <v>122564632</v>
      </c>
      <c r="AB4" s="161">
        <f t="shared" si="6"/>
        <v>580761538</v>
      </c>
      <c r="AC4" s="161">
        <f t="shared" si="6"/>
        <v>63865676.600000001</v>
      </c>
      <c r="AD4" s="161">
        <f t="shared" si="6"/>
        <v>123577490.5</v>
      </c>
      <c r="AE4" s="161">
        <f t="shared" si="6"/>
        <v>183960002.45999998</v>
      </c>
      <c r="AF4" s="161">
        <f t="shared" si="6"/>
        <v>248133521.66</v>
      </c>
      <c r="AG4" s="161">
        <f t="shared" ref="AG4:AJ4" si="9">SUM(AG5:AG6)</f>
        <v>315894420.95999998</v>
      </c>
      <c r="AH4" s="161">
        <f t="shared" si="9"/>
        <v>379830812.24000001</v>
      </c>
      <c r="AI4" s="161">
        <f t="shared" si="9"/>
        <v>442318487.30999994</v>
      </c>
      <c r="AJ4" s="161">
        <f t="shared" si="9"/>
        <v>508164482.85000002</v>
      </c>
      <c r="AK4" s="161">
        <f t="shared" ref="AK4:AM4" si="10">SUM(AK5:AK6)</f>
        <v>578513373.52999997</v>
      </c>
      <c r="AL4" s="161">
        <f t="shared" si="10"/>
        <v>0</v>
      </c>
      <c r="AM4" s="161">
        <f t="shared" si="10"/>
        <v>0</v>
      </c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</row>
    <row r="5" spans="1:52" ht="14.45">
      <c r="A5" s="66" t="s">
        <v>86</v>
      </c>
      <c r="B5" s="232">
        <v>36107004.140000001</v>
      </c>
      <c r="C5" s="232">
        <v>65232688.630000003</v>
      </c>
      <c r="D5" s="232">
        <v>111391507.61</v>
      </c>
      <c r="E5" s="232">
        <v>153943383.81</v>
      </c>
      <c r="F5" s="232">
        <v>189687187.55000001</v>
      </c>
      <c r="G5" s="232">
        <v>225625000.49000001</v>
      </c>
      <c r="H5" s="232">
        <v>261939961.83000001</v>
      </c>
      <c r="I5" s="232">
        <v>298235126.19</v>
      </c>
      <c r="J5" s="232">
        <v>334275798.95999998</v>
      </c>
      <c r="K5" s="227"/>
      <c r="L5" s="232">
        <v>410927267.30000001</v>
      </c>
      <c r="M5" s="252">
        <v>448548435.14999998</v>
      </c>
      <c r="N5" s="260">
        <v>726685238</v>
      </c>
      <c r="O5" s="261">
        <v>35374159.829999998</v>
      </c>
      <c r="P5" s="261">
        <v>72718142.730000004</v>
      </c>
      <c r="Q5" s="261">
        <v>164258710.87</v>
      </c>
      <c r="R5" s="261">
        <v>203885656.47999999</v>
      </c>
      <c r="S5" s="261">
        <v>242872773.50999999</v>
      </c>
      <c r="T5" s="261">
        <v>281370147.94</v>
      </c>
      <c r="U5" s="261">
        <v>319504989.42000002</v>
      </c>
      <c r="V5" s="261">
        <v>356984569.43000001</v>
      </c>
      <c r="W5" s="261">
        <v>395525720.85000002</v>
      </c>
      <c r="X5" s="261">
        <v>435569050.50999999</v>
      </c>
      <c r="Y5" s="261">
        <v>484875132.94999999</v>
      </c>
      <c r="Z5" s="261">
        <v>604120606</v>
      </c>
      <c r="AA5" s="280">
        <f t="shared" si="8"/>
        <v>122564632</v>
      </c>
      <c r="AB5" s="281">
        <v>580761538</v>
      </c>
      <c r="AC5" s="300">
        <v>50553898</v>
      </c>
      <c r="AD5" s="302">
        <v>99478832.200000003</v>
      </c>
      <c r="AE5" s="302">
        <v>148138562.66</v>
      </c>
      <c r="AF5" s="302">
        <v>195132792.56</v>
      </c>
      <c r="AG5" s="300">
        <v>245386861.16</v>
      </c>
      <c r="AH5" s="300">
        <v>295943346.83999997</v>
      </c>
      <c r="AI5" s="300">
        <v>346671952.20999998</v>
      </c>
      <c r="AJ5" s="302">
        <v>395879622.55000001</v>
      </c>
      <c r="AK5" s="302">
        <v>446903205.02999997</v>
      </c>
    </row>
    <row r="6" spans="1:52" ht="14.45">
      <c r="A6" s="66" t="s">
        <v>87</v>
      </c>
      <c r="B6" s="232">
        <v>4170494.5</v>
      </c>
      <c r="C6" s="232">
        <v>10402560.199999999</v>
      </c>
      <c r="D6" s="232">
        <v>16318850.199999999</v>
      </c>
      <c r="E6" s="232">
        <v>26402091.5</v>
      </c>
      <c r="F6" s="232">
        <v>31960023.800000001</v>
      </c>
      <c r="G6" s="232">
        <v>37355560.899999999</v>
      </c>
      <c r="H6" s="232">
        <v>44792264.5</v>
      </c>
      <c r="I6" s="232">
        <v>53193522.100000001</v>
      </c>
      <c r="J6" s="232">
        <v>61349998.200000003</v>
      </c>
      <c r="K6" s="227"/>
      <c r="L6" s="232">
        <v>74424694.599999994</v>
      </c>
      <c r="M6" s="252">
        <v>80965276.099999994</v>
      </c>
      <c r="N6" s="120"/>
      <c r="O6" s="261">
        <v>5612456.5</v>
      </c>
      <c r="P6" s="261">
        <v>12842913.4</v>
      </c>
      <c r="Q6" s="261">
        <v>34515832.299999997</v>
      </c>
      <c r="R6" s="261">
        <v>41963658.5</v>
      </c>
      <c r="S6" s="261">
        <v>49454711.100000001</v>
      </c>
      <c r="T6" s="261">
        <v>58247436.799999997</v>
      </c>
      <c r="U6" s="261">
        <v>62566811.700000003</v>
      </c>
      <c r="V6" s="261">
        <v>69725486.900000006</v>
      </c>
      <c r="W6" s="261">
        <v>78794014.900000006</v>
      </c>
      <c r="X6" s="261">
        <v>87117273.5</v>
      </c>
      <c r="Y6" s="261">
        <v>95861038.299999997</v>
      </c>
      <c r="Z6" s="261"/>
      <c r="AA6" s="280">
        <f t="shared" si="8"/>
        <v>0</v>
      </c>
      <c r="AB6" s="121"/>
      <c r="AC6" s="304">
        <v>13311778.6</v>
      </c>
      <c r="AD6" s="306">
        <v>24098658.300000001</v>
      </c>
      <c r="AE6" s="306">
        <v>35821439.799999997</v>
      </c>
      <c r="AF6" s="306">
        <v>53000729.100000001</v>
      </c>
      <c r="AG6" s="304">
        <v>70507559.799999997</v>
      </c>
      <c r="AH6" s="304">
        <v>83887465.400000006</v>
      </c>
      <c r="AI6" s="304">
        <v>95646535.099999994</v>
      </c>
      <c r="AJ6" s="306">
        <v>112284860.3</v>
      </c>
      <c r="AK6" s="306">
        <v>131610168.5</v>
      </c>
    </row>
    <row r="7" spans="1:52" s="146" customFormat="1" ht="14.45">
      <c r="A7" s="144" t="s">
        <v>88</v>
      </c>
      <c r="B7" s="122">
        <f t="shared" ref="B7:AM7" si="11">SUM(B8:B11)</f>
        <v>1910554.39</v>
      </c>
      <c r="C7" s="122">
        <f t="shared" si="11"/>
        <v>3831778.53</v>
      </c>
      <c r="D7" s="122">
        <f t="shared" si="11"/>
        <v>8654186.3800000008</v>
      </c>
      <c r="E7" s="122">
        <f t="shared" si="11"/>
        <v>52085852.100000001</v>
      </c>
      <c r="F7" s="122">
        <f t="shared" si="11"/>
        <v>54055257.270000003</v>
      </c>
      <c r="G7" s="122">
        <f t="shared" si="11"/>
        <v>56024662.439999998</v>
      </c>
      <c r="H7" s="122">
        <f t="shared" si="11"/>
        <v>57994067.609999999</v>
      </c>
      <c r="I7" s="122">
        <f t="shared" si="11"/>
        <v>59941921.060000002</v>
      </c>
      <c r="J7" s="122">
        <f t="shared" si="11"/>
        <v>61878567.609999999</v>
      </c>
      <c r="K7" s="122">
        <f t="shared" si="11"/>
        <v>0</v>
      </c>
      <c r="L7" s="122">
        <f t="shared" si="11"/>
        <v>64802401.060000002</v>
      </c>
      <c r="M7" s="251">
        <f t="shared" si="11"/>
        <v>70210575.959999993</v>
      </c>
      <c r="N7" s="122">
        <f t="shared" si="11"/>
        <v>93284951</v>
      </c>
      <c r="O7" s="122">
        <f t="shared" si="11"/>
        <v>2552114.16</v>
      </c>
      <c r="P7" s="122">
        <f t="shared" si="11"/>
        <v>4087784.3899999997</v>
      </c>
      <c r="Q7" s="122">
        <f t="shared" si="11"/>
        <v>10945913.91</v>
      </c>
      <c r="R7" s="122">
        <f t="shared" si="11"/>
        <v>13780205.539999999</v>
      </c>
      <c r="S7" s="122">
        <f t="shared" si="11"/>
        <v>56412499.840000004</v>
      </c>
      <c r="T7" s="122">
        <f t="shared" si="11"/>
        <v>58564777.109999999</v>
      </c>
      <c r="U7" s="122">
        <f t="shared" si="11"/>
        <v>63558129.350000001</v>
      </c>
      <c r="V7" s="122">
        <f t="shared" si="11"/>
        <v>67680490.969999999</v>
      </c>
      <c r="W7" s="122">
        <f t="shared" si="11"/>
        <v>70063880.989999995</v>
      </c>
      <c r="X7" s="122">
        <f t="shared" si="11"/>
        <v>75314893.209999993</v>
      </c>
      <c r="Y7" s="122">
        <f t="shared" si="11"/>
        <v>85782494.450000003</v>
      </c>
      <c r="Z7" s="122">
        <f t="shared" si="11"/>
        <v>91863686</v>
      </c>
      <c r="AA7" s="280">
        <f t="shared" si="8"/>
        <v>1421265</v>
      </c>
      <c r="AB7" s="122">
        <f t="shared" si="11"/>
        <v>131774036</v>
      </c>
      <c r="AC7" s="122">
        <f t="shared" si="11"/>
        <v>7848281.3300000001</v>
      </c>
      <c r="AD7" s="122">
        <f t="shared" si="11"/>
        <v>15905965.99</v>
      </c>
      <c r="AE7" s="122">
        <f t="shared" si="11"/>
        <v>23964100.609999999</v>
      </c>
      <c r="AF7" s="122">
        <f t="shared" si="11"/>
        <v>35016169.18</v>
      </c>
      <c r="AG7" s="122">
        <f t="shared" si="11"/>
        <v>46461297.170000002</v>
      </c>
      <c r="AH7" s="122">
        <f t="shared" si="11"/>
        <v>116980528.20999999</v>
      </c>
      <c r="AI7" s="122">
        <f t="shared" si="11"/>
        <v>121613128.27</v>
      </c>
      <c r="AJ7" s="122">
        <f t="shared" si="11"/>
        <v>128037501.99000001</v>
      </c>
      <c r="AK7" s="122">
        <f t="shared" si="11"/>
        <v>133609635.39</v>
      </c>
      <c r="AL7" s="122">
        <f t="shared" si="11"/>
        <v>0</v>
      </c>
      <c r="AM7" s="122">
        <f t="shared" si="11"/>
        <v>0</v>
      </c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</row>
    <row r="8" spans="1:52" ht="14.45">
      <c r="A8" s="66" t="s">
        <v>89</v>
      </c>
      <c r="B8" s="232">
        <v>0</v>
      </c>
      <c r="C8" s="232">
        <v>0</v>
      </c>
      <c r="D8" s="232">
        <v>0</v>
      </c>
      <c r="E8" s="232">
        <v>0</v>
      </c>
      <c r="F8" s="232">
        <v>0</v>
      </c>
      <c r="G8" s="232">
        <v>0</v>
      </c>
      <c r="H8" s="232">
        <v>0</v>
      </c>
      <c r="I8" s="232">
        <v>0</v>
      </c>
      <c r="J8" s="232">
        <v>0</v>
      </c>
      <c r="K8" s="224"/>
      <c r="L8" s="232">
        <v>0</v>
      </c>
      <c r="M8" s="252">
        <v>0</v>
      </c>
      <c r="N8" s="120"/>
      <c r="O8" s="261">
        <v>0</v>
      </c>
      <c r="P8" s="261">
        <v>0</v>
      </c>
      <c r="Q8" s="261">
        <v>0</v>
      </c>
      <c r="R8" s="261">
        <v>0</v>
      </c>
      <c r="S8" s="261">
        <v>0</v>
      </c>
      <c r="T8" s="261">
        <v>0</v>
      </c>
      <c r="U8" s="261">
        <v>0</v>
      </c>
      <c r="V8" s="261">
        <v>0</v>
      </c>
      <c r="W8" s="261">
        <v>0</v>
      </c>
      <c r="X8" s="261">
        <v>0</v>
      </c>
      <c r="Y8" s="261">
        <v>0</v>
      </c>
      <c r="Z8" s="261"/>
      <c r="AA8" s="280">
        <f t="shared" si="8"/>
        <v>0</v>
      </c>
      <c r="AB8" s="121"/>
      <c r="AC8" s="299">
        <v>0</v>
      </c>
      <c r="AD8" s="301">
        <v>0</v>
      </c>
      <c r="AE8" s="301">
        <v>0</v>
      </c>
      <c r="AF8" s="301">
        <v>0</v>
      </c>
      <c r="AG8" s="299">
        <v>0</v>
      </c>
      <c r="AH8" s="299">
        <v>0</v>
      </c>
      <c r="AI8" s="299">
        <v>0</v>
      </c>
      <c r="AJ8" s="301">
        <v>0</v>
      </c>
      <c r="AK8" s="301">
        <v>0</v>
      </c>
    </row>
    <row r="9" spans="1:52" ht="14.45">
      <c r="A9" s="66" t="s">
        <v>90</v>
      </c>
      <c r="B9" s="232">
        <v>0</v>
      </c>
      <c r="C9" s="232">
        <v>0</v>
      </c>
      <c r="D9" s="232">
        <v>0</v>
      </c>
      <c r="E9" s="232">
        <v>0</v>
      </c>
      <c r="F9" s="232">
        <v>0</v>
      </c>
      <c r="G9" s="232">
        <v>0</v>
      </c>
      <c r="H9" s="232">
        <v>0</v>
      </c>
      <c r="I9" s="232">
        <v>0</v>
      </c>
      <c r="J9" s="232">
        <v>0</v>
      </c>
      <c r="K9" s="224"/>
      <c r="L9" s="232">
        <v>0</v>
      </c>
      <c r="M9" s="252">
        <v>0</v>
      </c>
      <c r="N9" s="120"/>
      <c r="O9" s="261">
        <v>0</v>
      </c>
      <c r="P9" s="261">
        <v>0</v>
      </c>
      <c r="Q9" s="261">
        <v>0</v>
      </c>
      <c r="R9" s="261">
        <v>0</v>
      </c>
      <c r="S9" s="261">
        <v>0</v>
      </c>
      <c r="T9" s="261">
        <v>0</v>
      </c>
      <c r="U9" s="261">
        <v>0</v>
      </c>
      <c r="V9" s="261">
        <v>0</v>
      </c>
      <c r="W9" s="261">
        <v>0</v>
      </c>
      <c r="X9" s="261">
        <v>0</v>
      </c>
      <c r="Y9" s="261">
        <v>0</v>
      </c>
      <c r="Z9" s="261"/>
      <c r="AA9" s="280">
        <f t="shared" si="8"/>
        <v>0</v>
      </c>
      <c r="AB9" s="121"/>
      <c r="AC9" s="303">
        <v>0</v>
      </c>
      <c r="AD9" s="305">
        <v>0</v>
      </c>
      <c r="AE9" s="305">
        <v>0</v>
      </c>
      <c r="AF9" s="305">
        <v>0</v>
      </c>
      <c r="AG9" s="303">
        <v>0</v>
      </c>
      <c r="AH9" s="303">
        <v>0</v>
      </c>
      <c r="AI9" s="303">
        <v>0</v>
      </c>
      <c r="AJ9" s="305">
        <v>0</v>
      </c>
      <c r="AK9" s="305">
        <v>0</v>
      </c>
    </row>
    <row r="10" spans="1:52" ht="27">
      <c r="A10" s="66" t="s">
        <v>91</v>
      </c>
      <c r="B10" s="232">
        <v>1910554.39</v>
      </c>
      <c r="C10" s="232">
        <v>3831778.53</v>
      </c>
      <c r="D10" s="232">
        <v>8654186.3800000008</v>
      </c>
      <c r="E10" s="232">
        <v>52085852.100000001</v>
      </c>
      <c r="F10" s="232">
        <v>54055257.270000003</v>
      </c>
      <c r="G10" s="232">
        <v>56024662.439999998</v>
      </c>
      <c r="H10" s="232">
        <v>57994067.609999999</v>
      </c>
      <c r="I10" s="232">
        <v>59941921.060000002</v>
      </c>
      <c r="J10" s="232">
        <v>61878567.609999999</v>
      </c>
      <c r="K10" s="224"/>
      <c r="L10" s="232">
        <v>64802401.060000002</v>
      </c>
      <c r="M10" s="252">
        <v>70210575.959999993</v>
      </c>
      <c r="N10" s="120">
        <v>93284951</v>
      </c>
      <c r="O10" s="261">
        <v>1889232.76</v>
      </c>
      <c r="P10" s="261">
        <v>1889232.76</v>
      </c>
      <c r="Q10" s="261">
        <v>6473698.2800000003</v>
      </c>
      <c r="R10" s="261">
        <v>8396771.0399999991</v>
      </c>
      <c r="S10" s="261">
        <v>50412285.340000004</v>
      </c>
      <c r="T10" s="261">
        <v>51801105.340000004</v>
      </c>
      <c r="U10" s="261">
        <v>53189925.340000004</v>
      </c>
      <c r="V10" s="261">
        <v>56258854.350000001</v>
      </c>
      <c r="W10" s="261">
        <v>57647674.539999999</v>
      </c>
      <c r="X10" s="261">
        <v>61389370.409999996</v>
      </c>
      <c r="Y10" s="261">
        <v>67288629.030000001</v>
      </c>
      <c r="Z10" s="282">
        <v>91863686</v>
      </c>
      <c r="AA10" s="280">
        <f t="shared" si="8"/>
        <v>1421265</v>
      </c>
      <c r="AB10" s="283">
        <v>131774036</v>
      </c>
      <c r="AC10" s="304">
        <v>1948258.62</v>
      </c>
      <c r="AD10" s="306">
        <v>3924017.24</v>
      </c>
      <c r="AE10" s="306">
        <v>5927275.8600000003</v>
      </c>
      <c r="AF10" s="306">
        <v>7875534.4800000004</v>
      </c>
      <c r="AG10" s="304">
        <v>9048862.0700000003</v>
      </c>
      <c r="AH10" s="304">
        <v>71751391.709999993</v>
      </c>
      <c r="AI10" s="304">
        <v>72504073.209999993</v>
      </c>
      <c r="AJ10" s="306">
        <v>74831402.530000001</v>
      </c>
      <c r="AK10" s="306">
        <v>75246435.030000001</v>
      </c>
    </row>
    <row r="11" spans="1:52" ht="27">
      <c r="A11" s="66" t="s">
        <v>92</v>
      </c>
      <c r="B11" s="167"/>
      <c r="C11" s="167"/>
      <c r="D11" s="167"/>
      <c r="E11" s="167"/>
      <c r="F11" s="167"/>
      <c r="G11" s="167"/>
      <c r="H11" s="167"/>
      <c r="I11" s="167"/>
      <c r="J11" s="167"/>
      <c r="K11" s="225"/>
      <c r="L11" s="225"/>
      <c r="M11" s="225"/>
      <c r="N11" s="120"/>
      <c r="O11" s="262">
        <v>662881.4</v>
      </c>
      <c r="P11" s="262">
        <v>2198551.63</v>
      </c>
      <c r="Q11" s="262">
        <v>4472215.63</v>
      </c>
      <c r="R11" s="262">
        <v>5383434.5</v>
      </c>
      <c r="S11" s="262">
        <v>6000214.5</v>
      </c>
      <c r="T11" s="262">
        <v>6763671.7699999996</v>
      </c>
      <c r="U11" s="262">
        <v>10368204.01</v>
      </c>
      <c r="V11" s="262">
        <v>11421636.619999999</v>
      </c>
      <c r="W11" s="262">
        <v>12416206.449999999</v>
      </c>
      <c r="X11" s="262">
        <v>13925522.800000001</v>
      </c>
      <c r="Y11" s="262">
        <v>18493865.420000002</v>
      </c>
      <c r="Z11" s="262"/>
      <c r="AA11" s="280">
        <f t="shared" si="8"/>
        <v>0</v>
      </c>
      <c r="AB11" s="121"/>
      <c r="AC11" s="307">
        <v>5900022.71</v>
      </c>
      <c r="AD11" s="308">
        <v>11981948.75</v>
      </c>
      <c r="AE11" s="308">
        <v>18036824.75</v>
      </c>
      <c r="AF11" s="308">
        <v>27140634.699999999</v>
      </c>
      <c r="AG11" s="307">
        <v>37412435.100000001</v>
      </c>
      <c r="AH11" s="307">
        <v>45229136.5</v>
      </c>
      <c r="AI11" s="307">
        <v>49109055.060000002</v>
      </c>
      <c r="AJ11" s="308">
        <v>53206099.460000001</v>
      </c>
      <c r="AK11" s="308">
        <v>58363200.359999999</v>
      </c>
    </row>
    <row r="12" spans="1:52" s="146" customFormat="1" ht="14.45">
      <c r="A12" s="144" t="s">
        <v>93</v>
      </c>
      <c r="B12" s="122">
        <f t="shared" ref="B12:AM12" si="12">B13+B14+B15+B16+B18+B17</f>
        <v>450231.88</v>
      </c>
      <c r="C12" s="122">
        <f t="shared" si="12"/>
        <v>450231.88</v>
      </c>
      <c r="D12" s="122">
        <f t="shared" si="12"/>
        <v>450231.88</v>
      </c>
      <c r="E12" s="122">
        <f t="shared" si="12"/>
        <v>450231.88</v>
      </c>
      <c r="F12" s="122">
        <f t="shared" si="12"/>
        <v>450231.88</v>
      </c>
      <c r="G12" s="122">
        <f t="shared" si="12"/>
        <v>450231.88</v>
      </c>
      <c r="H12" s="122">
        <f t="shared" si="12"/>
        <v>450231.88</v>
      </c>
      <c r="I12" s="122">
        <f t="shared" si="12"/>
        <v>450231.88</v>
      </c>
      <c r="J12" s="122">
        <f t="shared" si="12"/>
        <v>450231.88</v>
      </c>
      <c r="K12" s="122">
        <f t="shared" si="12"/>
        <v>0</v>
      </c>
      <c r="L12" s="122">
        <f t="shared" si="12"/>
        <v>36512982.240000002</v>
      </c>
      <c r="M12" s="251">
        <f t="shared" si="12"/>
        <v>44098766.640000001</v>
      </c>
      <c r="N12" s="122">
        <f t="shared" si="12"/>
        <v>501303189</v>
      </c>
      <c r="O12" s="122">
        <f t="shared" si="12"/>
        <v>3517081.6000000001</v>
      </c>
      <c r="P12" s="122">
        <f t="shared" si="12"/>
        <v>6908675.9000000004</v>
      </c>
      <c r="Q12" s="122">
        <f t="shared" si="12"/>
        <v>11789321</v>
      </c>
      <c r="R12" s="122">
        <f t="shared" si="12"/>
        <v>18994691.300000001</v>
      </c>
      <c r="S12" s="122">
        <f t="shared" si="12"/>
        <v>22454541.600000001</v>
      </c>
      <c r="T12" s="122">
        <f t="shared" si="12"/>
        <v>26410420.600000001</v>
      </c>
      <c r="U12" s="122">
        <f t="shared" si="12"/>
        <v>26926250.600000001</v>
      </c>
      <c r="V12" s="122">
        <f t="shared" si="12"/>
        <v>33347619.100000001</v>
      </c>
      <c r="W12" s="122">
        <f t="shared" si="12"/>
        <v>33422579.100000001</v>
      </c>
      <c r="X12" s="122">
        <f t="shared" si="12"/>
        <v>38700575.200000003</v>
      </c>
      <c r="Y12" s="122">
        <f t="shared" si="12"/>
        <v>41656113.100000001</v>
      </c>
      <c r="Z12" s="122">
        <f t="shared" si="12"/>
        <v>374662272</v>
      </c>
      <c r="AA12" s="280">
        <f t="shared" si="8"/>
        <v>126640917</v>
      </c>
      <c r="AB12" s="122">
        <f t="shared" si="12"/>
        <v>292711117</v>
      </c>
      <c r="AC12" s="122">
        <f t="shared" si="12"/>
        <v>2909434</v>
      </c>
      <c r="AD12" s="122">
        <f t="shared" si="12"/>
        <v>3012836.2</v>
      </c>
      <c r="AE12" s="122">
        <f t="shared" si="12"/>
        <v>2711641.7</v>
      </c>
      <c r="AF12" s="122">
        <f t="shared" si="12"/>
        <v>6710641.7000000002</v>
      </c>
      <c r="AG12" s="122">
        <f t="shared" si="12"/>
        <v>10346655.5</v>
      </c>
      <c r="AH12" s="122">
        <f t="shared" si="12"/>
        <v>12844979.1</v>
      </c>
      <c r="AI12" s="122">
        <f t="shared" si="12"/>
        <v>13196957.800000001</v>
      </c>
      <c r="AJ12" s="122">
        <f t="shared" si="12"/>
        <v>14914963.5</v>
      </c>
      <c r="AK12" s="122">
        <f t="shared" si="12"/>
        <v>15326564.6</v>
      </c>
      <c r="AL12" s="122">
        <f t="shared" si="12"/>
        <v>0</v>
      </c>
      <c r="AM12" s="122">
        <f t="shared" si="12"/>
        <v>0</v>
      </c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</row>
    <row r="13" spans="1:52" ht="14.45">
      <c r="A13" s="66" t="s">
        <v>94</v>
      </c>
      <c r="B13" s="232">
        <v>368947.88</v>
      </c>
      <c r="C13" s="232">
        <v>368947.88</v>
      </c>
      <c r="D13" s="232">
        <v>368947.88</v>
      </c>
      <c r="E13" s="232">
        <v>368947.88</v>
      </c>
      <c r="F13" s="232">
        <v>368947.88</v>
      </c>
      <c r="G13" s="232">
        <v>368947.88</v>
      </c>
      <c r="H13" s="232">
        <v>368947.88</v>
      </c>
      <c r="I13" s="232">
        <v>368947.88</v>
      </c>
      <c r="J13" s="232">
        <v>368947.88</v>
      </c>
      <c r="K13" s="224"/>
      <c r="L13" s="232">
        <v>1386128.84</v>
      </c>
      <c r="M13" s="252">
        <v>1410528.84</v>
      </c>
      <c r="N13" s="120">
        <v>395957045</v>
      </c>
      <c r="O13" s="261">
        <v>0</v>
      </c>
      <c r="P13" s="261">
        <v>6000</v>
      </c>
      <c r="Q13" s="261">
        <v>0</v>
      </c>
      <c r="R13" s="261">
        <v>0</v>
      </c>
      <c r="S13" s="261">
        <v>0</v>
      </c>
      <c r="T13" s="261">
        <v>0</v>
      </c>
      <c r="U13" s="261">
        <v>0</v>
      </c>
      <c r="V13" s="261">
        <v>0</v>
      </c>
      <c r="W13" s="261">
        <v>0</v>
      </c>
      <c r="X13" s="261">
        <v>0</v>
      </c>
      <c r="Y13" s="261">
        <v>0</v>
      </c>
      <c r="Z13" s="261">
        <v>294891893</v>
      </c>
      <c r="AA13" s="280">
        <f t="shared" si="8"/>
        <v>101065152</v>
      </c>
      <c r="AB13" s="281">
        <v>258007684</v>
      </c>
      <c r="AC13" s="299">
        <v>0</v>
      </c>
      <c r="AD13" s="301">
        <v>0</v>
      </c>
      <c r="AE13" s="301">
        <v>0</v>
      </c>
      <c r="AF13" s="301">
        <v>0</v>
      </c>
      <c r="AG13" s="299">
        <v>0</v>
      </c>
      <c r="AH13" s="299">
        <v>0</v>
      </c>
      <c r="AI13" s="299">
        <v>0</v>
      </c>
      <c r="AJ13" s="301">
        <v>0</v>
      </c>
      <c r="AK13" s="301">
        <v>0</v>
      </c>
    </row>
    <row r="14" spans="1:52" ht="14.45">
      <c r="A14" s="66" t="s">
        <v>95</v>
      </c>
      <c r="B14" s="232">
        <v>0</v>
      </c>
      <c r="C14" s="232">
        <v>0</v>
      </c>
      <c r="D14" s="232">
        <v>0</v>
      </c>
      <c r="E14" s="232">
        <v>0</v>
      </c>
      <c r="F14" s="232">
        <v>0</v>
      </c>
      <c r="G14" s="232">
        <v>0</v>
      </c>
      <c r="H14" s="232">
        <v>0</v>
      </c>
      <c r="I14" s="232">
        <v>0</v>
      </c>
      <c r="J14" s="232">
        <v>0</v>
      </c>
      <c r="K14" s="224"/>
      <c r="L14" s="232">
        <v>0</v>
      </c>
      <c r="M14" s="252">
        <v>0</v>
      </c>
      <c r="N14" s="120"/>
      <c r="O14" s="261">
        <v>0</v>
      </c>
      <c r="P14" s="261">
        <v>0</v>
      </c>
      <c r="Q14" s="261">
        <v>0</v>
      </c>
      <c r="R14" s="261">
        <v>0</v>
      </c>
      <c r="S14" s="261">
        <v>0</v>
      </c>
      <c r="T14" s="261">
        <v>0</v>
      </c>
      <c r="U14" s="261">
        <v>0</v>
      </c>
      <c r="V14" s="261">
        <v>0</v>
      </c>
      <c r="W14" s="261">
        <v>0</v>
      </c>
      <c r="X14" s="261">
        <v>0</v>
      </c>
      <c r="Y14" s="261">
        <v>0</v>
      </c>
      <c r="Z14" s="261"/>
      <c r="AA14" s="280">
        <f t="shared" si="8"/>
        <v>0</v>
      </c>
      <c r="AB14" s="121"/>
      <c r="AC14" s="303">
        <v>0</v>
      </c>
      <c r="AD14" s="305">
        <v>0</v>
      </c>
      <c r="AE14" s="305">
        <v>0</v>
      </c>
      <c r="AF14" s="305">
        <v>0</v>
      </c>
      <c r="AG14" s="303">
        <v>0</v>
      </c>
      <c r="AH14" s="303">
        <v>0</v>
      </c>
      <c r="AI14" s="303">
        <v>0</v>
      </c>
      <c r="AJ14" s="305">
        <v>0</v>
      </c>
      <c r="AK14" s="305">
        <v>0</v>
      </c>
    </row>
    <row r="15" spans="1:52" ht="14.45">
      <c r="A15" s="66" t="s">
        <v>96</v>
      </c>
      <c r="B15" s="232">
        <v>0</v>
      </c>
      <c r="C15" s="232">
        <v>0</v>
      </c>
      <c r="D15" s="232">
        <v>0</v>
      </c>
      <c r="E15" s="232">
        <v>0</v>
      </c>
      <c r="F15" s="232">
        <v>0</v>
      </c>
      <c r="G15" s="232">
        <v>0</v>
      </c>
      <c r="H15" s="232">
        <v>0</v>
      </c>
      <c r="I15" s="232">
        <v>0</v>
      </c>
      <c r="J15" s="232">
        <v>0</v>
      </c>
      <c r="K15" s="224"/>
      <c r="L15" s="232">
        <v>0</v>
      </c>
      <c r="M15" s="252">
        <v>0</v>
      </c>
      <c r="N15" s="120"/>
      <c r="O15" s="261">
        <v>0</v>
      </c>
      <c r="P15" s="261">
        <v>0</v>
      </c>
      <c r="Q15" s="261">
        <v>0</v>
      </c>
      <c r="R15" s="261">
        <v>0</v>
      </c>
      <c r="S15" s="261">
        <v>0</v>
      </c>
      <c r="T15" s="261">
        <v>0</v>
      </c>
      <c r="U15" s="261">
        <v>0</v>
      </c>
      <c r="V15" s="261">
        <v>0</v>
      </c>
      <c r="W15" s="261">
        <v>0</v>
      </c>
      <c r="X15" s="261">
        <v>0</v>
      </c>
      <c r="Y15" s="261">
        <v>0</v>
      </c>
      <c r="Z15" s="261"/>
      <c r="AA15" s="280">
        <f t="shared" si="8"/>
        <v>0</v>
      </c>
      <c r="AB15" s="121"/>
      <c r="AC15" s="303">
        <v>0</v>
      </c>
      <c r="AD15" s="305">
        <v>0</v>
      </c>
      <c r="AE15" s="305">
        <v>0</v>
      </c>
      <c r="AF15" s="305">
        <v>0</v>
      </c>
      <c r="AG15" s="303">
        <v>0</v>
      </c>
      <c r="AH15" s="303">
        <v>0</v>
      </c>
      <c r="AI15" s="303">
        <v>0</v>
      </c>
      <c r="AJ15" s="305">
        <v>0</v>
      </c>
      <c r="AK15" s="305">
        <v>0</v>
      </c>
    </row>
    <row r="16" spans="1:52" ht="14.45">
      <c r="A16" s="66" t="s">
        <v>97</v>
      </c>
      <c r="B16" s="232">
        <v>0</v>
      </c>
      <c r="C16" s="232">
        <v>0</v>
      </c>
      <c r="D16" s="232">
        <v>0</v>
      </c>
      <c r="E16" s="232">
        <v>0</v>
      </c>
      <c r="F16" s="232">
        <v>0</v>
      </c>
      <c r="G16" s="232">
        <v>0</v>
      </c>
      <c r="H16" s="232">
        <v>0</v>
      </c>
      <c r="I16" s="232">
        <v>0</v>
      </c>
      <c r="J16" s="232">
        <v>0</v>
      </c>
      <c r="K16" s="224"/>
      <c r="L16" s="232">
        <v>0</v>
      </c>
      <c r="M16" s="252">
        <v>0</v>
      </c>
      <c r="N16" s="120">
        <v>85275359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Z16" s="261"/>
      <c r="AA16" s="280">
        <f t="shared" si="8"/>
        <v>85275359</v>
      </c>
      <c r="AB16" s="121"/>
      <c r="AC16" s="303">
        <v>0</v>
      </c>
      <c r="AD16" s="305">
        <v>0</v>
      </c>
      <c r="AE16" s="305">
        <v>0</v>
      </c>
      <c r="AF16" s="305">
        <v>0</v>
      </c>
      <c r="AG16" s="303">
        <v>0</v>
      </c>
      <c r="AH16" s="303">
        <v>0</v>
      </c>
      <c r="AI16" s="303">
        <v>0</v>
      </c>
      <c r="AJ16" s="305">
        <v>0</v>
      </c>
      <c r="AK16" s="305">
        <v>0</v>
      </c>
    </row>
    <row r="17" spans="1:52" ht="14.45">
      <c r="A17" s="66" t="s">
        <v>98</v>
      </c>
      <c r="B17" s="232">
        <v>81284</v>
      </c>
      <c r="C17" s="232">
        <v>81284</v>
      </c>
      <c r="D17" s="232">
        <v>81284</v>
      </c>
      <c r="E17" s="232">
        <v>81284</v>
      </c>
      <c r="F17" s="232">
        <v>81284</v>
      </c>
      <c r="G17" s="232">
        <v>81284</v>
      </c>
      <c r="H17" s="232">
        <v>81284</v>
      </c>
      <c r="I17" s="232">
        <v>81284</v>
      </c>
      <c r="J17" s="232">
        <v>81284</v>
      </c>
      <c r="K17" s="224"/>
      <c r="L17" s="232">
        <v>35126853.399999999</v>
      </c>
      <c r="M17" s="252">
        <v>42688237.799999997</v>
      </c>
      <c r="N17" s="120">
        <v>20070785</v>
      </c>
      <c r="O17" s="261">
        <v>3517081.6000000001</v>
      </c>
      <c r="P17" s="261">
        <v>6902675.9000000004</v>
      </c>
      <c r="Q17" s="261">
        <v>11789321</v>
      </c>
      <c r="R17" s="261">
        <v>18994691.300000001</v>
      </c>
      <c r="S17" s="261">
        <v>22454541.600000001</v>
      </c>
      <c r="T17" s="261">
        <v>26410420.600000001</v>
      </c>
      <c r="U17" s="261">
        <v>26926250.600000001</v>
      </c>
      <c r="V17" s="261">
        <v>33347619.100000001</v>
      </c>
      <c r="W17" s="261">
        <v>33422579.100000001</v>
      </c>
      <c r="X17" s="261">
        <v>38700575.200000003</v>
      </c>
      <c r="Y17" s="261">
        <v>41656113.100000001</v>
      </c>
      <c r="Z17" s="261"/>
      <c r="AA17" s="280">
        <f t="shared" si="8"/>
        <v>20070785</v>
      </c>
      <c r="AB17" s="121"/>
      <c r="AC17" s="304">
        <v>2909434</v>
      </c>
      <c r="AD17" s="306">
        <v>3012836.2</v>
      </c>
      <c r="AE17" s="306">
        <v>2711641.7</v>
      </c>
      <c r="AF17" s="306">
        <v>6710641.7000000002</v>
      </c>
      <c r="AG17" s="304">
        <v>10346655.5</v>
      </c>
      <c r="AH17" s="304">
        <v>12844979.1</v>
      </c>
      <c r="AI17" s="304">
        <v>13196957.800000001</v>
      </c>
      <c r="AJ17" s="306">
        <v>14914963.5</v>
      </c>
      <c r="AK17" s="306">
        <v>15326564.6</v>
      </c>
    </row>
    <row r="18" spans="1:52" ht="14.45">
      <c r="A18" s="66" t="s">
        <v>99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24"/>
      <c r="L18" s="232">
        <v>0</v>
      </c>
      <c r="M18" s="252">
        <v>0</v>
      </c>
      <c r="N18" s="120"/>
      <c r="O18" s="261">
        <v>0</v>
      </c>
      <c r="P18" s="261">
        <v>0</v>
      </c>
      <c r="Q18" s="261">
        <v>0</v>
      </c>
      <c r="R18" s="261">
        <v>0</v>
      </c>
      <c r="S18" s="261">
        <v>0</v>
      </c>
      <c r="T18" s="261">
        <v>0</v>
      </c>
      <c r="U18" s="261">
        <v>0</v>
      </c>
      <c r="V18" s="261">
        <v>0</v>
      </c>
      <c r="W18" s="261">
        <v>0</v>
      </c>
      <c r="X18" s="261">
        <v>0</v>
      </c>
      <c r="Y18" s="261">
        <v>0</v>
      </c>
      <c r="Z18" s="261">
        <v>79770379</v>
      </c>
      <c r="AA18" s="280">
        <f t="shared" si="8"/>
        <v>-79770379</v>
      </c>
      <c r="AB18" s="120">
        <v>34703433</v>
      </c>
      <c r="AC18" s="303">
        <v>0</v>
      </c>
      <c r="AD18" s="305">
        <v>0</v>
      </c>
      <c r="AE18" s="305">
        <v>0</v>
      </c>
      <c r="AF18" s="305">
        <v>0</v>
      </c>
      <c r="AG18" s="303">
        <v>0</v>
      </c>
      <c r="AH18" s="303">
        <v>0</v>
      </c>
      <c r="AI18" s="303">
        <v>0</v>
      </c>
      <c r="AJ18" s="305">
        <v>0</v>
      </c>
      <c r="AK18" s="305">
        <v>0</v>
      </c>
    </row>
    <row r="19" spans="1:52" s="146" customFormat="1" ht="14.45">
      <c r="A19" s="144" t="s">
        <v>100</v>
      </c>
      <c r="B19" s="122">
        <f t="shared" ref="B19:N19" si="13">B3-B12</f>
        <v>41737821.149999999</v>
      </c>
      <c r="C19" s="122">
        <f t="shared" si="13"/>
        <v>79016795.480000004</v>
      </c>
      <c r="D19" s="122">
        <f t="shared" si="13"/>
        <v>135914312.31</v>
      </c>
      <c r="E19" s="122">
        <f t="shared" si="13"/>
        <v>231981095.53</v>
      </c>
      <c r="F19" s="122">
        <f t="shared" si="13"/>
        <v>275252236.74000001</v>
      </c>
      <c r="G19" s="122">
        <f t="shared" si="13"/>
        <v>318554991.95000005</v>
      </c>
      <c r="H19" s="122">
        <f t="shared" si="13"/>
        <v>364276062.06000006</v>
      </c>
      <c r="I19" s="122">
        <f t="shared" si="13"/>
        <v>410920337.47000003</v>
      </c>
      <c r="J19" s="122">
        <f t="shared" si="13"/>
        <v>457054132.88999999</v>
      </c>
      <c r="K19" s="122">
        <f t="shared" si="13"/>
        <v>0</v>
      </c>
      <c r="L19" s="122">
        <f t="shared" si="13"/>
        <v>513641380.72000003</v>
      </c>
      <c r="M19" s="251">
        <f t="shared" si="13"/>
        <v>555625520.57000005</v>
      </c>
      <c r="N19" s="122">
        <f t="shared" si="13"/>
        <v>318667000</v>
      </c>
      <c r="O19" s="122">
        <f t="shared" ref="O19:AF19" si="14">O3-O12</f>
        <v>40021648.889999993</v>
      </c>
      <c r="P19" s="122">
        <f t="shared" si="14"/>
        <v>82740164.620000005</v>
      </c>
      <c r="Q19" s="122">
        <f t="shared" si="14"/>
        <v>197931136.08000001</v>
      </c>
      <c r="R19" s="122">
        <f t="shared" si="14"/>
        <v>240634829.21999997</v>
      </c>
      <c r="S19" s="122">
        <f t="shared" si="14"/>
        <v>326285442.85000002</v>
      </c>
      <c r="T19" s="122">
        <f t="shared" si="14"/>
        <v>371771941.25</v>
      </c>
      <c r="U19" s="122">
        <f t="shared" si="14"/>
        <v>418703679.87</v>
      </c>
      <c r="V19" s="122">
        <f t="shared" si="14"/>
        <v>461042928.20000005</v>
      </c>
      <c r="W19" s="122">
        <f t="shared" si="14"/>
        <v>510961037.63999999</v>
      </c>
      <c r="X19" s="122">
        <f t="shared" si="14"/>
        <v>559300642.01999998</v>
      </c>
      <c r="Y19" s="122">
        <f t="shared" si="14"/>
        <v>624862552.60000002</v>
      </c>
      <c r="Z19" s="122">
        <f t="shared" ref="Z19" si="15">Z3-Z12</f>
        <v>321322020</v>
      </c>
      <c r="AA19" s="280">
        <f t="shared" si="8"/>
        <v>-2655020</v>
      </c>
      <c r="AB19" s="122">
        <f t="shared" si="14"/>
        <v>419824457</v>
      </c>
      <c r="AC19" s="122">
        <f t="shared" si="14"/>
        <v>68804523.930000007</v>
      </c>
      <c r="AD19" s="122">
        <f t="shared" si="14"/>
        <v>136470620.29000002</v>
      </c>
      <c r="AE19" s="122">
        <f t="shared" si="14"/>
        <v>205212461.37</v>
      </c>
      <c r="AF19" s="122">
        <f t="shared" si="14"/>
        <v>276439049.13999999</v>
      </c>
      <c r="AG19" s="122">
        <f t="shared" ref="AG19:AJ19" si="16">AG3-AG12</f>
        <v>352009062.63</v>
      </c>
      <c r="AH19" s="122">
        <f t="shared" si="16"/>
        <v>483966361.34999996</v>
      </c>
      <c r="AI19" s="122">
        <f t="shared" si="16"/>
        <v>550734657.77999997</v>
      </c>
      <c r="AJ19" s="122">
        <f t="shared" si="16"/>
        <v>621287021.34000003</v>
      </c>
      <c r="AK19" s="122">
        <f t="shared" ref="AK19:AM19" si="17">AK3-AK12</f>
        <v>696796444.31999993</v>
      </c>
      <c r="AL19" s="122">
        <f t="shared" si="17"/>
        <v>0</v>
      </c>
      <c r="AM19" s="122">
        <f t="shared" si="17"/>
        <v>0</v>
      </c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</row>
    <row r="20" spans="1:52" s="146" customFormat="1" ht="14.45">
      <c r="A20" s="144" t="s">
        <v>43</v>
      </c>
      <c r="B20" s="122">
        <f t="shared" ref="B20:N20" si="18">B21-B22</f>
        <v>0</v>
      </c>
      <c r="C20" s="122">
        <f t="shared" si="18"/>
        <v>0</v>
      </c>
      <c r="D20" s="122">
        <f t="shared" si="18"/>
        <v>0</v>
      </c>
      <c r="E20" s="122">
        <f t="shared" si="18"/>
        <v>0</v>
      </c>
      <c r="F20" s="122">
        <f t="shared" si="18"/>
        <v>0</v>
      </c>
      <c r="G20" s="122">
        <f t="shared" si="18"/>
        <v>0</v>
      </c>
      <c r="H20" s="122">
        <f t="shared" si="18"/>
        <v>0</v>
      </c>
      <c r="I20" s="122">
        <f t="shared" si="18"/>
        <v>0</v>
      </c>
      <c r="J20" s="122">
        <f t="shared" si="18"/>
        <v>0</v>
      </c>
      <c r="K20" s="122">
        <f t="shared" si="18"/>
        <v>0</v>
      </c>
      <c r="L20" s="122">
        <f t="shared" si="18"/>
        <v>0</v>
      </c>
      <c r="M20" s="251">
        <f t="shared" si="18"/>
        <v>0</v>
      </c>
      <c r="N20" s="161">
        <f t="shared" si="18"/>
        <v>0</v>
      </c>
      <c r="O20" s="161">
        <f t="shared" ref="O20:AF20" si="19">O21-O22</f>
        <v>0</v>
      </c>
      <c r="P20" s="161">
        <f t="shared" si="19"/>
        <v>0</v>
      </c>
      <c r="Q20" s="161">
        <f t="shared" si="19"/>
        <v>0</v>
      </c>
      <c r="R20" s="161">
        <f t="shared" si="19"/>
        <v>0</v>
      </c>
      <c r="S20" s="161">
        <f t="shared" si="19"/>
        <v>0</v>
      </c>
      <c r="T20" s="161">
        <f t="shared" si="19"/>
        <v>0</v>
      </c>
      <c r="U20" s="161">
        <f t="shared" si="19"/>
        <v>0</v>
      </c>
      <c r="V20" s="161">
        <f t="shared" si="19"/>
        <v>0</v>
      </c>
      <c r="W20" s="161">
        <f t="shared" si="19"/>
        <v>0</v>
      </c>
      <c r="X20" s="161">
        <f t="shared" si="19"/>
        <v>0</v>
      </c>
      <c r="Y20" s="161">
        <f t="shared" si="19"/>
        <v>0</v>
      </c>
      <c r="Z20" s="161">
        <f t="shared" ref="Z20" si="20">Z21-Z22</f>
        <v>10504980</v>
      </c>
      <c r="AA20" s="280">
        <f t="shared" si="8"/>
        <v>-10504980</v>
      </c>
      <c r="AB20" s="161">
        <f t="shared" si="19"/>
        <v>16836415</v>
      </c>
      <c r="AC20" s="161">
        <f t="shared" si="19"/>
        <v>0</v>
      </c>
      <c r="AD20" s="161">
        <f t="shared" si="19"/>
        <v>0</v>
      </c>
      <c r="AE20" s="161">
        <f t="shared" si="19"/>
        <v>0</v>
      </c>
      <c r="AF20" s="161">
        <f t="shared" si="19"/>
        <v>0</v>
      </c>
      <c r="AG20" s="161">
        <f t="shared" ref="AG20:AJ20" si="21">AG21-AG22</f>
        <v>0</v>
      </c>
      <c r="AH20" s="161">
        <f t="shared" si="21"/>
        <v>0</v>
      </c>
      <c r="AI20" s="161">
        <f t="shared" si="21"/>
        <v>0</v>
      </c>
      <c r="AJ20" s="161">
        <f t="shared" si="21"/>
        <v>0</v>
      </c>
      <c r="AK20" s="161">
        <f t="shared" ref="AK20:AM20" si="22">AK21-AK22</f>
        <v>0</v>
      </c>
      <c r="AL20" s="161">
        <f t="shared" si="22"/>
        <v>0</v>
      </c>
      <c r="AM20" s="161">
        <f t="shared" si="22"/>
        <v>0</v>
      </c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</row>
    <row r="21" spans="1:52" ht="14.45">
      <c r="A21" s="66" t="s">
        <v>101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24"/>
      <c r="L21" s="232">
        <v>0</v>
      </c>
      <c r="M21" s="252">
        <v>0</v>
      </c>
      <c r="N21" s="120"/>
      <c r="O21" s="261">
        <v>0</v>
      </c>
      <c r="P21" s="261">
        <v>0</v>
      </c>
      <c r="Q21" s="261">
        <v>0</v>
      </c>
      <c r="R21" s="261">
        <v>0</v>
      </c>
      <c r="S21" s="261">
        <v>0</v>
      </c>
      <c r="T21" s="261">
        <v>0</v>
      </c>
      <c r="U21" s="261">
        <v>0</v>
      </c>
      <c r="V21" s="261">
        <v>0</v>
      </c>
      <c r="W21" s="261">
        <v>0</v>
      </c>
      <c r="X21" s="261">
        <v>0</v>
      </c>
      <c r="Y21" s="261">
        <v>0</v>
      </c>
      <c r="Z21" s="263">
        <v>10504980</v>
      </c>
      <c r="AA21" s="280">
        <f t="shared" si="8"/>
        <v>-10504980</v>
      </c>
      <c r="AB21" s="264">
        <v>16836415</v>
      </c>
      <c r="AC21" s="299">
        <v>0</v>
      </c>
      <c r="AD21" s="301">
        <v>0</v>
      </c>
      <c r="AE21" s="301">
        <v>0</v>
      </c>
      <c r="AF21" s="301">
        <v>0</v>
      </c>
      <c r="AG21" s="299">
        <v>0</v>
      </c>
      <c r="AH21" s="299">
        <v>0</v>
      </c>
      <c r="AI21" s="299">
        <v>0</v>
      </c>
      <c r="AJ21" s="301">
        <v>0</v>
      </c>
      <c r="AK21" s="301">
        <v>0</v>
      </c>
    </row>
    <row r="22" spans="1:52" ht="14.45">
      <c r="A22" s="66" t="s">
        <v>102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24"/>
      <c r="L22" s="232">
        <v>0</v>
      </c>
      <c r="M22" s="252">
        <v>0</v>
      </c>
      <c r="N22" s="120"/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Z22" s="261"/>
      <c r="AA22" s="280">
        <f t="shared" si="8"/>
        <v>0</v>
      </c>
      <c r="AB22" s="121"/>
      <c r="AC22" s="303">
        <v>0</v>
      </c>
      <c r="AD22" s="305">
        <v>0</v>
      </c>
      <c r="AE22" s="305">
        <v>0</v>
      </c>
      <c r="AF22" s="305">
        <v>0</v>
      </c>
      <c r="AG22" s="303">
        <v>0</v>
      </c>
      <c r="AH22" s="303">
        <v>0</v>
      </c>
      <c r="AI22" s="303">
        <v>0</v>
      </c>
      <c r="AJ22" s="305">
        <v>0</v>
      </c>
      <c r="AK22" s="305">
        <v>0</v>
      </c>
    </row>
    <row r="23" spans="1:52" s="146" customFormat="1" ht="14.45">
      <c r="A23" s="144" t="s">
        <v>103</v>
      </c>
      <c r="B23" s="148">
        <f t="shared" ref="B23:AM23" si="23">SUM(B24:B28)</f>
        <v>13756947.970000001</v>
      </c>
      <c r="C23" s="148">
        <f t="shared" si="23"/>
        <v>25907963.979999997</v>
      </c>
      <c r="D23" s="148">
        <f t="shared" si="23"/>
        <v>46489716.900000006</v>
      </c>
      <c r="E23" s="148">
        <f t="shared" si="23"/>
        <v>68072060.239999995</v>
      </c>
      <c r="F23" s="148">
        <f t="shared" si="23"/>
        <v>86624429.069999993</v>
      </c>
      <c r="G23" s="148">
        <f t="shared" si="23"/>
        <v>98517771.170000002</v>
      </c>
      <c r="H23" s="148">
        <f t="shared" si="23"/>
        <v>125568159.00999999</v>
      </c>
      <c r="I23" s="148">
        <f t="shared" si="23"/>
        <v>154794273.80000001</v>
      </c>
      <c r="J23" s="148">
        <f t="shared" si="23"/>
        <v>182368924.63</v>
      </c>
      <c r="K23" s="148">
        <f t="shared" si="23"/>
        <v>0</v>
      </c>
      <c r="L23" s="148">
        <f t="shared" si="23"/>
        <v>229447985.84</v>
      </c>
      <c r="M23" s="253">
        <f t="shared" si="23"/>
        <v>264087623.94</v>
      </c>
      <c r="N23" s="148">
        <f t="shared" si="23"/>
        <v>221695463</v>
      </c>
      <c r="O23" s="148">
        <f t="shared" si="23"/>
        <v>12654341.75</v>
      </c>
      <c r="P23" s="148">
        <f t="shared" si="23"/>
        <v>51053282.879999995</v>
      </c>
      <c r="Q23" s="148">
        <f t="shared" si="23"/>
        <v>105401343.69999999</v>
      </c>
      <c r="R23" s="148">
        <f t="shared" si="23"/>
        <v>113632789.19</v>
      </c>
      <c r="S23" s="148">
        <f t="shared" si="23"/>
        <v>134447651.38</v>
      </c>
      <c r="T23" s="148">
        <f t="shared" si="23"/>
        <v>165600153.97</v>
      </c>
      <c r="U23" s="148">
        <f t="shared" si="23"/>
        <v>177397356.46999997</v>
      </c>
      <c r="V23" s="148">
        <f t="shared" si="23"/>
        <v>206855205.07999998</v>
      </c>
      <c r="W23" s="148">
        <f t="shared" si="23"/>
        <v>246920360.82999998</v>
      </c>
      <c r="X23" s="148">
        <f t="shared" si="23"/>
        <v>276754054.25</v>
      </c>
      <c r="Y23" s="148">
        <f t="shared" si="23"/>
        <v>307000595.81999999</v>
      </c>
      <c r="Z23" s="148">
        <f t="shared" si="23"/>
        <v>287495990</v>
      </c>
      <c r="AA23" s="280">
        <f t="shared" si="8"/>
        <v>-65800527</v>
      </c>
      <c r="AB23" s="148">
        <f t="shared" si="23"/>
        <v>300724749</v>
      </c>
      <c r="AC23" s="148">
        <f t="shared" si="23"/>
        <v>24186407.420000002</v>
      </c>
      <c r="AD23" s="148">
        <f t="shared" si="23"/>
        <v>54526621.710000001</v>
      </c>
      <c r="AE23" s="148">
        <f t="shared" si="23"/>
        <v>96715064.780000001</v>
      </c>
      <c r="AF23" s="148">
        <f t="shared" si="23"/>
        <v>116742324.69999999</v>
      </c>
      <c r="AG23" s="148">
        <f t="shared" si="23"/>
        <v>149128510.41999999</v>
      </c>
      <c r="AH23" s="148">
        <f t="shared" si="23"/>
        <v>176277219.17000002</v>
      </c>
      <c r="AI23" s="148">
        <f t="shared" si="23"/>
        <v>201301095.60000002</v>
      </c>
      <c r="AJ23" s="148">
        <f t="shared" si="23"/>
        <v>219720506.05000001</v>
      </c>
      <c r="AK23" s="148">
        <f t="shared" si="23"/>
        <v>245170237.44999999</v>
      </c>
      <c r="AL23" s="148">
        <f t="shared" si="23"/>
        <v>0</v>
      </c>
      <c r="AM23" s="148">
        <f t="shared" si="23"/>
        <v>0</v>
      </c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</row>
    <row r="24" spans="1:52" ht="14.45">
      <c r="A24" s="66" t="s">
        <v>104</v>
      </c>
      <c r="B24" s="232">
        <v>6130811.9000000004</v>
      </c>
      <c r="C24" s="232">
        <v>13036340.9</v>
      </c>
      <c r="D24" s="232">
        <v>23929473.199999999</v>
      </c>
      <c r="E24" s="232">
        <v>39561445.799999997</v>
      </c>
      <c r="F24" s="232">
        <v>47643864.600000001</v>
      </c>
      <c r="G24" s="232">
        <v>55923812</v>
      </c>
      <c r="H24" s="232">
        <v>65084878.399999999</v>
      </c>
      <c r="I24" s="232">
        <v>75125662.299999997</v>
      </c>
      <c r="J24" s="232">
        <v>84296751.700000003</v>
      </c>
      <c r="K24" s="224"/>
      <c r="L24" s="232">
        <v>107591784.09999999</v>
      </c>
      <c r="M24" s="252">
        <v>116028086</v>
      </c>
      <c r="N24" s="120">
        <v>108600735</v>
      </c>
      <c r="O24" s="261">
        <v>3686772</v>
      </c>
      <c r="P24" s="261">
        <v>19985060.800000001</v>
      </c>
      <c r="Q24" s="261">
        <v>51525599.399999999</v>
      </c>
      <c r="R24" s="261">
        <v>52350417.200000003</v>
      </c>
      <c r="S24" s="261">
        <v>65131762.100000001</v>
      </c>
      <c r="T24" s="261">
        <v>75434333.700000003</v>
      </c>
      <c r="U24" s="261">
        <v>83560110.200000003</v>
      </c>
      <c r="V24" s="261">
        <v>94161024.400000006</v>
      </c>
      <c r="W24" s="261">
        <v>106938306.7</v>
      </c>
      <c r="X24" s="261">
        <v>116580685.2</v>
      </c>
      <c r="Y24" s="261">
        <v>129601002.09999999</v>
      </c>
      <c r="Z24" s="261">
        <v>134808061</v>
      </c>
      <c r="AA24" s="280">
        <f t="shared" si="8"/>
        <v>-26207326</v>
      </c>
      <c r="AB24" s="264">
        <v>137994298</v>
      </c>
      <c r="AC24" s="300">
        <v>10353612.4</v>
      </c>
      <c r="AD24" s="302">
        <v>22038937.199999999</v>
      </c>
      <c r="AE24" s="302">
        <v>40457461.200000003</v>
      </c>
      <c r="AF24" s="302">
        <v>53665897.600000001</v>
      </c>
      <c r="AG24" s="300">
        <v>69245108.099999994</v>
      </c>
      <c r="AH24" s="300">
        <v>96163683.5</v>
      </c>
      <c r="AI24" s="300">
        <v>107919285.8</v>
      </c>
      <c r="AJ24" s="302">
        <v>120340301.90000001</v>
      </c>
      <c r="AK24" s="302">
        <v>134419565.5</v>
      </c>
    </row>
    <row r="25" spans="1:52" ht="14.45">
      <c r="A25" s="66" t="s">
        <v>105</v>
      </c>
      <c r="B25" s="232">
        <v>4540475</v>
      </c>
      <c r="C25" s="232">
        <v>8511775</v>
      </c>
      <c r="D25" s="232">
        <v>12302075</v>
      </c>
      <c r="E25" s="232">
        <v>14755905</v>
      </c>
      <c r="F25" s="232">
        <v>17675745.140000001</v>
      </c>
      <c r="G25" s="232">
        <v>20436445.140000001</v>
      </c>
      <c r="H25" s="232">
        <v>34116459.140000001</v>
      </c>
      <c r="I25" s="232">
        <v>39444159.140000001</v>
      </c>
      <c r="J25" s="232">
        <v>50544554.310000002</v>
      </c>
      <c r="K25" s="224"/>
      <c r="L25" s="232">
        <v>66990493.310000002</v>
      </c>
      <c r="M25" s="252">
        <v>69050553.310000002</v>
      </c>
      <c r="N25" s="120">
        <v>51267848</v>
      </c>
      <c r="O25" s="261">
        <v>3426062.4</v>
      </c>
      <c r="P25" s="261">
        <v>15059524</v>
      </c>
      <c r="Q25" s="261">
        <v>29329257.48</v>
      </c>
      <c r="R25" s="261">
        <v>32458308.239999998</v>
      </c>
      <c r="S25" s="261">
        <v>36291319.439999998</v>
      </c>
      <c r="T25" s="261">
        <v>48172390.439999998</v>
      </c>
      <c r="U25" s="261">
        <v>50567390.439999998</v>
      </c>
      <c r="V25" s="261">
        <v>63418032.07</v>
      </c>
      <c r="W25" s="261">
        <v>67730444.069999993</v>
      </c>
      <c r="X25" s="261">
        <v>70969684.069999993</v>
      </c>
      <c r="Y25" s="261">
        <v>74783497.739999995</v>
      </c>
      <c r="Z25" s="261">
        <v>65790264</v>
      </c>
      <c r="AA25" s="280">
        <f t="shared" si="8"/>
        <v>-14522416</v>
      </c>
      <c r="AB25" s="264">
        <v>66558805</v>
      </c>
      <c r="AC25" s="304">
        <v>4199805</v>
      </c>
      <c r="AD25" s="306">
        <v>21116265</v>
      </c>
      <c r="AE25" s="306">
        <v>33710515</v>
      </c>
      <c r="AF25" s="306">
        <v>36687915</v>
      </c>
      <c r="AG25" s="304">
        <v>41013032</v>
      </c>
      <c r="AH25" s="304">
        <v>43822032</v>
      </c>
      <c r="AI25" s="304">
        <v>51547806</v>
      </c>
      <c r="AJ25" s="306">
        <v>54062326</v>
      </c>
      <c r="AK25" s="306">
        <v>57336894</v>
      </c>
    </row>
    <row r="26" spans="1:52" ht="14.45">
      <c r="A26" s="66" t="s">
        <v>106</v>
      </c>
      <c r="B26" s="232">
        <v>445500</v>
      </c>
      <c r="C26" s="232">
        <v>480500</v>
      </c>
      <c r="D26" s="232">
        <v>515500</v>
      </c>
      <c r="E26" s="232">
        <v>637674</v>
      </c>
      <c r="F26" s="232">
        <v>1672674</v>
      </c>
      <c r="G26" s="232">
        <v>1707674</v>
      </c>
      <c r="H26" s="232">
        <v>2082674</v>
      </c>
      <c r="I26" s="232">
        <v>2259330</v>
      </c>
      <c r="J26" s="232">
        <v>2294330</v>
      </c>
      <c r="K26" s="224"/>
      <c r="L26" s="232">
        <v>2602330</v>
      </c>
      <c r="M26" s="252">
        <v>2806929</v>
      </c>
      <c r="N26" s="120"/>
      <c r="O26" s="261">
        <v>38360</v>
      </c>
      <c r="P26" s="261">
        <v>325360</v>
      </c>
      <c r="Q26" s="261">
        <v>587236</v>
      </c>
      <c r="R26" s="261">
        <v>985543</v>
      </c>
      <c r="S26" s="261">
        <v>2717543</v>
      </c>
      <c r="T26" s="261">
        <v>2772463</v>
      </c>
      <c r="U26" s="261">
        <v>2807463</v>
      </c>
      <c r="V26" s="261">
        <v>3138683</v>
      </c>
      <c r="W26" s="261">
        <v>4723407</v>
      </c>
      <c r="X26" s="261">
        <v>5266506</v>
      </c>
      <c r="Y26" s="261">
        <v>8652906</v>
      </c>
      <c r="Z26" s="261"/>
      <c r="AA26" s="280">
        <f t="shared" si="8"/>
        <v>0</v>
      </c>
      <c r="AB26" s="121"/>
      <c r="AC26" s="304">
        <v>262800</v>
      </c>
      <c r="AD26" s="306">
        <v>294905</v>
      </c>
      <c r="AE26" s="306">
        <v>510505</v>
      </c>
      <c r="AF26" s="306">
        <v>650145</v>
      </c>
      <c r="AG26" s="304">
        <v>794945</v>
      </c>
      <c r="AH26" s="304">
        <v>2978062</v>
      </c>
      <c r="AI26" s="304">
        <v>5172622</v>
      </c>
      <c r="AJ26" s="306">
        <v>5362622</v>
      </c>
      <c r="AK26" s="306">
        <v>6967872</v>
      </c>
    </row>
    <row r="27" spans="1:52" ht="14.45">
      <c r="A27" s="66" t="s">
        <v>107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24"/>
      <c r="L27" s="232">
        <v>0</v>
      </c>
      <c r="M27" s="252">
        <v>20355463</v>
      </c>
      <c r="N27" s="120">
        <v>20355463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Z27" s="261">
        <v>20355463</v>
      </c>
      <c r="AA27" s="280">
        <f t="shared" si="8"/>
        <v>0</v>
      </c>
      <c r="AB27" s="264">
        <v>19908248</v>
      </c>
      <c r="AC27" s="303">
        <v>0</v>
      </c>
      <c r="AD27" s="305">
        <v>0</v>
      </c>
      <c r="AE27" s="305">
        <v>0</v>
      </c>
      <c r="AF27" s="305">
        <v>0</v>
      </c>
      <c r="AG27" s="303">
        <v>0</v>
      </c>
      <c r="AH27" s="303">
        <v>0</v>
      </c>
      <c r="AI27" s="303">
        <v>0</v>
      </c>
      <c r="AJ27" s="305">
        <v>0</v>
      </c>
      <c r="AK27" s="305">
        <v>0</v>
      </c>
    </row>
    <row r="28" spans="1:52" ht="14.45">
      <c r="A28" s="66" t="s">
        <v>108</v>
      </c>
      <c r="B28" s="232">
        <v>2640161.0699999998</v>
      </c>
      <c r="C28" s="232">
        <v>3879348.08</v>
      </c>
      <c r="D28" s="232">
        <v>9742668.6999999993</v>
      </c>
      <c r="E28" s="232">
        <v>13117035.439999999</v>
      </c>
      <c r="F28" s="232">
        <v>19632145.329999998</v>
      </c>
      <c r="G28" s="232">
        <v>20449840.030000001</v>
      </c>
      <c r="H28" s="232">
        <v>24284147.469999999</v>
      </c>
      <c r="I28" s="232">
        <v>37965122.359999999</v>
      </c>
      <c r="J28" s="232">
        <v>45233288.619999997</v>
      </c>
      <c r="K28" s="224"/>
      <c r="L28" s="232">
        <v>52263378.43</v>
      </c>
      <c r="M28" s="252">
        <v>55846592.630000003</v>
      </c>
      <c r="N28" s="120">
        <v>41471417</v>
      </c>
      <c r="O28" s="261">
        <v>5503147.3499999996</v>
      </c>
      <c r="P28" s="261">
        <v>15683338.08</v>
      </c>
      <c r="Q28" s="261">
        <v>23959250.82</v>
      </c>
      <c r="R28" s="261">
        <v>27838520.75</v>
      </c>
      <c r="S28" s="261">
        <v>30307026.84</v>
      </c>
      <c r="T28" s="261">
        <v>39220966.829999998</v>
      </c>
      <c r="U28" s="261">
        <v>40462392.829999998</v>
      </c>
      <c r="V28" s="261">
        <v>46137465.609999999</v>
      </c>
      <c r="W28" s="261">
        <v>67528203.060000002</v>
      </c>
      <c r="X28" s="261">
        <v>83937178.980000004</v>
      </c>
      <c r="Y28" s="261">
        <v>93963189.980000004</v>
      </c>
      <c r="Z28" s="261">
        <v>66542202</v>
      </c>
      <c r="AA28" s="280">
        <f t="shared" si="8"/>
        <v>-25070785</v>
      </c>
      <c r="AB28" s="264">
        <v>76263398</v>
      </c>
      <c r="AC28" s="304">
        <v>9370190.0199999996</v>
      </c>
      <c r="AD28" s="306">
        <v>11076514.51</v>
      </c>
      <c r="AE28" s="306">
        <v>22036583.579999998</v>
      </c>
      <c r="AF28" s="306">
        <v>25738367.100000001</v>
      </c>
      <c r="AG28" s="304">
        <v>38075425.32</v>
      </c>
      <c r="AH28" s="304">
        <v>33313441.670000002</v>
      </c>
      <c r="AI28" s="304">
        <v>36661381.799999997</v>
      </c>
      <c r="AJ28" s="306">
        <v>39955256.149999999</v>
      </c>
      <c r="AK28" s="306">
        <v>46445905.950000003</v>
      </c>
    </row>
    <row r="29" spans="1:52" s="146" customFormat="1" ht="14.45">
      <c r="A29" s="144" t="s">
        <v>109</v>
      </c>
      <c r="B29" s="122">
        <f t="shared" ref="B29:N29" si="24">B19-B20-B23</f>
        <v>27980873.18</v>
      </c>
      <c r="C29" s="122">
        <f t="shared" si="24"/>
        <v>53108831.500000007</v>
      </c>
      <c r="D29" s="122">
        <f t="shared" si="24"/>
        <v>89424595.409999996</v>
      </c>
      <c r="E29" s="122">
        <f t="shared" si="24"/>
        <v>163909035.29000002</v>
      </c>
      <c r="F29" s="122">
        <f t="shared" si="24"/>
        <v>188627807.67000002</v>
      </c>
      <c r="G29" s="122">
        <f t="shared" si="24"/>
        <v>220037220.78000003</v>
      </c>
      <c r="H29" s="122">
        <f t="shared" si="24"/>
        <v>238707903.05000007</v>
      </c>
      <c r="I29" s="122">
        <f t="shared" si="24"/>
        <v>256126063.67000002</v>
      </c>
      <c r="J29" s="122">
        <f t="shared" si="24"/>
        <v>274685208.25999999</v>
      </c>
      <c r="K29" s="122">
        <f t="shared" si="24"/>
        <v>0</v>
      </c>
      <c r="L29" s="122">
        <f t="shared" si="24"/>
        <v>284193394.88</v>
      </c>
      <c r="M29" s="251">
        <f t="shared" si="24"/>
        <v>291537896.63000005</v>
      </c>
      <c r="N29" s="122">
        <f t="shared" si="24"/>
        <v>96971537</v>
      </c>
      <c r="O29" s="122">
        <f t="shared" ref="O29:AF29" si="25">O19-O20-O23</f>
        <v>27367307.139999993</v>
      </c>
      <c r="P29" s="122">
        <f t="shared" si="25"/>
        <v>31686881.74000001</v>
      </c>
      <c r="Q29" s="122">
        <f t="shared" si="25"/>
        <v>92529792.380000025</v>
      </c>
      <c r="R29" s="122">
        <f t="shared" si="25"/>
        <v>127002040.02999997</v>
      </c>
      <c r="S29" s="122">
        <f t="shared" si="25"/>
        <v>191837791.47000003</v>
      </c>
      <c r="T29" s="122">
        <f t="shared" si="25"/>
        <v>206171787.28</v>
      </c>
      <c r="U29" s="122">
        <f t="shared" si="25"/>
        <v>241306323.40000004</v>
      </c>
      <c r="V29" s="122">
        <f t="shared" si="25"/>
        <v>254187723.12000006</v>
      </c>
      <c r="W29" s="122">
        <f t="shared" si="25"/>
        <v>264040676.81</v>
      </c>
      <c r="X29" s="122">
        <f t="shared" si="25"/>
        <v>282546587.76999998</v>
      </c>
      <c r="Y29" s="122">
        <f t="shared" si="25"/>
        <v>317861956.78000003</v>
      </c>
      <c r="Z29" s="122">
        <f t="shared" ref="Z29" si="26">Z19-Z20-Z23</f>
        <v>23321050</v>
      </c>
      <c r="AA29" s="280">
        <f t="shared" si="8"/>
        <v>73650487</v>
      </c>
      <c r="AB29" s="122">
        <f t="shared" si="25"/>
        <v>102263293</v>
      </c>
      <c r="AC29" s="122">
        <f t="shared" si="25"/>
        <v>44618116.510000005</v>
      </c>
      <c r="AD29" s="122">
        <f t="shared" si="25"/>
        <v>81943998.580000013</v>
      </c>
      <c r="AE29" s="122">
        <f t="shared" si="25"/>
        <v>108497396.59</v>
      </c>
      <c r="AF29" s="122">
        <f t="shared" si="25"/>
        <v>159696724.44</v>
      </c>
      <c r="AG29" s="122">
        <f t="shared" ref="AG29:AJ29" si="27">AG19-AG20-AG23</f>
        <v>202880552.21000001</v>
      </c>
      <c r="AH29" s="122">
        <f t="shared" si="27"/>
        <v>307689142.17999995</v>
      </c>
      <c r="AI29" s="122">
        <f t="shared" si="27"/>
        <v>349433562.17999995</v>
      </c>
      <c r="AJ29" s="122">
        <f t="shared" si="27"/>
        <v>401566515.29000002</v>
      </c>
      <c r="AK29" s="122">
        <f t="shared" ref="AK29:AN29" si="28">AK19-AK20-AK23</f>
        <v>451626206.86999995</v>
      </c>
      <c r="AL29" s="122">
        <f t="shared" si="28"/>
        <v>0</v>
      </c>
      <c r="AM29" s="122">
        <f t="shared" si="28"/>
        <v>0</v>
      </c>
      <c r="AN29" s="122">
        <f t="shared" si="28"/>
        <v>0</v>
      </c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</row>
    <row r="30" spans="1:52" s="147" customFormat="1" ht="14.45">
      <c r="A30" s="144" t="s">
        <v>110</v>
      </c>
      <c r="B30" s="122">
        <f t="shared" ref="B30:N30" si="29">B31-B32</f>
        <v>0</v>
      </c>
      <c r="C30" s="122">
        <f t="shared" si="29"/>
        <v>0</v>
      </c>
      <c r="D30" s="122">
        <f t="shared" si="29"/>
        <v>0</v>
      </c>
      <c r="E30" s="122">
        <f t="shared" si="29"/>
        <v>0</v>
      </c>
      <c r="F30" s="122">
        <f t="shared" si="29"/>
        <v>0</v>
      </c>
      <c r="G30" s="122">
        <f t="shared" si="29"/>
        <v>0</v>
      </c>
      <c r="H30" s="122">
        <f t="shared" si="29"/>
        <v>0</v>
      </c>
      <c r="I30" s="122">
        <f t="shared" si="29"/>
        <v>0</v>
      </c>
      <c r="J30" s="122">
        <f t="shared" si="29"/>
        <v>0</v>
      </c>
      <c r="K30" s="122">
        <f t="shared" si="29"/>
        <v>0</v>
      </c>
      <c r="L30" s="122">
        <f t="shared" si="29"/>
        <v>0</v>
      </c>
      <c r="M30" s="251">
        <f t="shared" si="29"/>
        <v>0</v>
      </c>
      <c r="N30" s="161">
        <f t="shared" si="29"/>
        <v>0</v>
      </c>
      <c r="O30" s="161">
        <f t="shared" ref="O30:AF30" si="30">O31-O32</f>
        <v>0</v>
      </c>
      <c r="P30" s="161">
        <f t="shared" si="30"/>
        <v>0</v>
      </c>
      <c r="Q30" s="161">
        <f t="shared" si="30"/>
        <v>0</v>
      </c>
      <c r="R30" s="161">
        <f t="shared" si="30"/>
        <v>0</v>
      </c>
      <c r="S30" s="161">
        <f t="shared" si="30"/>
        <v>0</v>
      </c>
      <c r="T30" s="161">
        <f t="shared" si="30"/>
        <v>0</v>
      </c>
      <c r="U30" s="161">
        <f t="shared" si="30"/>
        <v>0</v>
      </c>
      <c r="V30" s="161">
        <f t="shared" si="30"/>
        <v>0</v>
      </c>
      <c r="W30" s="161">
        <f t="shared" si="30"/>
        <v>0</v>
      </c>
      <c r="X30" s="161">
        <f t="shared" si="30"/>
        <v>0</v>
      </c>
      <c r="Y30" s="161">
        <f t="shared" si="30"/>
        <v>0</v>
      </c>
      <c r="Z30" s="161">
        <f t="shared" ref="Z30" si="31">Z31-Z32</f>
        <v>0</v>
      </c>
      <c r="AA30" s="280">
        <f t="shared" si="8"/>
        <v>0</v>
      </c>
      <c r="AB30" s="161">
        <f t="shared" si="30"/>
        <v>0</v>
      </c>
      <c r="AC30" s="161">
        <f t="shared" si="30"/>
        <v>0</v>
      </c>
      <c r="AD30" s="161">
        <f t="shared" si="30"/>
        <v>0</v>
      </c>
      <c r="AE30" s="161">
        <f t="shared" si="30"/>
        <v>0</v>
      </c>
      <c r="AF30" s="161">
        <f t="shared" si="30"/>
        <v>0</v>
      </c>
      <c r="AG30" s="161">
        <f t="shared" ref="AG30:AJ30" si="32">AG31-AG32</f>
        <v>0</v>
      </c>
      <c r="AH30" s="161">
        <f t="shared" si="32"/>
        <v>0</v>
      </c>
      <c r="AI30" s="161">
        <f t="shared" si="32"/>
        <v>0</v>
      </c>
      <c r="AJ30" s="161">
        <f t="shared" si="32"/>
        <v>0</v>
      </c>
      <c r="AK30" s="161">
        <f t="shared" ref="AK30:AN30" si="33">AK31-AK32</f>
        <v>0</v>
      </c>
      <c r="AL30" s="161">
        <f t="shared" si="33"/>
        <v>0</v>
      </c>
      <c r="AM30" s="161">
        <f t="shared" si="33"/>
        <v>0</v>
      </c>
      <c r="AN30" s="161">
        <f t="shared" si="33"/>
        <v>0</v>
      </c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</row>
    <row r="31" spans="1:52" ht="14.45">
      <c r="A31" s="66" t="s">
        <v>111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95">
        <v>0</v>
      </c>
      <c r="L31" s="95">
        <v>0</v>
      </c>
      <c r="M31" s="95">
        <v>0</v>
      </c>
      <c r="N31" s="120"/>
      <c r="O31" s="261">
        <v>0</v>
      </c>
      <c r="P31" s="261">
        <v>0</v>
      </c>
      <c r="Q31" s="261">
        <v>0</v>
      </c>
      <c r="R31" s="261">
        <v>0</v>
      </c>
      <c r="S31" s="261">
        <v>0</v>
      </c>
      <c r="T31" s="261">
        <v>0</v>
      </c>
      <c r="U31" s="261">
        <v>0</v>
      </c>
      <c r="V31" s="261">
        <v>0</v>
      </c>
      <c r="W31" s="261">
        <v>0</v>
      </c>
      <c r="X31" s="261">
        <v>0</v>
      </c>
      <c r="Y31" s="261">
        <v>0</v>
      </c>
      <c r="Z31" s="261"/>
      <c r="AA31" s="280">
        <f t="shared" si="8"/>
        <v>0</v>
      </c>
      <c r="AB31" s="121"/>
      <c r="AC31" s="299">
        <v>0</v>
      </c>
      <c r="AD31" s="301">
        <v>0</v>
      </c>
      <c r="AE31" s="301">
        <v>0</v>
      </c>
      <c r="AF31" s="301">
        <v>0</v>
      </c>
      <c r="AG31" s="299">
        <v>0</v>
      </c>
      <c r="AH31" s="299">
        <v>0</v>
      </c>
      <c r="AI31" s="299">
        <v>0</v>
      </c>
      <c r="AJ31" s="301">
        <v>0</v>
      </c>
      <c r="AK31" s="301">
        <v>0</v>
      </c>
    </row>
    <row r="32" spans="1:52" ht="14.45">
      <c r="A32" s="66" t="s">
        <v>112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95">
        <v>0</v>
      </c>
      <c r="L32" s="95">
        <v>0</v>
      </c>
      <c r="M32" s="95">
        <v>0</v>
      </c>
      <c r="N32" s="120"/>
      <c r="O32" s="261">
        <v>0</v>
      </c>
      <c r="P32" s="261">
        <v>0</v>
      </c>
      <c r="Q32" s="261">
        <v>0</v>
      </c>
      <c r="R32" s="261">
        <v>0</v>
      </c>
      <c r="S32" s="261">
        <v>0</v>
      </c>
      <c r="T32" s="261">
        <v>0</v>
      </c>
      <c r="U32" s="261">
        <v>0</v>
      </c>
      <c r="V32" s="261">
        <v>0</v>
      </c>
      <c r="W32" s="261">
        <v>0</v>
      </c>
      <c r="X32" s="261">
        <v>0</v>
      </c>
      <c r="Y32" s="261">
        <v>0</v>
      </c>
      <c r="Z32" s="261"/>
      <c r="AA32" s="280">
        <f t="shared" si="8"/>
        <v>0</v>
      </c>
      <c r="AB32" s="121"/>
      <c r="AC32" s="303">
        <v>0</v>
      </c>
      <c r="AD32" s="305">
        <v>0</v>
      </c>
      <c r="AE32" s="305">
        <v>0</v>
      </c>
      <c r="AF32" s="305">
        <v>0</v>
      </c>
      <c r="AG32" s="303">
        <v>0</v>
      </c>
      <c r="AH32" s="303">
        <v>0</v>
      </c>
      <c r="AI32" s="303">
        <v>0</v>
      </c>
      <c r="AJ32" s="305">
        <v>0</v>
      </c>
      <c r="AK32" s="305">
        <v>0</v>
      </c>
    </row>
    <row r="33" spans="1:52" s="146" customFormat="1" ht="14.45">
      <c r="A33" s="144" t="s">
        <v>113</v>
      </c>
      <c r="B33" s="123">
        <f t="shared" ref="B33:AN33" si="34">B29+B30</f>
        <v>27980873.18</v>
      </c>
      <c r="C33" s="123">
        <f t="shared" si="34"/>
        <v>53108831.500000007</v>
      </c>
      <c r="D33" s="123">
        <f t="shared" si="34"/>
        <v>89424595.409999996</v>
      </c>
      <c r="E33" s="123">
        <f t="shared" si="34"/>
        <v>163909035.29000002</v>
      </c>
      <c r="F33" s="123">
        <f t="shared" si="34"/>
        <v>188627807.67000002</v>
      </c>
      <c r="G33" s="123">
        <f t="shared" si="34"/>
        <v>220037220.78000003</v>
      </c>
      <c r="H33" s="123">
        <f t="shared" si="34"/>
        <v>238707903.05000007</v>
      </c>
      <c r="I33" s="123">
        <f t="shared" si="34"/>
        <v>256126063.67000002</v>
      </c>
      <c r="J33" s="123">
        <f t="shared" si="34"/>
        <v>274685208.25999999</v>
      </c>
      <c r="K33" s="123">
        <f t="shared" si="34"/>
        <v>0</v>
      </c>
      <c r="L33" s="123">
        <f t="shared" si="34"/>
        <v>284193394.88</v>
      </c>
      <c r="M33" s="254">
        <f t="shared" si="34"/>
        <v>291537896.63000005</v>
      </c>
      <c r="N33" s="123">
        <f t="shared" si="34"/>
        <v>96971537</v>
      </c>
      <c r="O33" s="123">
        <f t="shared" si="34"/>
        <v>27367307.139999993</v>
      </c>
      <c r="P33" s="123">
        <f t="shared" si="34"/>
        <v>31686881.74000001</v>
      </c>
      <c r="Q33" s="123">
        <f t="shared" si="34"/>
        <v>92529792.380000025</v>
      </c>
      <c r="R33" s="123">
        <f t="shared" si="34"/>
        <v>127002040.02999997</v>
      </c>
      <c r="S33" s="123">
        <f t="shared" si="34"/>
        <v>191837791.47000003</v>
      </c>
      <c r="T33" s="123">
        <f t="shared" si="34"/>
        <v>206171787.28</v>
      </c>
      <c r="U33" s="123">
        <f t="shared" si="34"/>
        <v>241306323.40000004</v>
      </c>
      <c r="V33" s="123">
        <f t="shared" si="34"/>
        <v>254187723.12000006</v>
      </c>
      <c r="W33" s="123">
        <f t="shared" si="34"/>
        <v>264040676.81</v>
      </c>
      <c r="X33" s="123">
        <f t="shared" si="34"/>
        <v>282546587.76999998</v>
      </c>
      <c r="Y33" s="123">
        <f t="shared" si="34"/>
        <v>317861956.78000003</v>
      </c>
      <c r="Z33" s="123">
        <f t="shared" si="34"/>
        <v>23321050</v>
      </c>
      <c r="AA33" s="280">
        <f t="shared" si="8"/>
        <v>73650487</v>
      </c>
      <c r="AB33" s="123">
        <f t="shared" si="34"/>
        <v>102263293</v>
      </c>
      <c r="AC33" s="123">
        <f t="shared" si="34"/>
        <v>44618116.510000005</v>
      </c>
      <c r="AD33" s="123">
        <f t="shared" si="34"/>
        <v>81943998.580000013</v>
      </c>
      <c r="AE33" s="123">
        <f t="shared" si="34"/>
        <v>108497396.59</v>
      </c>
      <c r="AF33" s="123">
        <f t="shared" si="34"/>
        <v>159696724.44</v>
      </c>
      <c r="AG33" s="123">
        <f t="shared" si="34"/>
        <v>202880552.21000001</v>
      </c>
      <c r="AH33" s="123">
        <f t="shared" si="34"/>
        <v>307689142.17999995</v>
      </c>
      <c r="AI33" s="123">
        <f t="shared" si="34"/>
        <v>349433562.17999995</v>
      </c>
      <c r="AJ33" s="123">
        <f t="shared" si="34"/>
        <v>401566515.29000002</v>
      </c>
      <c r="AK33" s="123">
        <f t="shared" si="34"/>
        <v>451626206.86999995</v>
      </c>
      <c r="AL33" s="123">
        <f t="shared" si="34"/>
        <v>0</v>
      </c>
      <c r="AM33" s="123">
        <f t="shared" si="34"/>
        <v>0</v>
      </c>
      <c r="AN33" s="123">
        <f t="shared" si="34"/>
        <v>0</v>
      </c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</row>
    <row r="34" spans="1:52" ht="15.75" customHeight="1">
      <c r="A34" s="66" t="s">
        <v>114</v>
      </c>
      <c r="B34" s="232">
        <v>0</v>
      </c>
      <c r="C34" s="232">
        <v>0</v>
      </c>
      <c r="D34" s="232">
        <v>0</v>
      </c>
      <c r="E34" s="232">
        <v>1868739</v>
      </c>
      <c r="F34" s="232">
        <v>1868739</v>
      </c>
      <c r="G34" s="232">
        <v>3737478</v>
      </c>
      <c r="H34" s="232">
        <v>3737478</v>
      </c>
      <c r="I34" s="232">
        <v>3737478</v>
      </c>
      <c r="J34" s="232">
        <v>5606217</v>
      </c>
      <c r="K34" s="226"/>
      <c r="L34" s="232">
        <v>5606217</v>
      </c>
      <c r="M34" s="252">
        <v>7474956</v>
      </c>
      <c r="N34" s="120">
        <v>6008559</v>
      </c>
      <c r="O34" s="261">
        <v>0</v>
      </c>
      <c r="P34" s="261">
        <v>0</v>
      </c>
      <c r="Q34" s="261">
        <v>1652354</v>
      </c>
      <c r="R34" s="261">
        <v>1652354</v>
      </c>
      <c r="S34" s="261">
        <v>3304708</v>
      </c>
      <c r="T34" s="261">
        <v>3304708</v>
      </c>
      <c r="U34" s="261">
        <v>3304708</v>
      </c>
      <c r="V34" s="261">
        <v>4957062</v>
      </c>
      <c r="W34" s="261">
        <v>4957062</v>
      </c>
      <c r="X34" s="261">
        <v>4957062</v>
      </c>
      <c r="Y34" s="261">
        <v>6609416</v>
      </c>
      <c r="Z34" s="261"/>
      <c r="AA34" s="280">
        <f t="shared" si="8"/>
        <v>6008559</v>
      </c>
      <c r="AB34" s="121"/>
      <c r="AC34" s="299">
        <v>0</v>
      </c>
      <c r="AD34" s="301">
        <v>0</v>
      </c>
      <c r="AE34" s="301">
        <v>0</v>
      </c>
      <c r="AF34" s="302">
        <v>2003620</v>
      </c>
      <c r="AG34" s="300">
        <v>2003620</v>
      </c>
      <c r="AH34" s="300">
        <v>3950716</v>
      </c>
      <c r="AI34" s="300">
        <v>3950716</v>
      </c>
      <c r="AJ34" s="302">
        <v>3950716</v>
      </c>
      <c r="AK34" s="302">
        <v>5957786</v>
      </c>
    </row>
    <row r="35" spans="1:52" s="146" customFormat="1" ht="14.45">
      <c r="A35" s="144" t="s">
        <v>115</v>
      </c>
      <c r="B35" s="145">
        <f t="shared" ref="B35:AN35" si="35">B33-B34</f>
        <v>27980873.18</v>
      </c>
      <c r="C35" s="145">
        <f t="shared" si="35"/>
        <v>53108831.500000007</v>
      </c>
      <c r="D35" s="145">
        <f t="shared" si="35"/>
        <v>89424595.409999996</v>
      </c>
      <c r="E35" s="145">
        <f t="shared" si="35"/>
        <v>162040296.29000002</v>
      </c>
      <c r="F35" s="145">
        <f t="shared" si="35"/>
        <v>186759068.67000002</v>
      </c>
      <c r="G35" s="145">
        <f t="shared" si="35"/>
        <v>216299742.78000003</v>
      </c>
      <c r="H35" s="145">
        <f t="shared" si="35"/>
        <v>234970425.05000007</v>
      </c>
      <c r="I35" s="145">
        <f t="shared" si="35"/>
        <v>252388585.67000002</v>
      </c>
      <c r="J35" s="145">
        <f t="shared" si="35"/>
        <v>269078991.25999999</v>
      </c>
      <c r="K35" s="145">
        <f t="shared" si="35"/>
        <v>0</v>
      </c>
      <c r="L35" s="145">
        <f t="shared" si="35"/>
        <v>278587177.88</v>
      </c>
      <c r="M35" s="255">
        <f t="shared" si="35"/>
        <v>284062940.63000005</v>
      </c>
      <c r="N35" s="145">
        <f t="shared" si="35"/>
        <v>90962978</v>
      </c>
      <c r="O35" s="145">
        <f t="shared" si="35"/>
        <v>27367307.139999993</v>
      </c>
      <c r="P35" s="145">
        <f t="shared" si="35"/>
        <v>31686881.74000001</v>
      </c>
      <c r="Q35" s="145">
        <f t="shared" si="35"/>
        <v>90877438.380000025</v>
      </c>
      <c r="R35" s="145">
        <f t="shared" si="35"/>
        <v>125349686.02999997</v>
      </c>
      <c r="S35" s="145">
        <f t="shared" si="35"/>
        <v>188533083.47000003</v>
      </c>
      <c r="T35" s="145">
        <f t="shared" si="35"/>
        <v>202867079.28</v>
      </c>
      <c r="U35" s="145">
        <f t="shared" si="35"/>
        <v>238001615.40000004</v>
      </c>
      <c r="V35" s="145">
        <f t="shared" si="35"/>
        <v>249230661.12000006</v>
      </c>
      <c r="W35" s="145">
        <f t="shared" si="35"/>
        <v>259083614.81</v>
      </c>
      <c r="X35" s="145">
        <f t="shared" si="35"/>
        <v>277589525.76999998</v>
      </c>
      <c r="Y35" s="145">
        <f t="shared" si="35"/>
        <v>311252540.78000003</v>
      </c>
      <c r="Z35" s="145">
        <f t="shared" si="35"/>
        <v>23321050</v>
      </c>
      <c r="AA35" s="280">
        <f t="shared" si="8"/>
        <v>67641928</v>
      </c>
      <c r="AB35" s="145">
        <f t="shared" si="35"/>
        <v>102263293</v>
      </c>
      <c r="AC35" s="145">
        <f t="shared" si="35"/>
        <v>44618116.510000005</v>
      </c>
      <c r="AD35" s="145">
        <f t="shared" si="35"/>
        <v>81943998.580000013</v>
      </c>
      <c r="AE35" s="145">
        <f t="shared" si="35"/>
        <v>108497396.59</v>
      </c>
      <c r="AF35" s="145">
        <f t="shared" si="35"/>
        <v>157693104.44</v>
      </c>
      <c r="AG35" s="145">
        <f t="shared" si="35"/>
        <v>200876932.21000001</v>
      </c>
      <c r="AH35" s="145">
        <f t="shared" si="35"/>
        <v>303738426.17999995</v>
      </c>
      <c r="AI35" s="145">
        <f t="shared" si="35"/>
        <v>345482846.17999995</v>
      </c>
      <c r="AJ35" s="145">
        <f t="shared" si="35"/>
        <v>397615799.29000002</v>
      </c>
      <c r="AK35" s="145">
        <f t="shared" si="35"/>
        <v>445668420.86999995</v>
      </c>
      <c r="AL35" s="145">
        <f t="shared" si="35"/>
        <v>0</v>
      </c>
      <c r="AM35" s="145">
        <f t="shared" si="35"/>
        <v>0</v>
      </c>
      <c r="AN35" s="145">
        <f t="shared" si="35"/>
        <v>0</v>
      </c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</row>
    <row r="36" spans="1:52" ht="14.45">
      <c r="A36" s="67" t="s">
        <v>116</v>
      </c>
      <c r="B36" s="121">
        <v>0</v>
      </c>
      <c r="C36" s="121">
        <v>0</v>
      </c>
      <c r="D36" s="121">
        <v>0</v>
      </c>
      <c r="E36" s="121">
        <v>0</v>
      </c>
      <c r="F36" s="121">
        <v>0</v>
      </c>
      <c r="G36" s="121">
        <v>0</v>
      </c>
      <c r="H36" s="121">
        <v>0</v>
      </c>
      <c r="I36" s="121">
        <v>0</v>
      </c>
      <c r="J36" s="121">
        <v>0</v>
      </c>
      <c r="K36" s="95">
        <v>0</v>
      </c>
      <c r="L36" s="95">
        <v>0</v>
      </c>
      <c r="M36" s="95">
        <v>0</v>
      </c>
      <c r="N36" s="120"/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Z36" s="261"/>
      <c r="AA36" s="280">
        <f t="shared" si="8"/>
        <v>0</v>
      </c>
      <c r="AB36" s="121"/>
      <c r="AC36" s="299">
        <v>0</v>
      </c>
      <c r="AD36" s="301">
        <v>0</v>
      </c>
      <c r="AE36" s="301">
        <v>0</v>
      </c>
      <c r="AF36" s="301">
        <v>0</v>
      </c>
      <c r="AG36" s="95">
        <v>0</v>
      </c>
      <c r="AH36" s="95">
        <v>0</v>
      </c>
      <c r="AI36" s="299">
        <v>0</v>
      </c>
      <c r="AJ36" s="301">
        <v>0</v>
      </c>
      <c r="AK36" s="301">
        <v>0</v>
      </c>
      <c r="AL36" s="301">
        <v>0</v>
      </c>
    </row>
    <row r="37" spans="1:52" s="146" customFormat="1" ht="14.45">
      <c r="A37" s="144" t="s">
        <v>117</v>
      </c>
      <c r="B37" s="145">
        <f t="shared" ref="B37:AN37" si="36">B35-B36</f>
        <v>27980873.18</v>
      </c>
      <c r="C37" s="145">
        <f t="shared" si="36"/>
        <v>53108831.500000007</v>
      </c>
      <c r="D37" s="145">
        <f t="shared" si="36"/>
        <v>89424595.409999996</v>
      </c>
      <c r="E37" s="145">
        <f t="shared" si="36"/>
        <v>162040296.29000002</v>
      </c>
      <c r="F37" s="145">
        <f t="shared" si="36"/>
        <v>186759068.67000002</v>
      </c>
      <c r="G37" s="145">
        <f t="shared" si="36"/>
        <v>216299742.78000003</v>
      </c>
      <c r="H37" s="145">
        <f t="shared" si="36"/>
        <v>234970425.05000007</v>
      </c>
      <c r="I37" s="145">
        <f t="shared" si="36"/>
        <v>252388585.67000002</v>
      </c>
      <c r="J37" s="145">
        <f t="shared" si="36"/>
        <v>269078991.25999999</v>
      </c>
      <c r="K37" s="145">
        <f t="shared" si="36"/>
        <v>0</v>
      </c>
      <c r="L37" s="145">
        <f t="shared" si="36"/>
        <v>278587177.88</v>
      </c>
      <c r="M37" s="255">
        <f t="shared" si="36"/>
        <v>284062940.63000005</v>
      </c>
      <c r="N37" s="145">
        <f t="shared" si="36"/>
        <v>90962978</v>
      </c>
      <c r="O37" s="145">
        <f t="shared" si="36"/>
        <v>27367307.139999993</v>
      </c>
      <c r="P37" s="145">
        <f t="shared" si="36"/>
        <v>31686881.74000001</v>
      </c>
      <c r="Q37" s="145">
        <f t="shared" si="36"/>
        <v>90877438.380000025</v>
      </c>
      <c r="R37" s="145">
        <f t="shared" si="36"/>
        <v>125349686.02999997</v>
      </c>
      <c r="S37" s="145">
        <f t="shared" si="36"/>
        <v>188533083.47000003</v>
      </c>
      <c r="T37" s="145">
        <f t="shared" si="36"/>
        <v>202867079.28</v>
      </c>
      <c r="U37" s="145">
        <f t="shared" si="36"/>
        <v>238001615.40000004</v>
      </c>
      <c r="V37" s="145">
        <f t="shared" si="36"/>
        <v>249230661.12000006</v>
      </c>
      <c r="W37" s="145">
        <f t="shared" si="36"/>
        <v>259083614.81</v>
      </c>
      <c r="X37" s="145">
        <f t="shared" si="36"/>
        <v>277589525.76999998</v>
      </c>
      <c r="Y37" s="145">
        <f t="shared" si="36"/>
        <v>311252540.78000003</v>
      </c>
      <c r="Z37" s="145">
        <f t="shared" si="36"/>
        <v>23321050</v>
      </c>
      <c r="AA37" s="280">
        <f t="shared" si="8"/>
        <v>67641928</v>
      </c>
      <c r="AB37" s="145">
        <f t="shared" si="36"/>
        <v>102263293</v>
      </c>
      <c r="AC37" s="145">
        <f t="shared" si="36"/>
        <v>44618116.510000005</v>
      </c>
      <c r="AD37" s="145">
        <f t="shared" si="36"/>
        <v>81943998.580000013</v>
      </c>
      <c r="AE37" s="145">
        <f t="shared" si="36"/>
        <v>108497396.59</v>
      </c>
      <c r="AF37" s="145">
        <f t="shared" si="36"/>
        <v>157693104.44</v>
      </c>
      <c r="AG37" s="145">
        <f t="shared" si="36"/>
        <v>200876932.21000001</v>
      </c>
      <c r="AH37" s="145">
        <f t="shared" si="36"/>
        <v>303738426.17999995</v>
      </c>
      <c r="AI37" s="145">
        <f t="shared" si="36"/>
        <v>345482846.17999995</v>
      </c>
      <c r="AJ37" s="145">
        <f t="shared" si="36"/>
        <v>397615799.29000002</v>
      </c>
      <c r="AK37" s="145">
        <f t="shared" si="36"/>
        <v>445668420.86999995</v>
      </c>
      <c r="AL37" s="145">
        <f t="shared" si="36"/>
        <v>0</v>
      </c>
      <c r="AM37" s="145">
        <f t="shared" si="36"/>
        <v>0</v>
      </c>
      <c r="AN37" s="145">
        <f t="shared" si="36"/>
        <v>0</v>
      </c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</row>
  </sheetData>
  <pageMargins left="0.7" right="0.7" top="0.75" bottom="0.75" header="0.3" footer="0.3"/>
  <pageSetup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9"/>
  <sheetViews>
    <sheetView workbookViewId="0">
      <pane xSplit="2" ySplit="11" topLeftCell="AE12" activePane="bottomRight" state="frozen"/>
      <selection pane="bottomRight" activeCell="AL7" sqref="AL7"/>
      <selection pane="bottomLeft" activeCell="A12" sqref="A12"/>
      <selection pane="topRight" activeCell="D1" sqref="D1"/>
    </sheetView>
  </sheetViews>
  <sheetFormatPr defaultColWidth="9.140625" defaultRowHeight="13.15"/>
  <cols>
    <col min="1" max="1" width="5" style="25" bestFit="1" customWidth="1"/>
    <col min="2" max="2" width="46" style="25" bestFit="1" customWidth="1"/>
    <col min="3" max="3" width="16.28515625" style="25" customWidth="1"/>
    <col min="4" max="4" width="16.28515625" style="25" bestFit="1" customWidth="1"/>
    <col min="5" max="6" width="16.28515625" style="25" customWidth="1"/>
    <col min="7" max="7" width="16.28515625" style="25" bestFit="1" customWidth="1"/>
    <col min="8" max="9" width="16.28515625" style="25" customWidth="1"/>
    <col min="10" max="10" width="16.28515625" style="25" bestFit="1" customWidth="1"/>
    <col min="11" max="13" width="16.28515625" style="25" customWidth="1"/>
    <col min="14" max="16" width="16.28515625" style="25" bestFit="1" customWidth="1"/>
    <col min="17" max="26" width="15.7109375" style="25" bestFit="1" customWidth="1"/>
    <col min="27" max="28" width="15.7109375" style="25" customWidth="1"/>
    <col min="29" max="29" width="15.7109375" style="25" bestFit="1" customWidth="1"/>
    <col min="30" max="35" width="16" style="25" bestFit="1" customWidth="1"/>
    <col min="36" max="16384" width="9.140625" style="25"/>
  </cols>
  <sheetData>
    <row r="1" spans="1:38" ht="13.9" thickBot="1"/>
    <row r="2" spans="1:38">
      <c r="A2" s="26"/>
      <c r="B2" s="110" t="s">
        <v>118</v>
      </c>
    </row>
    <row r="3" spans="1:38">
      <c r="A3" s="28"/>
      <c r="B3" s="29" t="s">
        <v>119</v>
      </c>
      <c r="C3" s="156" t="s">
        <v>5</v>
      </c>
      <c r="D3" s="156" t="s">
        <v>6</v>
      </c>
      <c r="E3" s="156" t="s">
        <v>7</v>
      </c>
      <c r="F3" s="156" t="s">
        <v>8</v>
      </c>
      <c r="G3" s="156" t="s">
        <v>9</v>
      </c>
      <c r="H3" s="156" t="s">
        <v>10</v>
      </c>
      <c r="I3" s="156" t="s">
        <v>11</v>
      </c>
      <c r="J3" s="156" t="s">
        <v>12</v>
      </c>
      <c r="K3" s="156" t="s">
        <v>13</v>
      </c>
      <c r="L3" s="156" t="s">
        <v>14</v>
      </c>
      <c r="M3" s="156" t="s">
        <v>15</v>
      </c>
      <c r="N3" s="156" t="s">
        <v>16</v>
      </c>
      <c r="O3" s="156" t="s">
        <v>120</v>
      </c>
      <c r="P3" s="157" t="s">
        <v>18</v>
      </c>
      <c r="Q3" s="157" t="s">
        <v>19</v>
      </c>
      <c r="R3" s="157" t="s">
        <v>20</v>
      </c>
      <c r="S3" s="157" t="s">
        <v>21</v>
      </c>
      <c r="T3" s="157" t="s">
        <v>22</v>
      </c>
      <c r="U3" s="157" t="s">
        <v>23</v>
      </c>
      <c r="V3" s="157" t="s">
        <v>24</v>
      </c>
      <c r="W3" s="157" t="s">
        <v>25</v>
      </c>
      <c r="X3" s="157" t="s">
        <v>26</v>
      </c>
      <c r="Y3" s="157" t="s">
        <v>27</v>
      </c>
      <c r="Z3" s="157" t="s">
        <v>28</v>
      </c>
      <c r="AA3" s="157" t="s">
        <v>3</v>
      </c>
      <c r="AB3" s="157"/>
      <c r="AC3" s="157" t="s">
        <v>121</v>
      </c>
      <c r="AD3" s="309">
        <v>44927</v>
      </c>
      <c r="AE3" s="309">
        <v>44958</v>
      </c>
      <c r="AF3" s="309">
        <v>44986</v>
      </c>
      <c r="AG3" s="309">
        <v>45017</v>
      </c>
      <c r="AH3" s="309">
        <v>45047</v>
      </c>
      <c r="AI3" s="309">
        <v>45078</v>
      </c>
      <c r="AJ3" s="309">
        <v>45108</v>
      </c>
      <c r="AK3" s="309">
        <v>45139</v>
      </c>
      <c r="AL3" s="309">
        <v>45170</v>
      </c>
    </row>
    <row r="4" spans="1:38">
      <c r="A4" s="30">
        <v>1</v>
      </c>
      <c r="B4" s="31" t="s">
        <v>122</v>
      </c>
    </row>
    <row r="5" spans="1:38">
      <c r="A5" s="30">
        <v>2</v>
      </c>
      <c r="B5" s="31" t="s">
        <v>54</v>
      </c>
      <c r="C5" s="65">
        <f>SFP!B26</f>
        <v>6330238860.6599998</v>
      </c>
      <c r="D5" s="65">
        <f>SFP!C26</f>
        <v>6428231294.1799994</v>
      </c>
      <c r="E5" s="65">
        <f>SFP!D26</f>
        <v>6543499666.96</v>
      </c>
      <c r="F5" s="65">
        <f>SFP!E26</f>
        <v>6342393278.8299999</v>
      </c>
      <c r="G5" s="65">
        <f>SFP!F26</f>
        <v>6661702431.2299995</v>
      </c>
      <c r="H5" s="65">
        <f>SFP!G26</f>
        <v>6812616699.8100004</v>
      </c>
      <c r="I5" s="65">
        <f>SFP!H26</f>
        <v>6757962265.5</v>
      </c>
      <c r="J5" s="65">
        <f>SFP!I26</f>
        <v>6747440210.1100006</v>
      </c>
      <c r="K5" s="65">
        <f>SFP!J26</f>
        <v>6781571563.7999992</v>
      </c>
      <c r="L5" s="65">
        <f>SFP!K26</f>
        <v>0</v>
      </c>
      <c r="M5" s="65">
        <f>SFP!L26</f>
        <v>6845494708.7800007</v>
      </c>
      <c r="N5" s="65">
        <f>SFP!M26</f>
        <v>6877469704.6600008</v>
      </c>
      <c r="O5" s="65">
        <f>SFP!N26</f>
        <v>7082432647.2600002</v>
      </c>
      <c r="P5" s="65">
        <f>SFP!O26</f>
        <v>5053715412.5999994</v>
      </c>
      <c r="Q5" s="65">
        <f>SFP!P26</f>
        <v>6964117814.5699997</v>
      </c>
      <c r="R5" s="65">
        <f>SFP!Q26</f>
        <v>6736029678.1500006</v>
      </c>
      <c r="S5" s="65">
        <f>SFP!R26</f>
        <v>6775741812.0099993</v>
      </c>
      <c r="T5" s="65">
        <f>SFP!S26</f>
        <v>6834593083.1300001</v>
      </c>
      <c r="U5" s="65">
        <f>SFP!T26</f>
        <v>6858193054.8399992</v>
      </c>
      <c r="V5" s="65">
        <f>SFP!U26</f>
        <v>6913365152.6999998</v>
      </c>
      <c r="W5" s="65">
        <f>SFP!V26</f>
        <v>6965374381.7799997</v>
      </c>
      <c r="X5" s="65">
        <f>SFP!W26</f>
        <v>7026063105.1300001</v>
      </c>
      <c r="Y5" s="65">
        <f>SFP!X26</f>
        <v>7182239042.3800001</v>
      </c>
      <c r="Z5" s="65">
        <f>SFP!Y26</f>
        <v>7188539487.4200001</v>
      </c>
      <c r="AA5" s="65">
        <f>SFP!Z26</f>
        <v>6956390321</v>
      </c>
      <c r="AB5" s="65">
        <f>SFP!AA26</f>
        <v>126042326.26000023</v>
      </c>
      <c r="AC5" s="65">
        <f>SFP!AB26</f>
        <v>7049229871</v>
      </c>
      <c r="AD5" s="65">
        <f>SFP!AC26</f>
        <v>6804181267.579999</v>
      </c>
      <c r="AE5" s="65">
        <f>SFP!AD26</f>
        <v>6875749948.5899992</v>
      </c>
      <c r="AF5" s="65">
        <f>SFP!AE26</f>
        <v>7021208304.8100004</v>
      </c>
      <c r="AG5" s="65">
        <f>SFP!AF26</f>
        <v>7020206053.1599989</v>
      </c>
      <c r="AH5" s="65">
        <f>SFP!AG26</f>
        <v>7144417899.3599997</v>
      </c>
      <c r="AI5" s="65">
        <f>SFP!AH26</f>
        <v>7663983494.3599997</v>
      </c>
      <c r="AJ5" s="65">
        <f>SFP!AI26</f>
        <v>5525413063.9099998</v>
      </c>
      <c r="AK5" s="65">
        <f>SFP!AJ26</f>
        <v>7752090570.8800001</v>
      </c>
      <c r="AL5" s="65">
        <f>SFP!AK26</f>
        <v>0</v>
      </c>
    </row>
    <row r="6" spans="1:38">
      <c r="A6" s="30">
        <v>3</v>
      </c>
      <c r="B6" s="31" t="s">
        <v>123</v>
      </c>
      <c r="C6" s="65">
        <f>SFP!B30</f>
        <v>4659927574.9800005</v>
      </c>
      <c r="D6" s="65">
        <f>SFP!C30</f>
        <v>4610299973.9399996</v>
      </c>
      <c r="E6" s="65">
        <f>SFP!D30</f>
        <v>4661347795.9500008</v>
      </c>
      <c r="F6" s="65">
        <f>SFP!E30</f>
        <v>4833526697.5999994</v>
      </c>
      <c r="G6" s="65">
        <f>SFP!F30</f>
        <v>4780194978.2299995</v>
      </c>
      <c r="H6" s="65">
        <f>SFP!G30</f>
        <v>4800188463.2600002</v>
      </c>
      <c r="I6" s="65">
        <f>SFP!H30</f>
        <v>4790450359.9799995</v>
      </c>
      <c r="J6" s="65">
        <f>SFP!I30</f>
        <v>4824483671.8199997</v>
      </c>
      <c r="K6" s="65">
        <f>SFP!J30</f>
        <v>4856262118.6100006</v>
      </c>
      <c r="L6" s="65">
        <f>SFP!K30</f>
        <v>0</v>
      </c>
      <c r="M6" s="65">
        <f>SFP!L30</f>
        <v>4907931298.3599997</v>
      </c>
      <c r="N6" s="65">
        <f>SFP!M30</f>
        <v>4948141548.2300005</v>
      </c>
      <c r="O6" s="65">
        <f>SFP!N30</f>
        <v>4924213754.4099998</v>
      </c>
      <c r="P6" s="65">
        <f>SFP!O30</f>
        <v>4985249394.2000008</v>
      </c>
      <c r="Q6" s="65">
        <f>SFP!P30</f>
        <v>5339048833.8400002</v>
      </c>
      <c r="R6" s="65">
        <f>SFP!Q30</f>
        <v>5071903309.7800007</v>
      </c>
      <c r="S6" s="65">
        <f>SFP!R30</f>
        <v>5094467285.0900002</v>
      </c>
      <c r="T6" s="65">
        <f>SFP!S30</f>
        <v>5099425353.8999996</v>
      </c>
      <c r="U6" s="65">
        <f>SFP!T30</f>
        <v>5116671693.71</v>
      </c>
      <c r="V6" s="65">
        <f>SFP!U30</f>
        <v>4931517767.8699999</v>
      </c>
      <c r="W6" s="65">
        <f>SFP!V30</f>
        <v>4977635014.46</v>
      </c>
      <c r="X6" s="65">
        <f>SFP!W30</f>
        <v>5026698135.96</v>
      </c>
      <c r="Y6" s="65">
        <f>SFP!X30</f>
        <v>5182408769.4899998</v>
      </c>
      <c r="Z6" s="65">
        <f>SFP!Y30</f>
        <v>5162259049.4499998</v>
      </c>
      <c r="AA6" s="65">
        <f>SFP!Z30</f>
        <v>4954452802</v>
      </c>
      <c r="AB6" s="65">
        <f>SFP!AA30</f>
        <v>-30239047.590000153</v>
      </c>
      <c r="AC6" s="65">
        <f>SFP!AB30</f>
        <v>5153655889</v>
      </c>
      <c r="AD6" s="65">
        <f>SFP!AC30</f>
        <v>5170431364.5100002</v>
      </c>
      <c r="AE6" s="65">
        <f>SFP!AD30</f>
        <v>5210702545.54</v>
      </c>
      <c r="AF6" s="65">
        <f>SFP!AE30</f>
        <v>5336202560.8500004</v>
      </c>
      <c r="AG6" s="65">
        <f>SFP!AF30</f>
        <v>5320330088.9499998</v>
      </c>
      <c r="AH6" s="65">
        <f>SFP!AG30</f>
        <v>5310663366.0100002</v>
      </c>
      <c r="AI6" s="65">
        <f>SFP!AH30</f>
        <v>5378071059.0300007</v>
      </c>
      <c r="AJ6" s="65">
        <f>SFP!AI30</f>
        <v>5421628833.6900005</v>
      </c>
      <c r="AK6" s="65">
        <f>SFP!AJ30</f>
        <v>5446981099.1599998</v>
      </c>
      <c r="AL6" s="65">
        <f>SFP!AK30</f>
        <v>0</v>
      </c>
    </row>
    <row r="7" spans="1:38">
      <c r="A7" s="30">
        <v>3.1</v>
      </c>
      <c r="B7" s="32" t="s">
        <v>124</v>
      </c>
      <c r="C7" s="65">
        <f>SFP!B29</f>
        <v>4498252691.3000002</v>
      </c>
      <c r="D7" s="65">
        <f>SFP!C29</f>
        <v>4541513296.4099998</v>
      </c>
      <c r="E7" s="65">
        <f>SFP!D29</f>
        <v>4587773678.0200005</v>
      </c>
      <c r="F7" s="65">
        <f>SFP!E29</f>
        <v>4633170884.9499998</v>
      </c>
      <c r="G7" s="65">
        <f>SFP!F29</f>
        <v>4670874642.1999998</v>
      </c>
      <c r="H7" s="65">
        <f>SFP!G29</f>
        <v>4680366950.79</v>
      </c>
      <c r="I7" s="65">
        <f>SFP!H29</f>
        <v>4706275412.1499996</v>
      </c>
      <c r="J7" s="65">
        <f>SFP!I29</f>
        <v>4735345397.79</v>
      </c>
      <c r="K7" s="65">
        <f>SFP!J29</f>
        <v>4768685898.5200005</v>
      </c>
      <c r="L7" s="65">
        <f>SFP!K29</f>
        <v>0</v>
      </c>
      <c r="M7" s="65">
        <f>SFP!L29</f>
        <v>4845897538.3999996</v>
      </c>
      <c r="N7" s="65">
        <f>SFP!M29</f>
        <v>4889080698.8800001</v>
      </c>
      <c r="O7" s="65">
        <f>SFP!N29</f>
        <v>4861115025</v>
      </c>
      <c r="P7" s="65">
        <f>SFP!O29</f>
        <v>4914430869.1800003</v>
      </c>
      <c r="Q7" s="65">
        <f>SFP!P29</f>
        <v>4934462781.25</v>
      </c>
      <c r="R7" s="65">
        <f>SFP!Q29</f>
        <v>5000961972.0600004</v>
      </c>
      <c r="S7" s="65">
        <f>SFP!R29</f>
        <v>5033735643.8500004</v>
      </c>
      <c r="T7" s="65">
        <f>SFP!S29</f>
        <v>5025449033.9099998</v>
      </c>
      <c r="U7" s="65">
        <f>SFP!T29</f>
        <v>5044517493.0299997</v>
      </c>
      <c r="V7" s="65">
        <f>SFP!U29</f>
        <v>4867035193.5</v>
      </c>
      <c r="W7" s="65">
        <f>SFP!V29</f>
        <v>4903369969.9300003</v>
      </c>
      <c r="X7" s="65">
        <f>SFP!W29</f>
        <v>4938086172.5100002</v>
      </c>
      <c r="Y7" s="65">
        <f>SFP!X29</f>
        <v>4978438586.0299997</v>
      </c>
      <c r="Z7" s="65">
        <f>SFP!Y29</f>
        <v>5026152031.4399996</v>
      </c>
      <c r="AA7" s="65">
        <f>SFP!Z29</f>
        <v>4891356072</v>
      </c>
      <c r="AB7" s="65">
        <f>SFP!AA29</f>
        <v>-30241047</v>
      </c>
      <c r="AC7" s="65">
        <f>SFP!AB29</f>
        <v>5026214141</v>
      </c>
      <c r="AD7" s="65">
        <f>SFP!AC29</f>
        <v>5067060633.46</v>
      </c>
      <c r="AE7" s="65">
        <f>SFP!AD29</f>
        <v>5114367684.7600002</v>
      </c>
      <c r="AF7" s="65">
        <f>SFP!AE29</f>
        <v>5155856917.3000002</v>
      </c>
      <c r="AG7" s="65">
        <f>SFP!AF29</f>
        <v>5198335456.5100002</v>
      </c>
      <c r="AH7" s="65">
        <f>SFP!AG29</f>
        <v>5213077265.75</v>
      </c>
      <c r="AI7" s="65">
        <f>SFP!AH29</f>
        <v>5255268362.5600004</v>
      </c>
      <c r="AJ7" s="65">
        <f>SFP!AI29</f>
        <v>5287777572.1400003</v>
      </c>
      <c r="AK7" s="65">
        <f>SFP!AJ29</f>
        <v>5332538238.3000002</v>
      </c>
      <c r="AL7" s="65">
        <f>SFP!AK29</f>
        <v>0</v>
      </c>
    </row>
    <row r="8" spans="1:38">
      <c r="A8" s="30">
        <v>3.2</v>
      </c>
      <c r="B8" s="32" t="s">
        <v>125</v>
      </c>
      <c r="C8" s="65">
        <f>SFP!B27</f>
        <v>145082753.34999999</v>
      </c>
      <c r="D8" s="65">
        <f>SFP!C27</f>
        <v>50126547.200000003</v>
      </c>
      <c r="E8" s="65">
        <f>SFP!D27</f>
        <v>54986080.380000003</v>
      </c>
      <c r="F8" s="65">
        <f>SFP!E27</f>
        <v>180950275.09999999</v>
      </c>
      <c r="G8" s="65">
        <f>SFP!F27</f>
        <v>90227798.480000004</v>
      </c>
      <c r="H8" s="65">
        <f>SFP!G27</f>
        <v>99328974.920000002</v>
      </c>
      <c r="I8" s="65">
        <f>SFP!H27</f>
        <v>64548910.280000001</v>
      </c>
      <c r="J8" s="65">
        <f>SFP!I27</f>
        <v>71312236.480000004</v>
      </c>
      <c r="K8" s="65">
        <f>SFP!J27</f>
        <v>70450182.540000007</v>
      </c>
      <c r="L8" s="65">
        <f>SFP!K27</f>
        <v>0</v>
      </c>
      <c r="M8" s="65">
        <f>SFP!L27</f>
        <v>43575722.409999996</v>
      </c>
      <c r="N8" s="65">
        <f>SFP!M27</f>
        <v>42772811.799999997</v>
      </c>
      <c r="O8" s="65">
        <f>SFP!N27</f>
        <v>46810691.859999999</v>
      </c>
      <c r="P8" s="65">
        <f>SFP!O27</f>
        <v>51447487.469999999</v>
      </c>
      <c r="Q8" s="65">
        <f>SFP!P27</f>
        <v>383704415.04000002</v>
      </c>
      <c r="R8" s="65">
        <f>SFP!Q27</f>
        <v>49687100.170000002</v>
      </c>
      <c r="S8" s="65">
        <f>SFP!R27</f>
        <v>40587003.689999998</v>
      </c>
      <c r="T8" s="65">
        <f>SFP!S27</f>
        <v>51321682.439999998</v>
      </c>
      <c r="U8" s="65">
        <f>SFP!T27</f>
        <v>50671163.130000003</v>
      </c>
      <c r="V8" s="65">
        <f>SFP!U27</f>
        <v>40398536.82</v>
      </c>
      <c r="W8" s="65">
        <f>SFP!V27</f>
        <v>46999006.979999997</v>
      </c>
      <c r="X8" s="65">
        <f>SFP!W27</f>
        <v>61341125.899999999</v>
      </c>
      <c r="Y8" s="65">
        <f>SFP!X27</f>
        <v>178421345.91</v>
      </c>
      <c r="Z8" s="65">
        <f>SFP!Y27</f>
        <v>110728180.45999999</v>
      </c>
      <c r="AA8" s="65">
        <f>SFP!Z27</f>
        <v>46810692</v>
      </c>
      <c r="AB8" s="65">
        <f>SFP!AA27</f>
        <v>-0.14000000059604645</v>
      </c>
      <c r="AC8" s="65">
        <f>SFP!AB27</f>
        <v>102062910</v>
      </c>
      <c r="AD8" s="65">
        <f>SFP!AC27</f>
        <v>80180893.5</v>
      </c>
      <c r="AE8" s="65">
        <f>SFP!AD27</f>
        <v>69615023.230000004</v>
      </c>
      <c r="AF8" s="65">
        <f>SFP!AE27</f>
        <v>153727806</v>
      </c>
      <c r="AG8" s="65">
        <f>SFP!AF27</f>
        <v>93009594.890000001</v>
      </c>
      <c r="AH8" s="65">
        <f>SFP!AG27</f>
        <v>71555548.709999993</v>
      </c>
      <c r="AI8" s="65">
        <f>SFP!AH27</f>
        <v>92762959.920000002</v>
      </c>
      <c r="AJ8" s="65">
        <f>SFP!AI27</f>
        <v>102437741</v>
      </c>
      <c r="AK8" s="65">
        <f>SFP!AJ27</f>
        <v>87295854.310000002</v>
      </c>
      <c r="AL8" s="65">
        <f>SFP!AK27</f>
        <v>0</v>
      </c>
    </row>
    <row r="9" spans="1:38">
      <c r="A9" s="30">
        <v>4</v>
      </c>
      <c r="B9" s="31" t="s">
        <v>126</v>
      </c>
      <c r="C9" s="69">
        <f>SFP!B37</f>
        <v>0</v>
      </c>
      <c r="D9" s="69">
        <f>SFP!C37</f>
        <v>0</v>
      </c>
      <c r="E9" s="69">
        <f>SFP!D37</f>
        <v>0</v>
      </c>
      <c r="F9" s="69">
        <f>SFP!E37</f>
        <v>0</v>
      </c>
      <c r="G9" s="69">
        <f>SFP!F37</f>
        <v>400000000</v>
      </c>
      <c r="H9" s="69">
        <f>SFP!G37</f>
        <v>400000000</v>
      </c>
      <c r="I9" s="69">
        <f>SFP!H37</f>
        <v>388888888.88999999</v>
      </c>
      <c r="J9" s="69">
        <f>SFP!I37</f>
        <v>377777777.77999997</v>
      </c>
      <c r="K9" s="69">
        <f>SFP!J37</f>
        <v>366666666.67000002</v>
      </c>
      <c r="L9" s="69">
        <f>SFP!K37</f>
        <v>0</v>
      </c>
      <c r="M9" s="69">
        <f>SFP!L37</f>
        <v>344444444.44999999</v>
      </c>
      <c r="N9" s="69">
        <f>SFP!M37</f>
        <v>333333333.33999997</v>
      </c>
      <c r="O9" s="69">
        <f>SFP!N37</f>
        <v>333333333</v>
      </c>
      <c r="P9" s="69">
        <f>SFP!O37</f>
        <v>322222222.23000002</v>
      </c>
      <c r="Q9" s="69">
        <f>SFP!P37</f>
        <v>300000000.00999999</v>
      </c>
      <c r="R9" s="69">
        <f>SFP!Q37</f>
        <v>288888888.88999999</v>
      </c>
      <c r="S9" s="69">
        <f>SFP!R37</f>
        <v>277777777.79000002</v>
      </c>
      <c r="T9" s="69">
        <f>SFP!S37</f>
        <v>266666666.68000001</v>
      </c>
      <c r="U9" s="69">
        <f>SFP!T37</f>
        <v>255555555.56999999</v>
      </c>
      <c r="V9" s="69">
        <f>SFP!U37</f>
        <v>244444444.46000001</v>
      </c>
      <c r="W9" s="69">
        <f>SFP!V37</f>
        <v>233333333.34999999</v>
      </c>
      <c r="X9" s="69">
        <f>SFP!W37</f>
        <v>233333333.34999999</v>
      </c>
      <c r="Y9" s="69">
        <f>SFP!X37</f>
        <v>211111111.13</v>
      </c>
      <c r="Z9" s="69">
        <f>SFP!Y37</f>
        <v>200000000.02000001</v>
      </c>
      <c r="AA9" s="69">
        <f>SFP!Z37</f>
        <v>333333333</v>
      </c>
      <c r="AB9" s="69">
        <f>SFP!AA37</f>
        <v>0</v>
      </c>
      <c r="AC9" s="69">
        <f>SFP!AB37</f>
        <v>200000000</v>
      </c>
      <c r="AD9" s="69">
        <f>SFP!AC37</f>
        <v>188888888.91</v>
      </c>
      <c r="AE9" s="69">
        <f>SFP!AD37</f>
        <v>177777777.80000001</v>
      </c>
      <c r="AF9" s="69">
        <f>SFP!AE37</f>
        <v>166666666.69</v>
      </c>
      <c r="AG9" s="69">
        <f>SFP!AF37</f>
        <v>155555555.58000001</v>
      </c>
      <c r="AH9" s="69">
        <f>SFP!AG37</f>
        <v>253333333.36000001</v>
      </c>
      <c r="AI9" s="69">
        <f>SFP!AH37</f>
        <v>600000000</v>
      </c>
      <c r="AJ9" s="69">
        <f>SFP!AI37</f>
        <v>583333333.33000004</v>
      </c>
      <c r="AK9" s="69">
        <f>SFP!AJ37</f>
        <v>566666666.65999997</v>
      </c>
      <c r="AL9" s="69">
        <f>SFP!AK37</f>
        <v>0</v>
      </c>
    </row>
    <row r="10" spans="1:38" ht="13.9" thickBot="1">
      <c r="A10" s="51">
        <v>4.0999999999999996</v>
      </c>
      <c r="B10" s="55" t="s">
        <v>127</v>
      </c>
      <c r="C10" s="149">
        <f>SFP!B32+SFP!B33+SFP!B34+SFP!B35+SFP!B36</f>
        <v>297890714.87</v>
      </c>
      <c r="D10" s="149">
        <f>SFP!C32+SFP!C33+SFP!C34+SFP!C35+SFP!C36</f>
        <v>444490134.43000001</v>
      </c>
      <c r="E10" s="149">
        <f>SFP!D32+SFP!D33+SFP!D34+SFP!D35+SFP!D36</f>
        <v>458501105.04000002</v>
      </c>
      <c r="F10" s="149">
        <f>SFP!E32+SFP!E33+SFP!E34+SFP!E35+SFP!E36</f>
        <v>69029041.599999994</v>
      </c>
      <c r="G10" s="149">
        <f>SFP!F32+SFP!F33+SFP!F34+SFP!F35+SFP!F36</f>
        <v>16229944.459999999</v>
      </c>
      <c r="H10" s="149">
        <f>SFP!G32+SFP!G33+SFP!G34+SFP!G35+SFP!G36</f>
        <v>65269344.530000001</v>
      </c>
      <c r="I10" s="149">
        <f>SFP!H32+SFP!H33+SFP!H34+SFP!H35+SFP!H36</f>
        <v>70607154.590000004</v>
      </c>
      <c r="J10" s="149">
        <f>SFP!I32+SFP!I33+SFP!I34+SFP!I35+SFP!I36</f>
        <v>22506678.77</v>
      </c>
      <c r="K10" s="149">
        <f>SFP!J32+SFP!J33+SFP!J34+SFP!J35+SFP!J36</f>
        <v>21738731.579999998</v>
      </c>
      <c r="L10" s="149">
        <f>SFP!K32+SFP!K33+SFP!K34+SFP!K35+SFP!K36</f>
        <v>0</v>
      </c>
      <c r="M10" s="149">
        <f>SFP!L32+SFP!L33+SFP!L34+SFP!L35+SFP!L36</f>
        <v>16703873.23</v>
      </c>
      <c r="N10" s="149">
        <f>SFP!M32+SFP!M33+SFP!M34+SFP!M35+SFP!M36</f>
        <v>15167698.25</v>
      </c>
      <c r="O10" s="149">
        <f>SFP!N32+SFP!N33+SFP!N34+SFP!N35+SFP!N36</f>
        <v>445189909</v>
      </c>
      <c r="P10" s="149">
        <f>SFP!O32+SFP!O33+SFP!O34+SFP!O35+SFP!O36</f>
        <v>13916055.209999999</v>
      </c>
      <c r="Q10" s="149">
        <f>SFP!P32+SFP!P33+SFP!P34+SFP!P35+SFP!P36</f>
        <v>14510260.529999999</v>
      </c>
      <c r="R10" s="149">
        <f>SFP!Q32+SFP!Q33+SFP!Q34+SFP!Q35+SFP!Q36</f>
        <v>5573892.0600000005</v>
      </c>
      <c r="S10" s="149">
        <f>SFP!R32+SFP!R33+SFP!R34+SFP!R35+SFP!R36</f>
        <v>-618685.8899999999</v>
      </c>
      <c r="T10" s="149">
        <f>SFP!S32+SFP!S33+SFP!S34+SFP!S35+SFP!S36</f>
        <v>1201830.03</v>
      </c>
      <c r="U10" s="149">
        <f>SFP!T32+SFP!T33+SFP!T34+SFP!T35+SFP!T36</f>
        <v>4333177.24</v>
      </c>
      <c r="V10" s="149">
        <f>SFP!U32+SFP!U33+SFP!U34+SFP!U35+SFP!U36</f>
        <v>11016659.310000001</v>
      </c>
      <c r="W10" s="149">
        <f>SFP!V32+SFP!V33+SFP!V34+SFP!V35+SFP!V36</f>
        <v>16850707.109999999</v>
      </c>
      <c r="X10" s="149">
        <f>SFP!W32+SFP!W33+SFP!W34+SFP!W35+SFP!W36</f>
        <v>18601955.400000002</v>
      </c>
      <c r="Y10" s="149">
        <f>SFP!X32+SFP!X33+SFP!X34+SFP!X35+SFP!X36</f>
        <v>22835303.23</v>
      </c>
      <c r="Z10" s="149">
        <f>SFP!Y32+SFP!Y33+SFP!Y34+SFP!Y35+SFP!Y36</f>
        <v>26732164.360000003</v>
      </c>
      <c r="AA10" s="149">
        <f>SFP!Z32+SFP!Z33+SFP!Z34+SFP!Z35+SFP!Z36</f>
        <v>360625425</v>
      </c>
      <c r="AB10" s="149">
        <f>SFP!AA32+SFP!AA33+SFP!AA34+SFP!AA35+SFP!AA36</f>
        <v>84564484</v>
      </c>
      <c r="AC10" s="149">
        <f>SFP!AB32+SFP!AB33+SFP!AB34+SFP!AB35+SFP!AB36</f>
        <v>291262851</v>
      </c>
      <c r="AD10" s="149">
        <f>SFP!AC32+SFP!AC33+SFP!AC34+SFP!AC35+SFP!AC36</f>
        <v>45787336.170000002</v>
      </c>
      <c r="AE10" s="149">
        <f>SFP!AD32+SFP!AD33+SFP!AD34+SFP!AD35+SFP!AD36</f>
        <v>50869665.25</v>
      </c>
      <c r="AF10" s="149">
        <f>SFP!AE32+SFP!AE33+SFP!AE34+SFP!AE35+SFP!AE36</f>
        <v>55273757.600000001</v>
      </c>
      <c r="AG10" s="149">
        <f>SFP!AF32+SFP!AF33+SFP!AF34+SFP!AF35+SFP!AF36</f>
        <v>32064031.140000001</v>
      </c>
      <c r="AH10" s="149">
        <f>SFP!AG32+SFP!AG33+SFP!AG34+SFP!AG35+SFP!AG36</f>
        <v>25005294.700000003</v>
      </c>
      <c r="AI10" s="149">
        <f>SFP!AH32+SFP!AH33+SFP!AH34+SFP!AH35+SFP!AH36</f>
        <v>27493689.600000001</v>
      </c>
      <c r="AJ10" s="149">
        <f>SFP!AI32+SFP!AI33+SFP!AI34+SFP!AI35+SFP!AI36</f>
        <v>72334602.38000001</v>
      </c>
      <c r="AK10" s="149">
        <f>SFP!AJ32+SFP!AJ33+SFP!AJ34+SFP!AJ35+SFP!AJ36</f>
        <v>77816583.25</v>
      </c>
      <c r="AL10" s="149">
        <f>SFP!AK32+SFP!AK33+SFP!AK34+SFP!AK35+SFP!AK36</f>
        <v>0</v>
      </c>
    </row>
    <row r="11" spans="1:38">
      <c r="A11" s="33"/>
      <c r="B11" s="34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</row>
    <row r="12" spans="1:38" ht="13.9" thickBot="1">
      <c r="A12" s="33"/>
      <c r="B12" s="34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</row>
    <row r="13" spans="1:38">
      <c r="A13" s="35">
        <v>5</v>
      </c>
      <c r="B13" s="36" t="s">
        <v>128</v>
      </c>
      <c r="C13" s="151">
        <f t="shared" ref="C13" si="0">C18+C20+C21</f>
        <v>535655370.41000003</v>
      </c>
      <c r="D13" s="151">
        <f t="shared" ref="D13:AC13" si="1">D18+D20+D21</f>
        <v>553192494.41000009</v>
      </c>
      <c r="E13" s="151">
        <f t="shared" si="1"/>
        <v>553239483.41000009</v>
      </c>
      <c r="F13" s="151">
        <f t="shared" si="1"/>
        <v>553497329.46000004</v>
      </c>
      <c r="G13" s="151">
        <f t="shared" si="1"/>
        <v>553497329.46000004</v>
      </c>
      <c r="H13" s="151">
        <f t="shared" si="1"/>
        <v>553499529.46000004</v>
      </c>
      <c r="I13" s="151">
        <f t="shared" si="1"/>
        <v>553498129.46000004</v>
      </c>
      <c r="J13" s="151">
        <f t="shared" si="1"/>
        <v>553504106.46000004</v>
      </c>
      <c r="K13" s="151">
        <f t="shared" si="1"/>
        <v>553525406.46000004</v>
      </c>
      <c r="L13" s="151">
        <f t="shared" si="1"/>
        <v>0</v>
      </c>
      <c r="M13" s="151">
        <f t="shared" si="1"/>
        <v>553526106.46000004</v>
      </c>
      <c r="N13" s="151">
        <f t="shared" si="1"/>
        <v>553526706.46000004</v>
      </c>
      <c r="O13" s="151">
        <f t="shared" si="1"/>
        <v>573153941</v>
      </c>
      <c r="P13" s="151">
        <f t="shared" si="1"/>
        <v>553527506.46000004</v>
      </c>
      <c r="Q13" s="151">
        <f t="shared" si="1"/>
        <v>553650171.00999999</v>
      </c>
      <c r="R13" s="151">
        <f t="shared" si="1"/>
        <v>553564481.63999999</v>
      </c>
      <c r="S13" s="151">
        <f t="shared" si="1"/>
        <v>553544081.63999999</v>
      </c>
      <c r="T13" s="151">
        <f t="shared" si="1"/>
        <v>553544481.63999999</v>
      </c>
      <c r="U13" s="151">
        <f t="shared" si="1"/>
        <v>553543881.63999999</v>
      </c>
      <c r="V13" s="151">
        <f t="shared" si="1"/>
        <v>763162998.27999997</v>
      </c>
      <c r="W13" s="151">
        <f t="shared" si="1"/>
        <v>763102998.27999997</v>
      </c>
      <c r="X13" s="151">
        <f t="shared" si="1"/>
        <v>763124398.27999997</v>
      </c>
      <c r="Y13" s="151">
        <f t="shared" si="1"/>
        <v>763072665.39999998</v>
      </c>
      <c r="Z13" s="151">
        <f t="shared" si="1"/>
        <v>763074065.39999998</v>
      </c>
      <c r="AA13" s="151">
        <f t="shared" si="1"/>
        <v>558810163</v>
      </c>
      <c r="AB13" s="151">
        <f t="shared" si="1"/>
        <v>14343778</v>
      </c>
      <c r="AC13" s="151">
        <f t="shared" si="1"/>
        <v>785216413</v>
      </c>
      <c r="AD13" s="151">
        <f t="shared" ref="AD13:AF13" si="2">AD18+AD20+AD21</f>
        <v>765935566.89999998</v>
      </c>
      <c r="AE13" s="151">
        <f t="shared" si="2"/>
        <v>765935966.89999998</v>
      </c>
      <c r="AF13" s="151">
        <f t="shared" si="2"/>
        <v>766047928.39999998</v>
      </c>
      <c r="AG13" s="151">
        <f t="shared" ref="AG13:AH13" si="3">AG18+AG20+AG21</f>
        <v>766043278.39999998</v>
      </c>
      <c r="AH13" s="151">
        <f t="shared" si="3"/>
        <v>766018978.39999998</v>
      </c>
      <c r="AI13" s="151">
        <f t="shared" ref="AI13:AL13" si="4">AI18+AI20+AI21</f>
        <v>766160325.03999996</v>
      </c>
      <c r="AJ13" s="151">
        <f t="shared" si="4"/>
        <v>766162658.03999996</v>
      </c>
      <c r="AK13" s="151">
        <f t="shared" si="4"/>
        <v>783021049.03999996</v>
      </c>
      <c r="AL13" s="151">
        <f t="shared" si="4"/>
        <v>0</v>
      </c>
    </row>
    <row r="14" spans="1:38">
      <c r="A14" s="37">
        <v>5.0999999999999996</v>
      </c>
      <c r="B14" s="99" t="s">
        <v>129</v>
      </c>
      <c r="C14" s="100">
        <f t="shared" ref="C14" si="5">C17</f>
        <v>743070153.81000006</v>
      </c>
      <c r="D14" s="100">
        <f t="shared" ref="D14:AC14" si="6">D17</f>
        <v>761625488.81000006</v>
      </c>
      <c r="E14" s="100">
        <f t="shared" si="6"/>
        <v>794128280.09000003</v>
      </c>
      <c r="F14" s="100">
        <f t="shared" si="6"/>
        <v>866714888.13999999</v>
      </c>
      <c r="G14" s="100">
        <f t="shared" si="6"/>
        <v>887012401.74000001</v>
      </c>
      <c r="H14" s="100">
        <f t="shared" si="6"/>
        <v>917636406.13999999</v>
      </c>
      <c r="I14" s="100">
        <f t="shared" si="6"/>
        <v>929750755.24000001</v>
      </c>
      <c r="J14" s="100">
        <f t="shared" si="6"/>
        <v>944406974.94000006</v>
      </c>
      <c r="K14" s="100">
        <f t="shared" si="6"/>
        <v>958638940.13999999</v>
      </c>
      <c r="L14" s="100">
        <f t="shared" si="6"/>
        <v>0</v>
      </c>
      <c r="M14" s="100">
        <f t="shared" si="6"/>
        <v>998149985.94000006</v>
      </c>
      <c r="N14" s="100">
        <f t="shared" si="6"/>
        <v>1002562018.04</v>
      </c>
      <c r="O14" s="100">
        <f t="shared" si="6"/>
        <v>742428673</v>
      </c>
      <c r="P14" s="100">
        <f t="shared" si="6"/>
        <v>727851374.13999999</v>
      </c>
      <c r="Q14" s="100">
        <f t="shared" si="6"/>
        <v>732293613.38999999</v>
      </c>
      <c r="R14" s="100">
        <f t="shared" si="6"/>
        <v>791398480.62</v>
      </c>
      <c r="S14" s="100">
        <f t="shared" si="6"/>
        <v>825850328.22000003</v>
      </c>
      <c r="T14" s="100">
        <f t="shared" si="6"/>
        <v>889034125.72000003</v>
      </c>
      <c r="U14" s="100">
        <f t="shared" si="6"/>
        <v>903367521.51999998</v>
      </c>
      <c r="V14" s="100">
        <f t="shared" si="6"/>
        <v>1148121174.26</v>
      </c>
      <c r="W14" s="100">
        <f t="shared" si="6"/>
        <v>1159290220.0599999</v>
      </c>
      <c r="X14" s="100">
        <f t="shared" si="6"/>
        <v>1169164573.6199999</v>
      </c>
      <c r="Y14" s="100">
        <f t="shared" si="6"/>
        <v>1187618751.73</v>
      </c>
      <c r="Z14" s="100">
        <f t="shared" si="6"/>
        <v>1221283166.79</v>
      </c>
      <c r="AA14" s="100">
        <f t="shared" si="6"/>
        <v>670709784</v>
      </c>
      <c r="AB14" s="100">
        <f t="shared" si="6"/>
        <v>71718889</v>
      </c>
      <c r="AC14" s="100">
        <f t="shared" si="6"/>
        <v>756996246</v>
      </c>
      <c r="AD14" s="100">
        <f t="shared" ref="AD14:AF14" si="7">AD17</f>
        <v>918084884.38999999</v>
      </c>
      <c r="AE14" s="100">
        <f t="shared" si="7"/>
        <v>955411166.39999998</v>
      </c>
      <c r="AF14" s="100">
        <f t="shared" si="7"/>
        <v>982076526.06999993</v>
      </c>
      <c r="AG14" s="100">
        <f t="shared" ref="AG14:AH14" si="8">AG17</f>
        <v>1031267583.89</v>
      </c>
      <c r="AH14" s="100">
        <f t="shared" si="8"/>
        <v>1074427111.6900001</v>
      </c>
      <c r="AI14" s="100">
        <f t="shared" ref="AI14:AL14" si="9">AI17</f>
        <v>1177429952.1300001</v>
      </c>
      <c r="AJ14" s="100">
        <f t="shared" si="9"/>
        <v>1074570791.3299999</v>
      </c>
      <c r="AK14" s="100">
        <f t="shared" si="9"/>
        <v>1180047978.21</v>
      </c>
      <c r="AL14" s="100">
        <f t="shared" si="9"/>
        <v>0</v>
      </c>
    </row>
    <row r="15" spans="1:38" ht="13.9" thickBot="1">
      <c r="A15" s="38">
        <v>5.2</v>
      </c>
      <c r="B15" s="101" t="s">
        <v>130</v>
      </c>
      <c r="C15" s="152">
        <f t="shared" ref="C15" si="10">C14-C18</f>
        <v>302881941.40000004</v>
      </c>
      <c r="D15" s="152">
        <f t="shared" ref="D15:AC15" si="11">D14-D18</f>
        <v>321437676.40000004</v>
      </c>
      <c r="E15" s="152">
        <f t="shared" si="11"/>
        <v>353940867.68000001</v>
      </c>
      <c r="F15" s="152">
        <f t="shared" si="11"/>
        <v>426269629.68000001</v>
      </c>
      <c r="G15" s="152">
        <f t="shared" si="11"/>
        <v>446567143.28000003</v>
      </c>
      <c r="H15" s="152">
        <f t="shared" si="11"/>
        <v>477188947.68000001</v>
      </c>
      <c r="I15" s="152">
        <f t="shared" si="11"/>
        <v>489304696.78000003</v>
      </c>
      <c r="J15" s="152">
        <f t="shared" si="11"/>
        <v>503954939.48000008</v>
      </c>
      <c r="K15" s="152">
        <f t="shared" si="11"/>
        <v>518165604.68000001</v>
      </c>
      <c r="L15" s="152">
        <f t="shared" si="11"/>
        <v>0</v>
      </c>
      <c r="M15" s="152">
        <f t="shared" si="11"/>
        <v>557675950.48000002</v>
      </c>
      <c r="N15" s="152">
        <f t="shared" si="11"/>
        <v>562087382.57999992</v>
      </c>
      <c r="O15" s="152">
        <f t="shared" si="11"/>
        <v>301954038</v>
      </c>
      <c r="P15" s="152">
        <f t="shared" si="11"/>
        <v>287375938.68000001</v>
      </c>
      <c r="Q15" s="152">
        <f t="shared" si="11"/>
        <v>291695513.38</v>
      </c>
      <c r="R15" s="152">
        <f t="shared" si="11"/>
        <v>350886069.98000002</v>
      </c>
      <c r="S15" s="152">
        <f t="shared" si="11"/>
        <v>385358317.58000004</v>
      </c>
      <c r="T15" s="152">
        <f t="shared" si="11"/>
        <v>448541715.08000004</v>
      </c>
      <c r="U15" s="152">
        <f t="shared" si="11"/>
        <v>462875710.88</v>
      </c>
      <c r="V15" s="152">
        <f t="shared" si="11"/>
        <v>498010246.98000002</v>
      </c>
      <c r="W15" s="152">
        <f t="shared" si="11"/>
        <v>509239292.77999997</v>
      </c>
      <c r="X15" s="152">
        <f t="shared" si="11"/>
        <v>519092246.33999991</v>
      </c>
      <c r="Y15" s="152">
        <f t="shared" si="11"/>
        <v>537598157.33000004</v>
      </c>
      <c r="Z15" s="152">
        <f t="shared" si="11"/>
        <v>571261172.38999999</v>
      </c>
      <c r="AA15" s="152">
        <f t="shared" si="11"/>
        <v>230235149</v>
      </c>
      <c r="AB15" s="152">
        <f t="shared" si="11"/>
        <v>71718889</v>
      </c>
      <c r="AC15" s="152">
        <f t="shared" si="11"/>
        <v>106974252</v>
      </c>
      <c r="AD15" s="152">
        <f t="shared" ref="AD15:AF15" si="12">AD14-AD18</f>
        <v>268089031.49000001</v>
      </c>
      <c r="AE15" s="152">
        <f t="shared" si="12"/>
        <v>305414913.5</v>
      </c>
      <c r="AF15" s="152">
        <f t="shared" si="12"/>
        <v>331968311.66999996</v>
      </c>
      <c r="AG15" s="152">
        <f t="shared" ref="AG15:AH15" si="13">AG14-AG18</f>
        <v>381164019.49000001</v>
      </c>
      <c r="AH15" s="152">
        <f t="shared" si="13"/>
        <v>424347847.29000008</v>
      </c>
      <c r="AI15" s="152">
        <f t="shared" ref="AI15:AL15" si="14">AI14-AI18</f>
        <v>527209341.09000015</v>
      </c>
      <c r="AJ15" s="152">
        <f t="shared" si="14"/>
        <v>424347847.28999996</v>
      </c>
      <c r="AK15" s="152">
        <f t="shared" si="14"/>
        <v>529825534.17000008</v>
      </c>
      <c r="AL15" s="152">
        <f t="shared" si="14"/>
        <v>0</v>
      </c>
    </row>
    <row r="16" spans="1:38" ht="13.9" thickBot="1">
      <c r="A16" s="39"/>
      <c r="B16" s="40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</row>
    <row r="17" spans="1:38">
      <c r="A17" s="41">
        <v>5.3</v>
      </c>
      <c r="B17" s="27" t="s">
        <v>131</v>
      </c>
      <c r="C17" s="65">
        <f t="shared" ref="C17" si="15">SUM(C18:C21)</f>
        <v>743070153.81000006</v>
      </c>
      <c r="D17" s="65">
        <f t="shared" ref="D17:AC17" si="16">SUM(D18:D21)</f>
        <v>761625488.81000006</v>
      </c>
      <c r="E17" s="65">
        <f t="shared" si="16"/>
        <v>794128280.09000003</v>
      </c>
      <c r="F17" s="65">
        <f t="shared" si="16"/>
        <v>866714888.13999999</v>
      </c>
      <c r="G17" s="65">
        <f t="shared" si="16"/>
        <v>887012401.74000001</v>
      </c>
      <c r="H17" s="65">
        <f t="shared" si="16"/>
        <v>917636406.13999999</v>
      </c>
      <c r="I17" s="65">
        <f t="shared" si="16"/>
        <v>929750755.24000001</v>
      </c>
      <c r="J17" s="65">
        <f t="shared" si="16"/>
        <v>944406974.94000006</v>
      </c>
      <c r="K17" s="65">
        <f t="shared" si="16"/>
        <v>958638940.13999999</v>
      </c>
      <c r="L17" s="65">
        <f t="shared" si="16"/>
        <v>0</v>
      </c>
      <c r="M17" s="65">
        <f t="shared" si="16"/>
        <v>998149985.94000006</v>
      </c>
      <c r="N17" s="65">
        <f t="shared" si="16"/>
        <v>1002562018.04</v>
      </c>
      <c r="O17" s="65">
        <f t="shared" si="16"/>
        <v>742428673</v>
      </c>
      <c r="P17" s="65">
        <f t="shared" si="16"/>
        <v>727851374.13999999</v>
      </c>
      <c r="Q17" s="65">
        <f t="shared" si="16"/>
        <v>732293613.38999999</v>
      </c>
      <c r="R17" s="65">
        <f t="shared" si="16"/>
        <v>791398480.62</v>
      </c>
      <c r="S17" s="65">
        <f t="shared" si="16"/>
        <v>825850328.22000003</v>
      </c>
      <c r="T17" s="65">
        <f t="shared" si="16"/>
        <v>889034125.72000003</v>
      </c>
      <c r="U17" s="65">
        <f t="shared" si="16"/>
        <v>903367521.51999998</v>
      </c>
      <c r="V17" s="65">
        <f t="shared" si="16"/>
        <v>1148121174.26</v>
      </c>
      <c r="W17" s="65">
        <f t="shared" si="16"/>
        <v>1159290220.0599999</v>
      </c>
      <c r="X17" s="65">
        <f t="shared" si="16"/>
        <v>1169164573.6199999</v>
      </c>
      <c r="Y17" s="65">
        <f t="shared" si="16"/>
        <v>1187618751.73</v>
      </c>
      <c r="Z17" s="65">
        <f t="shared" si="16"/>
        <v>1221283166.79</v>
      </c>
      <c r="AA17" s="65">
        <f t="shared" si="16"/>
        <v>670709784</v>
      </c>
      <c r="AB17" s="65">
        <f t="shared" si="16"/>
        <v>71718889</v>
      </c>
      <c r="AC17" s="65">
        <f t="shared" si="16"/>
        <v>756996246</v>
      </c>
      <c r="AD17" s="65">
        <f t="shared" ref="AD17:AF17" si="17">SUM(AD18:AD21)</f>
        <v>918084884.38999999</v>
      </c>
      <c r="AE17" s="65">
        <f t="shared" si="17"/>
        <v>955411166.39999998</v>
      </c>
      <c r="AF17" s="65">
        <f t="shared" si="17"/>
        <v>982076526.06999993</v>
      </c>
      <c r="AG17" s="65">
        <f t="shared" ref="AG17:AH17" si="18">SUM(AG18:AG21)</f>
        <v>1031267583.89</v>
      </c>
      <c r="AH17" s="65">
        <f t="shared" si="18"/>
        <v>1074427111.6900001</v>
      </c>
      <c r="AI17" s="65">
        <f t="shared" ref="AI17:AL17" si="19">SUM(AI18:AI21)</f>
        <v>1177429952.1300001</v>
      </c>
      <c r="AJ17" s="65">
        <f t="shared" si="19"/>
        <v>1074570791.3299999</v>
      </c>
      <c r="AK17" s="65">
        <f t="shared" si="19"/>
        <v>1180047978.21</v>
      </c>
      <c r="AL17" s="65">
        <f t="shared" si="19"/>
        <v>0</v>
      </c>
    </row>
    <row r="18" spans="1:38">
      <c r="A18" s="37" t="s">
        <v>132</v>
      </c>
      <c r="B18" s="42" t="s">
        <v>133</v>
      </c>
      <c r="C18" s="65">
        <f>SFP!B39</f>
        <v>440188212.41000003</v>
      </c>
      <c r="D18" s="65">
        <f>SFP!C39</f>
        <v>440187812.41000003</v>
      </c>
      <c r="E18" s="65">
        <f>SFP!D39</f>
        <v>440187412.41000003</v>
      </c>
      <c r="F18" s="65">
        <f>SFP!E39</f>
        <v>440445258.45999998</v>
      </c>
      <c r="G18" s="65">
        <f>SFP!F39</f>
        <v>440445258.45999998</v>
      </c>
      <c r="H18" s="65">
        <f>SFP!G39</f>
        <v>440447458.45999998</v>
      </c>
      <c r="I18" s="65">
        <f>SFP!H39</f>
        <v>440446058.45999998</v>
      </c>
      <c r="J18" s="65">
        <f>SFP!I39</f>
        <v>440452035.45999998</v>
      </c>
      <c r="K18" s="65">
        <f>SFP!J39</f>
        <v>440473335.45999998</v>
      </c>
      <c r="L18" s="65">
        <f>SFP!K39</f>
        <v>0</v>
      </c>
      <c r="M18" s="65">
        <f>SFP!L39</f>
        <v>440474035.45999998</v>
      </c>
      <c r="N18" s="65">
        <f>SFP!M39</f>
        <v>440474635.45999998</v>
      </c>
      <c r="O18" s="65">
        <f>SFP!N39</f>
        <v>440474635</v>
      </c>
      <c r="P18" s="65">
        <f>SFP!O39</f>
        <v>440475435.45999998</v>
      </c>
      <c r="Q18" s="65">
        <f>SFP!P39</f>
        <v>440598100.00999999</v>
      </c>
      <c r="R18" s="65">
        <f>SFP!Q39</f>
        <v>440512410.63999999</v>
      </c>
      <c r="S18" s="65">
        <f>SFP!R39</f>
        <v>440492010.63999999</v>
      </c>
      <c r="T18" s="65">
        <f>SFP!S39</f>
        <v>440492410.63999999</v>
      </c>
      <c r="U18" s="65">
        <f>SFP!T39</f>
        <v>440491810.63999999</v>
      </c>
      <c r="V18" s="65">
        <f>SFP!U39</f>
        <v>650110927.27999997</v>
      </c>
      <c r="W18" s="65">
        <f>SFP!V39</f>
        <v>650050927.27999997</v>
      </c>
      <c r="X18" s="65">
        <f>SFP!W39</f>
        <v>650072327.27999997</v>
      </c>
      <c r="Y18" s="65">
        <f>SFP!X39</f>
        <v>650020594.39999998</v>
      </c>
      <c r="Z18" s="65">
        <f>SFP!Y39</f>
        <v>650021994.39999998</v>
      </c>
      <c r="AA18" s="65">
        <f>SFP!Z39</f>
        <v>440474635</v>
      </c>
      <c r="AB18" s="65">
        <f>SFP!AA39</f>
        <v>0</v>
      </c>
      <c r="AC18" s="65">
        <f>SFP!AB39</f>
        <v>650021994</v>
      </c>
      <c r="AD18" s="65">
        <f>SFP!AC39</f>
        <v>649995852.89999998</v>
      </c>
      <c r="AE18" s="65">
        <f>SFP!AD39</f>
        <v>649996252.89999998</v>
      </c>
      <c r="AF18" s="65">
        <f>SFP!AE39</f>
        <v>650108214.39999998</v>
      </c>
      <c r="AG18" s="65">
        <f>SFP!AF39</f>
        <v>650103564.39999998</v>
      </c>
      <c r="AH18" s="65">
        <f>SFP!AG39</f>
        <v>650079264.39999998</v>
      </c>
      <c r="AI18" s="65">
        <f>SFP!AH39</f>
        <v>650220611.03999996</v>
      </c>
      <c r="AJ18" s="65">
        <f>SFP!AI39</f>
        <v>650222944.03999996</v>
      </c>
      <c r="AK18" s="65">
        <f>SFP!AJ39</f>
        <v>650222444.03999996</v>
      </c>
      <c r="AL18" s="65">
        <f>SFP!AK39</f>
        <v>0</v>
      </c>
    </row>
    <row r="19" spans="1:38">
      <c r="A19" s="37" t="s">
        <v>134</v>
      </c>
      <c r="B19" s="32" t="s">
        <v>69</v>
      </c>
      <c r="C19" s="65">
        <f>SFP!B41</f>
        <v>207414783.40000001</v>
      </c>
      <c r="D19" s="65">
        <f>SFP!C41</f>
        <v>208432994.40000001</v>
      </c>
      <c r="E19" s="65">
        <f>SFP!D41</f>
        <v>240888796.68000001</v>
      </c>
      <c r="F19" s="65">
        <f>SFP!E41</f>
        <v>313217558.68000001</v>
      </c>
      <c r="G19" s="65">
        <f>SFP!F41</f>
        <v>333515072.27999997</v>
      </c>
      <c r="H19" s="65">
        <f>SFP!G41</f>
        <v>364136876.68000001</v>
      </c>
      <c r="I19" s="65">
        <f>SFP!H41</f>
        <v>376252625.77999997</v>
      </c>
      <c r="J19" s="65">
        <f>SFP!I41</f>
        <v>390902868.48000002</v>
      </c>
      <c r="K19" s="65">
        <f>SFP!J41</f>
        <v>405113533.68000001</v>
      </c>
      <c r="L19" s="65">
        <f>SFP!K41</f>
        <v>0</v>
      </c>
      <c r="M19" s="65">
        <f>SFP!L41</f>
        <v>444623879.48000002</v>
      </c>
      <c r="N19" s="65">
        <f>SFP!M41</f>
        <v>449035311.58000004</v>
      </c>
      <c r="O19" s="65">
        <f>SFP!N41</f>
        <v>169274732</v>
      </c>
      <c r="P19" s="65">
        <f>SFP!O41</f>
        <v>174323867.68000001</v>
      </c>
      <c r="Q19" s="65">
        <f>SFP!P41</f>
        <v>178643442.38000003</v>
      </c>
      <c r="R19" s="65">
        <f>SFP!Q41</f>
        <v>237833998.98000002</v>
      </c>
      <c r="S19" s="65">
        <f>SFP!R41</f>
        <v>272306246.58000004</v>
      </c>
      <c r="T19" s="65">
        <f>SFP!S41</f>
        <v>335489644.08000004</v>
      </c>
      <c r="U19" s="65">
        <f>SFP!T41</f>
        <v>349823639.88</v>
      </c>
      <c r="V19" s="65">
        <f>SFP!U41</f>
        <v>384958175.98000002</v>
      </c>
      <c r="W19" s="65">
        <f>SFP!V41</f>
        <v>396187221.77999997</v>
      </c>
      <c r="X19" s="65">
        <f>SFP!W41</f>
        <v>406040175.34000003</v>
      </c>
      <c r="Y19" s="65">
        <f>SFP!X41</f>
        <v>424546086.33000004</v>
      </c>
      <c r="Z19" s="65">
        <f>SFP!Y41</f>
        <v>458209101.38999999</v>
      </c>
      <c r="AA19" s="65">
        <f>SFP!Z41</f>
        <v>111899621</v>
      </c>
      <c r="AB19" s="65">
        <f>SFP!AA41</f>
        <v>57375111</v>
      </c>
      <c r="AC19" s="65">
        <f>SFP!AB41</f>
        <v>-28220167</v>
      </c>
      <c r="AD19" s="65">
        <f>SFP!AC41</f>
        <v>152149317.49000001</v>
      </c>
      <c r="AE19" s="65">
        <f>SFP!AD41</f>
        <v>189475199.5</v>
      </c>
      <c r="AF19" s="65">
        <f>SFP!AE41</f>
        <v>216028597.67000002</v>
      </c>
      <c r="AG19" s="65">
        <f>SFP!AF41</f>
        <v>265224305.49000001</v>
      </c>
      <c r="AH19" s="65">
        <f>SFP!AG41</f>
        <v>308408133.29000002</v>
      </c>
      <c r="AI19" s="65">
        <f>SFP!AH41</f>
        <v>411269627.09000003</v>
      </c>
      <c r="AJ19" s="65">
        <f>SFP!AI41</f>
        <v>308408133.29000002</v>
      </c>
      <c r="AK19" s="65">
        <f>SFP!AJ41</f>
        <v>397026929.17000002</v>
      </c>
      <c r="AL19" s="65">
        <f>SFP!AK41</f>
        <v>0</v>
      </c>
    </row>
    <row r="20" spans="1:38">
      <c r="A20" s="37" t="s">
        <v>135</v>
      </c>
      <c r="B20" s="32" t="s">
        <v>136</v>
      </c>
      <c r="C20" s="65">
        <f>SFP!B45</f>
        <v>90967158</v>
      </c>
      <c r="D20" s="65">
        <f>SFP!C45</f>
        <v>108504682</v>
      </c>
      <c r="E20" s="65">
        <f>SFP!D45</f>
        <v>108552071</v>
      </c>
      <c r="F20" s="65">
        <f>SFP!E45</f>
        <v>108552071</v>
      </c>
      <c r="G20" s="65">
        <f>SFP!F45</f>
        <v>108552071</v>
      </c>
      <c r="H20" s="65">
        <f>SFP!G45</f>
        <v>108552071</v>
      </c>
      <c r="I20" s="65">
        <f>SFP!H45</f>
        <v>108552071</v>
      </c>
      <c r="J20" s="65">
        <f>SFP!I45</f>
        <v>108552071</v>
      </c>
      <c r="K20" s="65">
        <f>SFP!J45</f>
        <v>108552071</v>
      </c>
      <c r="L20" s="65">
        <f>SFP!K45</f>
        <v>0</v>
      </c>
      <c r="M20" s="65">
        <f>SFP!L45</f>
        <v>108552071</v>
      </c>
      <c r="N20" s="65">
        <f>SFP!M45</f>
        <v>108552071</v>
      </c>
      <c r="O20" s="65">
        <f>SFP!N45</f>
        <v>126744666</v>
      </c>
      <c r="P20" s="65">
        <f>SFP!O45</f>
        <v>108552071</v>
      </c>
      <c r="Q20" s="65">
        <f>SFP!P45</f>
        <v>108552071</v>
      </c>
      <c r="R20" s="65">
        <f>SFP!Q45</f>
        <v>108552071</v>
      </c>
      <c r="S20" s="65">
        <f>SFP!R45</f>
        <v>108552071</v>
      </c>
      <c r="T20" s="65">
        <f>SFP!S45</f>
        <v>108552071</v>
      </c>
      <c r="U20" s="65">
        <f>SFP!T45</f>
        <v>108552071</v>
      </c>
      <c r="V20" s="65">
        <f>SFP!U45</f>
        <v>108552071</v>
      </c>
      <c r="W20" s="65">
        <f>SFP!V45</f>
        <v>108552071</v>
      </c>
      <c r="X20" s="65">
        <f>SFP!W45</f>
        <v>108552071</v>
      </c>
      <c r="Y20" s="65">
        <f>SFP!X45</f>
        <v>108552071</v>
      </c>
      <c r="Z20" s="65">
        <f>SFP!Y45</f>
        <v>108552071</v>
      </c>
      <c r="AA20" s="65">
        <f>SFP!Z45</f>
        <v>112400888</v>
      </c>
      <c r="AB20" s="65">
        <f>SFP!AA45</f>
        <v>14343778</v>
      </c>
      <c r="AC20" s="65">
        <f>SFP!AB45</f>
        <v>129259779</v>
      </c>
      <c r="AD20" s="65">
        <f>SFP!AC45</f>
        <v>112400889</v>
      </c>
      <c r="AE20" s="65">
        <f>SFP!AD45</f>
        <v>112400889</v>
      </c>
      <c r="AF20" s="65">
        <f>SFP!AE45</f>
        <v>112400889</v>
      </c>
      <c r="AG20" s="65">
        <f>SFP!AF45</f>
        <v>112400889</v>
      </c>
      <c r="AH20" s="65">
        <f>SFP!AG45</f>
        <v>112400889</v>
      </c>
      <c r="AI20" s="65">
        <f>SFP!AH45</f>
        <v>112400889</v>
      </c>
      <c r="AJ20" s="65">
        <f>SFP!AI45</f>
        <v>112400889</v>
      </c>
      <c r="AK20" s="65">
        <f>SFP!AJ45</f>
        <v>129259780</v>
      </c>
      <c r="AL20" s="65">
        <f>SFP!AK45</f>
        <v>0</v>
      </c>
    </row>
    <row r="21" spans="1:38">
      <c r="A21" s="37" t="s">
        <v>137</v>
      </c>
      <c r="B21" s="32" t="s">
        <v>138</v>
      </c>
      <c r="C21" s="65">
        <f>SFP!B46</f>
        <v>4500000</v>
      </c>
      <c r="D21" s="65">
        <f>SFP!C46</f>
        <v>4500000</v>
      </c>
      <c r="E21" s="65">
        <f>SFP!D46</f>
        <v>4500000</v>
      </c>
      <c r="F21" s="65">
        <f>SFP!E46</f>
        <v>4500000</v>
      </c>
      <c r="G21" s="65">
        <f>SFP!F46</f>
        <v>4500000</v>
      </c>
      <c r="H21" s="65">
        <f>SFP!G46</f>
        <v>4500000</v>
      </c>
      <c r="I21" s="65">
        <f>SFP!H46</f>
        <v>4500000</v>
      </c>
      <c r="J21" s="65">
        <f>SFP!I46</f>
        <v>4500000</v>
      </c>
      <c r="K21" s="65">
        <f>SFP!J46</f>
        <v>4500000</v>
      </c>
      <c r="L21" s="65">
        <f>SFP!K46</f>
        <v>0</v>
      </c>
      <c r="M21" s="65">
        <f>SFP!L46</f>
        <v>4500000</v>
      </c>
      <c r="N21" s="65">
        <f>SFP!M46</f>
        <v>4500000</v>
      </c>
      <c r="O21" s="65">
        <f>SFP!N46</f>
        <v>5934640</v>
      </c>
      <c r="P21" s="65">
        <f>SFP!O46</f>
        <v>4500000</v>
      </c>
      <c r="Q21" s="65">
        <f>SFP!P46</f>
        <v>4500000</v>
      </c>
      <c r="R21" s="65">
        <f>SFP!Q46</f>
        <v>4500000</v>
      </c>
      <c r="S21" s="65">
        <f>SFP!R46</f>
        <v>4500000</v>
      </c>
      <c r="T21" s="65">
        <f>SFP!S46</f>
        <v>4500000</v>
      </c>
      <c r="U21" s="65">
        <f>SFP!T46</f>
        <v>4500000</v>
      </c>
      <c r="V21" s="65">
        <f>SFP!U46</f>
        <v>4500000</v>
      </c>
      <c r="W21" s="65">
        <f>SFP!V46</f>
        <v>4500000</v>
      </c>
      <c r="X21" s="65">
        <f>SFP!W46</f>
        <v>4500000</v>
      </c>
      <c r="Y21" s="65">
        <f>SFP!X46</f>
        <v>4500000</v>
      </c>
      <c r="Z21" s="65">
        <f>SFP!Y46</f>
        <v>4500000</v>
      </c>
      <c r="AA21" s="65">
        <f>SFP!Z46</f>
        <v>5934640</v>
      </c>
      <c r="AB21" s="65">
        <f>SFP!AA46</f>
        <v>0</v>
      </c>
      <c r="AC21" s="65">
        <f>SFP!AB46</f>
        <v>5934640</v>
      </c>
      <c r="AD21" s="65">
        <f>SFP!AC46</f>
        <v>3538825</v>
      </c>
      <c r="AE21" s="65">
        <f>SFP!AD46</f>
        <v>3538825</v>
      </c>
      <c r="AF21" s="65">
        <f>SFP!AE46</f>
        <v>3538825</v>
      </c>
      <c r="AG21" s="65">
        <f>SFP!AF46</f>
        <v>3538825</v>
      </c>
      <c r="AH21" s="65">
        <f>SFP!AG46</f>
        <v>3538825</v>
      </c>
      <c r="AI21" s="65">
        <f>SFP!AH46</f>
        <v>3538825</v>
      </c>
      <c r="AJ21" s="65">
        <f>SFP!AI46</f>
        <v>3538825</v>
      </c>
      <c r="AK21" s="65">
        <f>SFP!AJ46</f>
        <v>3538825</v>
      </c>
      <c r="AL21" s="65">
        <f>SFP!AK46</f>
        <v>0</v>
      </c>
    </row>
    <row r="22" spans="1:38">
      <c r="A22" s="37" t="s">
        <v>139</v>
      </c>
      <c r="B22" s="43" t="s">
        <v>140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</row>
    <row r="23" spans="1:38">
      <c r="A23" s="44" t="s">
        <v>141</v>
      </c>
      <c r="B23" s="32" t="s">
        <v>76</v>
      </c>
      <c r="C23" s="65">
        <f>SFP!B48</f>
        <v>0</v>
      </c>
      <c r="D23" s="65">
        <f>SFP!C48</f>
        <v>50579027</v>
      </c>
      <c r="E23" s="65">
        <f>SFP!D48</f>
        <v>51257379.079999998</v>
      </c>
      <c r="F23" s="65">
        <f>SFP!E48</f>
        <v>0</v>
      </c>
      <c r="G23" s="65">
        <f>SFP!F48</f>
        <v>0</v>
      </c>
      <c r="H23" s="65">
        <f>SFP!G48</f>
        <v>51257379.079999998</v>
      </c>
      <c r="I23" s="65">
        <f>SFP!H48</f>
        <v>0</v>
      </c>
      <c r="J23" s="65">
        <f>SFP!I48</f>
        <v>0</v>
      </c>
      <c r="K23" s="65">
        <f>SFP!J48</f>
        <v>0</v>
      </c>
      <c r="L23" s="65">
        <f>SFP!K48</f>
        <v>0</v>
      </c>
      <c r="M23" s="65">
        <f>SFP!L48</f>
        <v>0</v>
      </c>
      <c r="N23" s="65">
        <f>SFP!M48</f>
        <v>0</v>
      </c>
      <c r="O23" s="65">
        <f>SFP!N48</f>
        <v>50528122.590599999</v>
      </c>
      <c r="P23" s="65">
        <f>SFP!O48</f>
        <v>0</v>
      </c>
      <c r="Q23" s="65">
        <f>SFP!P48</f>
        <v>0</v>
      </c>
      <c r="R23" s="65">
        <f>SFP!Q48</f>
        <v>0</v>
      </c>
      <c r="S23" s="65">
        <f>SFP!R48</f>
        <v>0</v>
      </c>
      <c r="T23" s="65">
        <f>SFP!S48</f>
        <v>0</v>
      </c>
      <c r="U23" s="65">
        <f>SFP!T48</f>
        <v>0</v>
      </c>
      <c r="V23" s="65">
        <f>SFP!U48</f>
        <v>0</v>
      </c>
      <c r="W23" s="65">
        <f>SFP!V48</f>
        <v>0</v>
      </c>
      <c r="X23" s="65">
        <f>SFP!W48</f>
        <v>0</v>
      </c>
      <c r="Y23" s="65">
        <f>SFP!X48</f>
        <v>0</v>
      </c>
      <c r="Z23" s="65">
        <f>SFP!Y48</f>
        <v>0</v>
      </c>
      <c r="AA23" s="65">
        <f>SFP!Z48</f>
        <v>50528123</v>
      </c>
      <c r="AB23" s="65">
        <f>SFP!AA48</f>
        <v>-0.40940000116825104</v>
      </c>
      <c r="AC23" s="65">
        <f>SFP!AB48</f>
        <v>67105689</v>
      </c>
      <c r="AD23" s="65">
        <f>SFP!AC48</f>
        <v>0</v>
      </c>
      <c r="AE23" s="65">
        <f>SFP!AD48</f>
        <v>0</v>
      </c>
      <c r="AF23" s="65">
        <f>SFP!AE48</f>
        <v>0</v>
      </c>
      <c r="AG23" s="65">
        <f>SFP!AF48</f>
        <v>0</v>
      </c>
      <c r="AH23" s="65">
        <f>SFP!AG48</f>
        <v>0</v>
      </c>
      <c r="AI23" s="65">
        <f>SFP!AH48</f>
        <v>0</v>
      </c>
      <c r="AJ23" s="65">
        <f>SFP!AI48</f>
        <v>0</v>
      </c>
      <c r="AK23" s="65">
        <f>SFP!AJ48</f>
        <v>0</v>
      </c>
      <c r="AL23" s="65">
        <f>SFP!AK48</f>
        <v>0</v>
      </c>
    </row>
    <row r="24" spans="1:38" ht="13.9" thickBot="1">
      <c r="A24" s="45" t="s">
        <v>142</v>
      </c>
      <c r="B24" s="46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</row>
    <row r="25" spans="1:38" ht="13.9" thickBot="1">
      <c r="A25" s="33"/>
      <c r="B25" s="47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</row>
    <row r="26" spans="1:38">
      <c r="A26" s="35">
        <v>6</v>
      </c>
      <c r="B26" s="48" t="s">
        <v>143</v>
      </c>
      <c r="C26" s="65">
        <f t="shared" ref="C26" si="20">C27+C28+C29</f>
        <v>486426946</v>
      </c>
      <c r="D26" s="65">
        <f t="shared" ref="D26:AC26" si="21">D27+D28+D29</f>
        <v>418313198.80000001</v>
      </c>
      <c r="E26" s="65">
        <f t="shared" si="21"/>
        <v>418313198.80000001</v>
      </c>
      <c r="F26" s="65">
        <f t="shared" si="21"/>
        <v>418313198.80000001</v>
      </c>
      <c r="G26" s="65">
        <f t="shared" si="21"/>
        <v>418313198.80000001</v>
      </c>
      <c r="H26" s="65">
        <f t="shared" si="21"/>
        <v>418313198.80000001</v>
      </c>
      <c r="I26" s="65">
        <f t="shared" si="21"/>
        <v>418313198.80000001</v>
      </c>
      <c r="J26" s="65">
        <f t="shared" si="21"/>
        <v>418313198.80000001</v>
      </c>
      <c r="K26" s="65">
        <f t="shared" si="21"/>
        <v>418313198.80000001</v>
      </c>
      <c r="L26" s="65">
        <f t="shared" si="21"/>
        <v>0</v>
      </c>
      <c r="M26" s="65">
        <f t="shared" si="21"/>
        <v>418313198.80000001</v>
      </c>
      <c r="N26" s="65">
        <f t="shared" si="21"/>
        <v>418313198.80000001</v>
      </c>
      <c r="O26" s="65">
        <f t="shared" si="21"/>
        <v>409102173</v>
      </c>
      <c r="P26" s="65">
        <f t="shared" si="21"/>
        <v>418313198.80000001</v>
      </c>
      <c r="Q26" s="65">
        <f t="shared" si="21"/>
        <v>418313198.80000001</v>
      </c>
      <c r="R26" s="65">
        <f t="shared" si="21"/>
        <v>418313198.80000001</v>
      </c>
      <c r="S26" s="65">
        <f t="shared" si="21"/>
        <v>418313198.80000001</v>
      </c>
      <c r="T26" s="65">
        <f t="shared" si="21"/>
        <v>418313198.80000001</v>
      </c>
      <c r="U26" s="65">
        <f t="shared" si="21"/>
        <v>418313198.80000001</v>
      </c>
      <c r="V26" s="65">
        <f t="shared" si="21"/>
        <v>418313198.80000001</v>
      </c>
      <c r="W26" s="65">
        <f t="shared" si="21"/>
        <v>418313198.80000001</v>
      </c>
      <c r="X26" s="65">
        <f t="shared" si="21"/>
        <v>418313198.80000001</v>
      </c>
      <c r="Y26" s="65">
        <f t="shared" si="21"/>
        <v>418313198.80000001</v>
      </c>
      <c r="Z26" s="65">
        <f t="shared" si="21"/>
        <v>418313198.80000001</v>
      </c>
      <c r="AA26" s="65">
        <f t="shared" si="21"/>
        <v>432468041</v>
      </c>
      <c r="AB26" s="65">
        <f t="shared" si="21"/>
        <v>-23365868</v>
      </c>
      <c r="AC26" s="65">
        <f t="shared" si="21"/>
        <v>423139325</v>
      </c>
      <c r="AD26" s="65">
        <f t="shared" ref="AD26:AF26" si="22">AD27+AD28+AD29</f>
        <v>423725824.80000001</v>
      </c>
      <c r="AE26" s="65">
        <f t="shared" si="22"/>
        <v>423725824.80000001</v>
      </c>
      <c r="AF26" s="65">
        <f t="shared" si="22"/>
        <v>423725824.80000001</v>
      </c>
      <c r="AG26" s="65">
        <f t="shared" ref="AG26:AH26" si="23">AG27+AG28+AG29</f>
        <v>423725824.80000001</v>
      </c>
      <c r="AH26" s="65">
        <f t="shared" si="23"/>
        <v>423725824.80000001</v>
      </c>
      <c r="AI26" s="65">
        <f t="shared" ref="AI26:AL26" si="24">AI27+AI28+AI29</f>
        <v>423725824.80000001</v>
      </c>
      <c r="AJ26" s="65">
        <f t="shared" si="24"/>
        <v>423139324.80000001</v>
      </c>
      <c r="AK26" s="65">
        <f t="shared" si="24"/>
        <v>423139324.80000001</v>
      </c>
      <c r="AL26" s="65">
        <f t="shared" si="24"/>
        <v>0</v>
      </c>
    </row>
    <row r="27" spans="1:38">
      <c r="A27" s="37">
        <v>6.1</v>
      </c>
      <c r="B27" s="32" t="s">
        <v>144</v>
      </c>
      <c r="C27" s="65">
        <f>SFP!B12</f>
        <v>486426946</v>
      </c>
      <c r="D27" s="65">
        <f>SFP!C12</f>
        <v>418313198.80000001</v>
      </c>
      <c r="E27" s="65">
        <f>SFP!D12</f>
        <v>418313198.80000001</v>
      </c>
      <c r="F27" s="65">
        <f>SFP!E12</f>
        <v>418313198.80000001</v>
      </c>
      <c r="G27" s="65">
        <f>SFP!F12</f>
        <v>418313198.80000001</v>
      </c>
      <c r="H27" s="65">
        <f>SFP!G12</f>
        <v>418313198.80000001</v>
      </c>
      <c r="I27" s="65">
        <f>SFP!H12</f>
        <v>418313198.80000001</v>
      </c>
      <c r="J27" s="65">
        <f>SFP!I12</f>
        <v>418313198.80000001</v>
      </c>
      <c r="K27" s="65">
        <f>SFP!J12</f>
        <v>418313198.80000001</v>
      </c>
      <c r="L27" s="65">
        <f>SFP!K12</f>
        <v>0</v>
      </c>
      <c r="M27" s="65">
        <f>SFP!L12</f>
        <v>418313198.80000001</v>
      </c>
      <c r="N27" s="65">
        <f>SFP!M12</f>
        <v>418313198.80000001</v>
      </c>
      <c r="O27" s="65">
        <f>SFP!N12</f>
        <v>409102173</v>
      </c>
      <c r="P27" s="65">
        <f>SFP!O12</f>
        <v>418313198.80000001</v>
      </c>
      <c r="Q27" s="65">
        <f>SFP!P12</f>
        <v>418313198.80000001</v>
      </c>
      <c r="R27" s="65">
        <f>SFP!Q12</f>
        <v>418313198.80000001</v>
      </c>
      <c r="S27" s="65">
        <f>SFP!R12</f>
        <v>418313198.80000001</v>
      </c>
      <c r="T27" s="65">
        <f>SFP!S12</f>
        <v>418313198.80000001</v>
      </c>
      <c r="U27" s="65">
        <f>SFP!T12</f>
        <v>418313198.80000001</v>
      </c>
      <c r="V27" s="65">
        <f>SFP!U12</f>
        <v>418313198.80000001</v>
      </c>
      <c r="W27" s="65">
        <f>SFP!V12</f>
        <v>418313198.80000001</v>
      </c>
      <c r="X27" s="65">
        <f>SFP!W12</f>
        <v>418313198.80000001</v>
      </c>
      <c r="Y27" s="65">
        <f>SFP!X12</f>
        <v>418313198.80000001</v>
      </c>
      <c r="Z27" s="65">
        <f>SFP!Y12</f>
        <v>418313198.80000001</v>
      </c>
      <c r="AA27" s="65">
        <f>SFP!Z12</f>
        <v>23365868</v>
      </c>
      <c r="AB27" s="65">
        <f>SFP!AA12</f>
        <v>385736305</v>
      </c>
      <c r="AC27" s="65">
        <f>SFP!AB12</f>
        <v>22779368</v>
      </c>
      <c r="AD27" s="65">
        <f>SFP!AC12</f>
        <v>423725824.80000001</v>
      </c>
      <c r="AE27" s="65">
        <f>SFP!AD12</f>
        <v>423725824.80000001</v>
      </c>
      <c r="AF27" s="65">
        <f>SFP!AE12</f>
        <v>423725824.80000001</v>
      </c>
      <c r="AG27" s="65">
        <f>SFP!AF12</f>
        <v>423725824.80000001</v>
      </c>
      <c r="AH27" s="65">
        <f>SFP!AG12</f>
        <v>423725824.80000001</v>
      </c>
      <c r="AI27" s="65">
        <f>SFP!AH12</f>
        <v>423725824.80000001</v>
      </c>
      <c r="AJ27" s="65">
        <f>SFP!AI12</f>
        <v>423139324.80000001</v>
      </c>
      <c r="AK27" s="65">
        <f>SFP!AJ12</f>
        <v>423139324.80000001</v>
      </c>
      <c r="AL27" s="65">
        <f>SFP!AK12</f>
        <v>0</v>
      </c>
    </row>
    <row r="28" spans="1:38">
      <c r="A28" s="37">
        <v>6.2</v>
      </c>
      <c r="B28" s="32" t="s">
        <v>145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</row>
    <row r="29" spans="1:38" ht="13.9" thickBot="1">
      <c r="A29" s="38">
        <v>6.3</v>
      </c>
      <c r="B29" s="46" t="s">
        <v>146</v>
      </c>
      <c r="C29" s="65">
        <f>SFP!B11</f>
        <v>0</v>
      </c>
      <c r="D29" s="65">
        <f>SFP!C11</f>
        <v>0</v>
      </c>
      <c r="E29" s="65">
        <f>SFP!D11</f>
        <v>0</v>
      </c>
      <c r="F29" s="65">
        <f>SFP!E11</f>
        <v>0</v>
      </c>
      <c r="G29" s="65">
        <f>SFP!F11</f>
        <v>0</v>
      </c>
      <c r="H29" s="65">
        <f>SFP!G11</f>
        <v>0</v>
      </c>
      <c r="I29" s="65">
        <f>SFP!H11</f>
        <v>0</v>
      </c>
      <c r="J29" s="65">
        <f>SFP!I11</f>
        <v>0</v>
      </c>
      <c r="K29" s="65">
        <f>SFP!J11</f>
        <v>0</v>
      </c>
      <c r="L29" s="65">
        <f>SFP!K11</f>
        <v>0</v>
      </c>
      <c r="M29" s="65">
        <f>SFP!L11</f>
        <v>0</v>
      </c>
      <c r="N29" s="65">
        <f>SFP!M11</f>
        <v>0</v>
      </c>
      <c r="O29" s="65">
        <f>SFP!N11</f>
        <v>0</v>
      </c>
      <c r="P29" s="65">
        <f>SFP!O11</f>
        <v>0</v>
      </c>
      <c r="Q29" s="65">
        <f>SFP!P11</f>
        <v>0</v>
      </c>
      <c r="R29" s="65">
        <f>SFP!Q11</f>
        <v>0</v>
      </c>
      <c r="S29" s="65">
        <f>SFP!R11</f>
        <v>0</v>
      </c>
      <c r="T29" s="65">
        <f>SFP!S11</f>
        <v>0</v>
      </c>
      <c r="U29" s="65">
        <f>SFP!T11</f>
        <v>0</v>
      </c>
      <c r="V29" s="65">
        <f>SFP!U11</f>
        <v>0</v>
      </c>
      <c r="W29" s="65">
        <f>SFP!V11</f>
        <v>0</v>
      </c>
      <c r="X29" s="65">
        <f>SFP!W11</f>
        <v>0</v>
      </c>
      <c r="Y29" s="65">
        <f>SFP!X11</f>
        <v>0</v>
      </c>
      <c r="Z29" s="65">
        <f>SFP!Y11</f>
        <v>0</v>
      </c>
      <c r="AA29" s="65">
        <f>SFP!Z11</f>
        <v>409102173</v>
      </c>
      <c r="AB29" s="65">
        <f>SFP!AA11</f>
        <v>-409102173</v>
      </c>
      <c r="AC29" s="65">
        <f>SFP!AB11</f>
        <v>400359957</v>
      </c>
      <c r="AD29" s="65">
        <f>SFP!AC11</f>
        <v>0</v>
      </c>
      <c r="AE29" s="65">
        <f>SFP!AD11</f>
        <v>0</v>
      </c>
      <c r="AF29" s="65">
        <f>SFP!AE11</f>
        <v>0</v>
      </c>
      <c r="AG29" s="65">
        <f>SFP!AF11</f>
        <v>0</v>
      </c>
      <c r="AH29" s="65">
        <f>SFP!AG11</f>
        <v>0</v>
      </c>
      <c r="AI29" s="65">
        <f>SFP!AH11</f>
        <v>0</v>
      </c>
      <c r="AJ29" s="65">
        <f>SFP!AI11</f>
        <v>0</v>
      </c>
      <c r="AK29" s="65">
        <f>SFP!AJ11</f>
        <v>0</v>
      </c>
      <c r="AL29" s="65">
        <f>SFP!AK11</f>
        <v>0</v>
      </c>
    </row>
    <row r="30" spans="1:38" ht="13.9" thickBot="1">
      <c r="A30" s="33"/>
      <c r="B30" s="49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</row>
    <row r="31" spans="1:38">
      <c r="A31" s="35">
        <v>7</v>
      </c>
      <c r="B31" s="50" t="s">
        <v>147</v>
      </c>
      <c r="C31" s="65">
        <f t="shared" ref="C31" si="25">C32-C33</f>
        <v>3303575575.23</v>
      </c>
      <c r="D31" s="65">
        <f t="shared" ref="D31:AC31" si="26">D32-D33</f>
        <v>3379464614.9000001</v>
      </c>
      <c r="E31" s="65">
        <f t="shared" si="26"/>
        <v>3409631329.1400003</v>
      </c>
      <c r="F31" s="65">
        <f t="shared" si="26"/>
        <v>3373760681.1400003</v>
      </c>
      <c r="G31" s="65">
        <f t="shared" si="26"/>
        <v>3380365750.6900001</v>
      </c>
      <c r="H31" s="65">
        <f t="shared" si="26"/>
        <v>3372365266.6200004</v>
      </c>
      <c r="I31" s="65">
        <f t="shared" si="26"/>
        <v>3401713116.0599999</v>
      </c>
      <c r="J31" s="65">
        <f t="shared" si="26"/>
        <v>3440110918.3400002</v>
      </c>
      <c r="K31" s="65">
        <f t="shared" si="26"/>
        <v>3476777093.8299999</v>
      </c>
      <c r="L31" s="65">
        <f t="shared" si="26"/>
        <v>0</v>
      </c>
      <c r="M31" s="65">
        <f t="shared" si="26"/>
        <v>3515868123.9100003</v>
      </c>
      <c r="N31" s="65">
        <f t="shared" si="26"/>
        <v>3512891565.96</v>
      </c>
      <c r="O31" s="65">
        <f t="shared" si="26"/>
        <v>3459988413</v>
      </c>
      <c r="P31" s="65">
        <f t="shared" si="26"/>
        <v>3567087347.6500001</v>
      </c>
      <c r="Q31" s="65">
        <f t="shared" si="26"/>
        <v>3666976184.5999999</v>
      </c>
      <c r="R31" s="65">
        <f t="shared" si="26"/>
        <v>3605219114.25</v>
      </c>
      <c r="S31" s="65">
        <f t="shared" si="26"/>
        <v>3598080412.7199998</v>
      </c>
      <c r="T31" s="65">
        <f t="shared" si="26"/>
        <v>3595932857.8099999</v>
      </c>
      <c r="U31" s="65">
        <f t="shared" si="26"/>
        <v>3621851747.8099999</v>
      </c>
      <c r="V31" s="65">
        <f t="shared" si="26"/>
        <v>3597254447.1699996</v>
      </c>
      <c r="W31" s="65">
        <f t="shared" si="26"/>
        <v>3615251846.6399999</v>
      </c>
      <c r="X31" s="65">
        <f t="shared" si="26"/>
        <v>3653758496.04</v>
      </c>
      <c r="Y31" s="65">
        <f t="shared" si="26"/>
        <v>3857024810.3699999</v>
      </c>
      <c r="Z31" s="65">
        <f t="shared" si="26"/>
        <v>3883229790.4099998</v>
      </c>
      <c r="AA31" s="65">
        <f t="shared" si="26"/>
        <v>3432988413</v>
      </c>
      <c r="AB31" s="65">
        <f t="shared" si="26"/>
        <v>27000000</v>
      </c>
      <c r="AC31" s="65">
        <f t="shared" si="26"/>
        <v>3681831574</v>
      </c>
      <c r="AD31" s="65">
        <f t="shared" ref="AD31:AF31" si="27">AD32-AD33</f>
        <v>3931758512.6199999</v>
      </c>
      <c r="AE31" s="65">
        <f t="shared" si="27"/>
        <v>4015735878.9299998</v>
      </c>
      <c r="AF31" s="65">
        <f t="shared" si="27"/>
        <v>4061663479.27</v>
      </c>
      <c r="AG31" s="65">
        <f t="shared" ref="AG31:AH31" si="28">AG32-AG33</f>
        <v>4116559579.4099998</v>
      </c>
      <c r="AH31" s="65">
        <f t="shared" si="28"/>
        <v>4346922944.5799999</v>
      </c>
      <c r="AI31" s="65">
        <f t="shared" ref="AI31:AL31" si="29">AI32-AI33</f>
        <v>4444228571.6199999</v>
      </c>
      <c r="AJ31" s="65">
        <f t="shared" si="29"/>
        <v>4382747595.54</v>
      </c>
      <c r="AK31" s="65">
        <f t="shared" si="29"/>
        <v>4450757297.4300003</v>
      </c>
      <c r="AL31" s="65">
        <f t="shared" si="29"/>
        <v>0</v>
      </c>
    </row>
    <row r="32" spans="1:38">
      <c r="A32" s="37">
        <v>7.1</v>
      </c>
      <c r="B32" s="31" t="s">
        <v>148</v>
      </c>
      <c r="C32" s="65">
        <f>SFP!B14</f>
        <v>3437981807.23</v>
      </c>
      <c r="D32" s="65">
        <f>SFP!C14</f>
        <v>3528733863.04</v>
      </c>
      <c r="E32" s="65">
        <f>SFP!D14</f>
        <v>3558900577.2800002</v>
      </c>
      <c r="F32" s="65">
        <f>SFP!E14</f>
        <v>3523029929.2800002</v>
      </c>
      <c r="G32" s="65">
        <f>SFP!F14</f>
        <v>3529634998.8299999</v>
      </c>
      <c r="H32" s="65">
        <f>SFP!G14</f>
        <v>3521634514.7600002</v>
      </c>
      <c r="I32" s="65">
        <f>SFP!H14</f>
        <v>3550982364.1999998</v>
      </c>
      <c r="J32" s="65">
        <f>SFP!I14</f>
        <v>3589380166.48</v>
      </c>
      <c r="K32" s="65">
        <f>SFP!J14</f>
        <v>3626046341.9699998</v>
      </c>
      <c r="L32" s="65">
        <f>SFP!K14</f>
        <v>0</v>
      </c>
      <c r="M32" s="65">
        <f>SFP!L14</f>
        <v>3665137372.0500002</v>
      </c>
      <c r="N32" s="65">
        <f>SFP!M14</f>
        <v>3662160814.0999999</v>
      </c>
      <c r="O32" s="65">
        <f>SFP!N14</f>
        <v>3614762641</v>
      </c>
      <c r="P32" s="65">
        <f>SFP!O14</f>
        <v>3716356595.79</v>
      </c>
      <c r="Q32" s="65">
        <f>SFP!P14</f>
        <v>3737062751.1700001</v>
      </c>
      <c r="R32" s="65">
        <f>SFP!Q14</f>
        <v>3675305680.8200002</v>
      </c>
      <c r="S32" s="65">
        <f>SFP!R14</f>
        <v>3668166979.29</v>
      </c>
      <c r="T32" s="65">
        <f>SFP!S14</f>
        <v>3666019424.3800001</v>
      </c>
      <c r="U32" s="65">
        <f>SFP!T14</f>
        <v>3691938314.3800001</v>
      </c>
      <c r="V32" s="65">
        <f>SFP!U14</f>
        <v>3667341013.7399998</v>
      </c>
      <c r="W32" s="65">
        <f>SFP!V14</f>
        <v>3685338413.21</v>
      </c>
      <c r="X32" s="65">
        <f>SFP!W14</f>
        <v>3723845062.6100001</v>
      </c>
      <c r="Y32" s="65">
        <f>SFP!X14</f>
        <v>3927111376.9400001</v>
      </c>
      <c r="Z32" s="65">
        <f>SFP!Y14</f>
        <v>3953316356.98</v>
      </c>
      <c r="AA32" s="65">
        <f>SFP!Z14</f>
        <v>3592762641</v>
      </c>
      <c r="AB32" s="65">
        <f>SFP!AA14</f>
        <v>22000000</v>
      </c>
      <c r="AC32" s="65">
        <f>SFP!AB14</f>
        <v>3858442217</v>
      </c>
      <c r="AD32" s="65">
        <f>SFP!AC14</f>
        <v>4091532740.1900001</v>
      </c>
      <c r="AE32" s="65">
        <f>SFP!AD14</f>
        <v>4175510106.5</v>
      </c>
      <c r="AF32" s="65">
        <f>SFP!AE14</f>
        <v>4221437706.8400002</v>
      </c>
      <c r="AG32" s="65">
        <f>SFP!AF14</f>
        <v>4293170222.4099998</v>
      </c>
      <c r="AH32" s="65">
        <f>SFP!AG14</f>
        <v>4506697172.1499996</v>
      </c>
      <c r="AI32" s="65">
        <f>SFP!AH14</f>
        <v>4604002799.1899996</v>
      </c>
      <c r="AJ32" s="65">
        <f>SFP!AI14</f>
        <v>4559358238.1099997</v>
      </c>
      <c r="AK32" s="65">
        <f>SFP!AJ14</f>
        <v>4627367940</v>
      </c>
      <c r="AL32" s="65">
        <f>SFP!AK14</f>
        <v>0</v>
      </c>
    </row>
    <row r="33" spans="1:38">
      <c r="A33" s="37">
        <v>7.3</v>
      </c>
      <c r="B33" s="31" t="s">
        <v>149</v>
      </c>
      <c r="C33" s="65">
        <f>SFP!B15</f>
        <v>134406232</v>
      </c>
      <c r="D33" s="65">
        <f>SFP!C15</f>
        <v>149269248.13999999</v>
      </c>
      <c r="E33" s="65">
        <f>SFP!D15</f>
        <v>149269248.13999999</v>
      </c>
      <c r="F33" s="65">
        <f>SFP!E15</f>
        <v>149269248.13999999</v>
      </c>
      <c r="G33" s="65">
        <f>SFP!F15</f>
        <v>149269248.13999999</v>
      </c>
      <c r="H33" s="65">
        <f>SFP!G15</f>
        <v>149269248.13999999</v>
      </c>
      <c r="I33" s="65">
        <f>SFP!H15</f>
        <v>149269248.13999999</v>
      </c>
      <c r="J33" s="65">
        <f>SFP!I15</f>
        <v>149269248.13999999</v>
      </c>
      <c r="K33" s="65">
        <f>SFP!J15</f>
        <v>149269248.13999999</v>
      </c>
      <c r="L33" s="65">
        <f>SFP!K15</f>
        <v>0</v>
      </c>
      <c r="M33" s="65">
        <f>SFP!L15</f>
        <v>149269248.13999999</v>
      </c>
      <c r="N33" s="65">
        <f>SFP!M15</f>
        <v>149269248.13999999</v>
      </c>
      <c r="O33" s="65">
        <f>SFP!N15</f>
        <v>154774228</v>
      </c>
      <c r="P33" s="65">
        <f>SFP!O15</f>
        <v>149269248.13999999</v>
      </c>
      <c r="Q33" s="65">
        <f>SFP!P15</f>
        <v>70086566.569999993</v>
      </c>
      <c r="R33" s="65">
        <f>SFP!Q15</f>
        <v>70086566.569999993</v>
      </c>
      <c r="S33" s="65">
        <f>SFP!R15</f>
        <v>70086566.569999993</v>
      </c>
      <c r="T33" s="65">
        <f>SFP!S15</f>
        <v>70086566.569999993</v>
      </c>
      <c r="U33" s="65">
        <f>SFP!T15</f>
        <v>70086566.569999993</v>
      </c>
      <c r="V33" s="65">
        <f>SFP!U15</f>
        <v>70086566.569999993</v>
      </c>
      <c r="W33" s="65">
        <f>SFP!V15</f>
        <v>70086566.569999993</v>
      </c>
      <c r="X33" s="65">
        <f>SFP!W15</f>
        <v>70086566.569999993</v>
      </c>
      <c r="Y33" s="65">
        <f>SFP!X15</f>
        <v>70086566.569999993</v>
      </c>
      <c r="Z33" s="65">
        <f>SFP!Y15</f>
        <v>70086566.569999993</v>
      </c>
      <c r="AA33" s="65">
        <f>SFP!Z15</f>
        <v>159774228</v>
      </c>
      <c r="AB33" s="65">
        <f>SFP!AA15</f>
        <v>-5000000</v>
      </c>
      <c r="AC33" s="65">
        <f>SFP!AB15</f>
        <v>176610643</v>
      </c>
      <c r="AD33" s="65">
        <f>SFP!AC15</f>
        <v>159774227.56999999</v>
      </c>
      <c r="AE33" s="65">
        <f>SFP!AD15</f>
        <v>159774227.56999999</v>
      </c>
      <c r="AF33" s="65">
        <f>SFP!AE15</f>
        <v>159774227.56999999</v>
      </c>
      <c r="AG33" s="65">
        <f>SFP!AF15</f>
        <v>176610643</v>
      </c>
      <c r="AH33" s="65">
        <f>SFP!AG15</f>
        <v>159774227.56999999</v>
      </c>
      <c r="AI33" s="65">
        <f>SFP!AH15</f>
        <v>159774227.56999999</v>
      </c>
      <c r="AJ33" s="65">
        <f>SFP!AI15</f>
        <v>176610642.56999999</v>
      </c>
      <c r="AK33" s="65">
        <f>SFP!AJ15</f>
        <v>176610642.56999999</v>
      </c>
      <c r="AL33" s="65">
        <f>SFP!AK15</f>
        <v>0</v>
      </c>
    </row>
    <row r="34" spans="1:38" ht="13.9" thickBot="1">
      <c r="A34" s="51">
        <v>7.4</v>
      </c>
      <c r="B34" s="31" t="s">
        <v>150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>
        <f>162502879+19518299+151715259</f>
        <v>333736437</v>
      </c>
      <c r="AD34" s="65">
        <f t="shared" ref="AD34:AL34" si="30">162502879+19518299+151715259</f>
        <v>333736437</v>
      </c>
      <c r="AE34" s="65">
        <f t="shared" si="30"/>
        <v>333736437</v>
      </c>
      <c r="AF34" s="65">
        <f t="shared" si="30"/>
        <v>333736437</v>
      </c>
      <c r="AG34" s="65">
        <f t="shared" si="30"/>
        <v>333736437</v>
      </c>
      <c r="AH34" s="65">
        <f t="shared" si="30"/>
        <v>333736437</v>
      </c>
      <c r="AI34" s="65">
        <f t="shared" si="30"/>
        <v>333736437</v>
      </c>
      <c r="AJ34" s="65">
        <f t="shared" si="30"/>
        <v>333736437</v>
      </c>
      <c r="AK34" s="65">
        <f t="shared" si="30"/>
        <v>333736437</v>
      </c>
      <c r="AL34" s="65">
        <f t="shared" si="30"/>
        <v>333736437</v>
      </c>
    </row>
    <row r="35" spans="1:38" ht="13.9" thickBot="1">
      <c r="A35" s="51">
        <v>7.5</v>
      </c>
      <c r="B35" s="52" t="s">
        <v>151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</row>
    <row r="36" spans="1:38" ht="13.9" thickBot="1">
      <c r="A36" s="51">
        <v>7.6</v>
      </c>
      <c r="B36" s="53" t="s">
        <v>152</v>
      </c>
      <c r="C36" s="65">
        <f>SFP!B4</f>
        <v>252652851</v>
      </c>
      <c r="D36" s="65">
        <f>SFP!C4</f>
        <v>246465826.06999999</v>
      </c>
      <c r="E36" s="65">
        <f>SFP!D4</f>
        <v>289796755.5</v>
      </c>
      <c r="F36" s="65">
        <f>SFP!E4</f>
        <v>131395640.2</v>
      </c>
      <c r="G36" s="65">
        <f>SFP!F4</f>
        <v>479503283.56999999</v>
      </c>
      <c r="H36" s="65">
        <f>SFP!G4</f>
        <v>783748468.00999999</v>
      </c>
      <c r="I36" s="65">
        <f>SFP!H4</f>
        <v>489544177.91000003</v>
      </c>
      <c r="J36" s="65">
        <f>SFP!I4</f>
        <v>712822967.85000002</v>
      </c>
      <c r="K36" s="65">
        <f>SFP!J4</f>
        <v>467447450.42000002</v>
      </c>
      <c r="L36" s="65">
        <f>SFP!K4</f>
        <v>0</v>
      </c>
      <c r="M36" s="65">
        <f>SFP!L4</f>
        <v>737328587.63</v>
      </c>
      <c r="N36" s="65">
        <f>SFP!M4</f>
        <v>785767382.80999994</v>
      </c>
      <c r="O36" s="65">
        <f>SFP!N4</f>
        <v>817345916.45999992</v>
      </c>
      <c r="P36" s="65">
        <f>SFP!O4</f>
        <v>549969697.21000004</v>
      </c>
      <c r="Q36" s="65">
        <f>SFP!P4</f>
        <v>673364171.13999999</v>
      </c>
      <c r="R36" s="65">
        <f>SFP!Q4</f>
        <v>187766168.67000002</v>
      </c>
      <c r="S36" s="65">
        <f>SFP!R4</f>
        <v>423958915.56999999</v>
      </c>
      <c r="T36" s="65">
        <f>SFP!S4</f>
        <v>511353966.05000001</v>
      </c>
      <c r="U36" s="65">
        <f>SFP!T4</f>
        <v>495223763.95000005</v>
      </c>
      <c r="V36" s="65">
        <f>SFP!U4</f>
        <v>360800549.75999999</v>
      </c>
      <c r="W36" s="65">
        <f>SFP!V4</f>
        <v>630276104.70999992</v>
      </c>
      <c r="X36" s="65">
        <f>SFP!W4</f>
        <v>422903264.44999999</v>
      </c>
      <c r="Y36" s="65">
        <f>SFP!X4</f>
        <v>350365295.95000005</v>
      </c>
      <c r="Z36" s="65">
        <f>SFP!Y4</f>
        <v>537093949.86000001</v>
      </c>
      <c r="AA36" s="65">
        <f>SFP!Z4</f>
        <v>817345916</v>
      </c>
      <c r="AB36" s="65">
        <f>SFP!AA4</f>
        <v>0.45999991893768311</v>
      </c>
      <c r="AC36" s="65">
        <f>SFP!AB4</f>
        <v>576228117</v>
      </c>
      <c r="AD36" s="65">
        <f>SFP!AC4</f>
        <v>475114673.84999996</v>
      </c>
      <c r="AE36" s="65">
        <f>SFP!AD4</f>
        <v>82486263.319999993</v>
      </c>
      <c r="AF36" s="65">
        <f>SFP!AE4</f>
        <v>229949734.13</v>
      </c>
      <c r="AG36" s="65">
        <f>SFP!AF4</f>
        <v>-186374870.41</v>
      </c>
      <c r="AH36" s="65">
        <f>SFP!AG4</f>
        <v>-197928492.25</v>
      </c>
      <c r="AI36" s="65">
        <f>SFP!AH4</f>
        <v>457663301.26999998</v>
      </c>
      <c r="AJ36" s="65">
        <f>SFP!AI4</f>
        <v>202448144.04000002</v>
      </c>
      <c r="AK36" s="65">
        <f>SFP!AJ4</f>
        <v>209839910.35999998</v>
      </c>
      <c r="AL36" s="65">
        <f>SFP!AK4</f>
        <v>0</v>
      </c>
    </row>
    <row r="37" spans="1:38" ht="13.9" thickBot="1">
      <c r="A37" s="33"/>
      <c r="B37" s="54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</row>
    <row r="38" spans="1:38">
      <c r="A38" s="35">
        <v>8</v>
      </c>
      <c r="B38" s="50" t="s">
        <v>153</v>
      </c>
      <c r="C38" s="65">
        <f>SFP!B7+SFP!B16+SFP!B22+SFP!B23+SFP!B24+SFP!B25</f>
        <v>1835140965.8299999</v>
      </c>
      <c r="D38" s="65">
        <f>SFP!C7+SFP!C16+SFP!C22+SFP!C23+SFP!C24+SFP!C25</f>
        <v>1931359492.74</v>
      </c>
      <c r="E38" s="65">
        <f>SFP!D7+SFP!D16+SFP!D22+SFP!D23+SFP!D24+SFP!D25</f>
        <v>1973130221.8499999</v>
      </c>
      <c r="F38" s="65">
        <f>SFP!E7+SFP!E16+SFP!E22+SFP!E23+SFP!E24+SFP!E25</f>
        <v>1966295597.02</v>
      </c>
      <c r="G38" s="65">
        <f>SFP!F7+SFP!F16+SFP!F22+SFP!F23+SFP!F24+SFP!F25</f>
        <v>1930892036.5</v>
      </c>
      <c r="H38" s="65">
        <f>SFP!G7+SFP!G16+SFP!G22+SFP!G23+SFP!G24+SFP!G25</f>
        <v>1785751604.71</v>
      </c>
      <c r="I38" s="65">
        <f>SFP!H7+SFP!H16+SFP!H22+SFP!H23+SFP!H24+SFP!H25</f>
        <v>1995953611.0599999</v>
      </c>
      <c r="J38" s="65">
        <f>SFP!I7+SFP!I16+SFP!I22+SFP!I23+SFP!I24+SFP!I25</f>
        <v>1723754963.45</v>
      </c>
      <c r="K38" s="65">
        <f>SFP!J7+SFP!J16+SFP!J22+SFP!J23+SFP!J24+SFP!J25</f>
        <v>1966595659.0799999</v>
      </c>
      <c r="L38" s="65">
        <f>SFP!K7+SFP!K16+SFP!K22+SFP!K23+SFP!K24+SFP!K25</f>
        <v>0</v>
      </c>
      <c r="M38" s="65">
        <f>SFP!L7+SFP!L16+SFP!L22+SFP!L23+SFP!L24+SFP!L25</f>
        <v>1721546636.77</v>
      </c>
      <c r="N38" s="65">
        <f>SFP!M7+SFP!M16+SFP!M22+SFP!M23+SFP!M24+SFP!M25</f>
        <v>1713489881.4200001</v>
      </c>
      <c r="O38" s="65">
        <f>SFP!N7+SFP!N16+SFP!N22+SFP!N23+SFP!N24+SFP!N25</f>
        <v>2372630277</v>
      </c>
      <c r="P38" s="65">
        <f>SFP!O7+SFP!O16+SFP!O22+SFP!O23+SFP!O24+SFP!O25</f>
        <v>71337493.269999996</v>
      </c>
      <c r="Q38" s="65">
        <f>SFP!P7+SFP!P16+SFP!P22+SFP!P23+SFP!P24+SFP!P25</f>
        <v>1758436584.3599999</v>
      </c>
      <c r="R38" s="65">
        <f>SFP!Q7+SFP!Q16+SFP!Q22+SFP!Q23+SFP!Q24+SFP!Q25</f>
        <v>2077703520.76</v>
      </c>
      <c r="S38" s="65">
        <f>SFP!R7+SFP!R16+SFP!R22+SFP!R23+SFP!R24+SFP!R25</f>
        <v>1888361609.25</v>
      </c>
      <c r="T38" s="65">
        <f>SFP!S7+SFP!S16+SFP!S22+SFP!S23+SFP!S24+SFP!S25</f>
        <v>1863903109.8</v>
      </c>
      <c r="U38" s="65">
        <f>SFP!T7+SFP!T16+SFP!T22+SFP!T23+SFP!T24+SFP!T25</f>
        <v>1877714393.6099999</v>
      </c>
      <c r="V38" s="65">
        <f>SFP!U7+SFP!U16+SFP!U22+SFP!U23+SFP!U24+SFP!U25</f>
        <v>2091907006.3</v>
      </c>
      <c r="W38" s="65">
        <f>SFP!V7+SFP!V16+SFP!V22+SFP!V23+SFP!V24+SFP!V25</f>
        <v>1856443280.96</v>
      </c>
      <c r="X38" s="65">
        <f>SFP!W7+SFP!W16+SFP!W22+SFP!W23+SFP!W24+SFP!W25</f>
        <v>2085843835.1699998</v>
      </c>
      <c r="Y38" s="65">
        <f>SFP!X7+SFP!X16+SFP!X22+SFP!X23+SFP!X24+SFP!X25</f>
        <v>2111291426.5899999</v>
      </c>
      <c r="Z38" s="65">
        <f>SFP!Y7+SFP!Y16+SFP!Y22+SFP!Y23+SFP!Y24+SFP!Y25</f>
        <v>1904658237.6799998</v>
      </c>
      <c r="AA38" s="65">
        <f>SFP!Z7+SFP!Z16+SFP!Z22+SFP!Z23+SFP!Z24+SFP!Z25</f>
        <v>2036809241</v>
      </c>
      <c r="AB38" s="65">
        <f>SFP!AA7+SFP!AA16+SFP!AA22+SFP!AA23+SFP!AA24+SFP!AA25</f>
        <v>335821036</v>
      </c>
      <c r="AC38" s="65">
        <f>SFP!AB7+SFP!AB16+SFP!AB22+SFP!AB23+SFP!AB24+SFP!AB25</f>
        <v>2133015510</v>
      </c>
      <c r="AD38" s="65">
        <f>SFP!AC7+SFP!AC16+SFP!AC22+SFP!AC23+SFP!AC24+SFP!AC25</f>
        <v>1533593669.78</v>
      </c>
      <c r="AE38" s="65">
        <f>SFP!AD7+SFP!AD16+SFP!AD22+SFP!AD23+SFP!AD24+SFP!AD25</f>
        <v>1913388395.01</v>
      </c>
      <c r="AF38" s="65">
        <f>SFP!AE7+SFP!AE16+SFP!AE22+SFP!AE23+SFP!AE24+SFP!AE25</f>
        <v>1865398380.0799999</v>
      </c>
      <c r="AG38" s="65">
        <f>SFP!AF7+SFP!AF16+SFP!AF22+SFP!AF23+SFP!AF24+SFP!AF25</f>
        <v>2226214632.8299994</v>
      </c>
      <c r="AH38" s="65">
        <f>SFP!AG7+SFP!AG16+SFP!AG22+SFP!AG23+SFP!AG24+SFP!AG25</f>
        <v>2131616735.7</v>
      </c>
      <c r="AI38" s="65">
        <f>SFP!AH7+SFP!AH16+SFP!AH22+SFP!AH23+SFP!AH24+SFP!AH25</f>
        <v>1898122410.1400001</v>
      </c>
      <c r="AJ38" s="65">
        <f>SFP!AI7+SFP!AI16+SFP!AI22+SFP!AI23+SFP!AI24+SFP!AI25</f>
        <v>81135673</v>
      </c>
      <c r="AK38" s="65">
        <f>SFP!AJ7+SFP!AJ16+SFP!AJ22+SFP!AJ23+SFP!AJ24+SFP!AJ25</f>
        <v>2232346711.7599998</v>
      </c>
      <c r="AL38" s="65">
        <f>SFP!AK7+SFP!AK16+SFP!AK22+SFP!AK23+SFP!AK24+SFP!AK25</f>
        <v>0</v>
      </c>
    </row>
    <row r="39" spans="1:38" ht="13.9" thickBot="1">
      <c r="A39" s="38">
        <v>8.1</v>
      </c>
      <c r="B39" s="55" t="s">
        <v>154</v>
      </c>
      <c r="C39" s="65">
        <f>SFP!B22</f>
        <v>32568033</v>
      </c>
      <c r="D39" s="65">
        <f>SFP!C22</f>
        <v>32568033.620000001</v>
      </c>
      <c r="E39" s="65">
        <f>SFP!D22</f>
        <v>35773638.619999997</v>
      </c>
      <c r="F39" s="65">
        <f>SFP!E22</f>
        <v>41399717.5</v>
      </c>
      <c r="G39" s="65">
        <f>SFP!F22</f>
        <v>41399717.5</v>
      </c>
      <c r="H39" s="65">
        <f>SFP!G22</f>
        <v>41399717.5</v>
      </c>
      <c r="I39" s="65">
        <f>SFP!H22</f>
        <v>41399717.5</v>
      </c>
      <c r="J39" s="65">
        <f>SFP!I22</f>
        <v>41399717.5</v>
      </c>
      <c r="K39" s="65">
        <f>SFP!J22</f>
        <v>42949557.5</v>
      </c>
      <c r="L39" s="65">
        <f>SFP!K22</f>
        <v>0</v>
      </c>
      <c r="M39" s="65">
        <f>SFP!L22</f>
        <v>42949557.5</v>
      </c>
      <c r="N39" s="65">
        <f>SFP!M22</f>
        <v>36626402.5</v>
      </c>
      <c r="O39" s="65">
        <f>SFP!N22</f>
        <v>243649762</v>
      </c>
      <c r="P39" s="65">
        <f>SFP!O22</f>
        <v>36626402.5</v>
      </c>
      <c r="Q39" s="65">
        <f>SFP!P22</f>
        <v>43857269.460000001</v>
      </c>
      <c r="R39" s="65">
        <f>SFP!Q22</f>
        <v>45916419.460000001</v>
      </c>
      <c r="S39" s="65">
        <f>SFP!R22</f>
        <v>43239774.460000001</v>
      </c>
      <c r="T39" s="65">
        <f>SFP!S22</f>
        <v>43514549.460000001</v>
      </c>
      <c r="U39" s="65">
        <f>SFP!T22</f>
        <v>43563549.460000001</v>
      </c>
      <c r="V39" s="65">
        <f>SFP!U22</f>
        <v>43566899.460000001</v>
      </c>
      <c r="W39" s="65">
        <f>SFP!V22</f>
        <v>44499413.409999996</v>
      </c>
      <c r="X39" s="65">
        <f>SFP!W22</f>
        <v>44622264.609999999</v>
      </c>
      <c r="Y39" s="65">
        <f>SFP!X22</f>
        <v>45576024.609999999</v>
      </c>
      <c r="Z39" s="65">
        <f>SFP!Y22</f>
        <v>45801024.609999999</v>
      </c>
      <c r="AA39" s="65">
        <f>SFP!Z22</f>
        <v>243649762</v>
      </c>
      <c r="AB39" s="65">
        <f>SFP!AA22</f>
        <v>0</v>
      </c>
      <c r="AC39" s="65">
        <f>SFP!AB22</f>
        <v>241918784</v>
      </c>
      <c r="AD39" s="65">
        <f>SFP!AC22</f>
        <v>36945542.740000002</v>
      </c>
      <c r="AE39" s="65">
        <f>SFP!AD22</f>
        <v>37603602.740000002</v>
      </c>
      <c r="AF39" s="65">
        <f>SFP!AE22</f>
        <v>37621101.740000002</v>
      </c>
      <c r="AG39" s="65">
        <f>SFP!AF22</f>
        <v>37649041.740000002</v>
      </c>
      <c r="AH39" s="65">
        <f>SFP!AG22</f>
        <v>37649041.740000002</v>
      </c>
      <c r="AI39" s="65">
        <f>SFP!AH22</f>
        <v>37785525.740000002</v>
      </c>
      <c r="AJ39" s="65">
        <f>SFP!AI22</f>
        <v>37803525.740000002</v>
      </c>
      <c r="AK39" s="65">
        <f>SFP!AJ22</f>
        <v>37803525.740000002</v>
      </c>
      <c r="AL39" s="65">
        <f>SFP!AK22</f>
        <v>0</v>
      </c>
    </row>
    <row r="40" spans="1:38" ht="13.9" thickBot="1">
      <c r="A40" s="33"/>
      <c r="B40" s="34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</row>
    <row r="41" spans="1:38">
      <c r="A41" s="56">
        <v>9</v>
      </c>
      <c r="B41" s="57" t="s">
        <v>155</v>
      </c>
      <c r="C41" s="65">
        <f t="shared" ref="C41" si="31">C42+C43+C44</f>
        <v>42188053.030000001</v>
      </c>
      <c r="D41" s="65">
        <f t="shared" ref="D41:AC41" si="32">D42+D43+D44</f>
        <v>79467027.359999999</v>
      </c>
      <c r="E41" s="65">
        <f t="shared" si="32"/>
        <v>136364544.19</v>
      </c>
      <c r="F41" s="65">
        <f t="shared" si="32"/>
        <v>232431327.41</v>
      </c>
      <c r="G41" s="65">
        <f t="shared" si="32"/>
        <v>275702468.62</v>
      </c>
      <c r="H41" s="65">
        <f t="shared" si="32"/>
        <v>319005223.82999998</v>
      </c>
      <c r="I41" s="65">
        <f t="shared" si="32"/>
        <v>364726293.94</v>
      </c>
      <c r="J41" s="65">
        <f t="shared" si="32"/>
        <v>411370569.35000002</v>
      </c>
      <c r="K41" s="65">
        <f t="shared" si="32"/>
        <v>457504364.76999998</v>
      </c>
      <c r="L41" s="65">
        <f t="shared" si="32"/>
        <v>0</v>
      </c>
      <c r="M41" s="65">
        <f t="shared" si="32"/>
        <v>550154362.96000004</v>
      </c>
      <c r="N41" s="65">
        <f t="shared" si="32"/>
        <v>599724287.20999992</v>
      </c>
      <c r="O41" s="65">
        <f t="shared" si="32"/>
        <v>819970189</v>
      </c>
      <c r="P41" s="65">
        <f t="shared" si="32"/>
        <v>43538730.489999995</v>
      </c>
      <c r="Q41" s="65">
        <f t="shared" si="32"/>
        <v>89648840.520000011</v>
      </c>
      <c r="R41" s="65">
        <f t="shared" si="32"/>
        <v>209720457.07999998</v>
      </c>
      <c r="S41" s="65">
        <f t="shared" si="32"/>
        <v>259629520.51999998</v>
      </c>
      <c r="T41" s="65">
        <f t="shared" si="32"/>
        <v>348739984.45000005</v>
      </c>
      <c r="U41" s="65">
        <f t="shared" si="32"/>
        <v>398182361.85000002</v>
      </c>
      <c r="V41" s="65">
        <f t="shared" si="32"/>
        <v>445629930.47000003</v>
      </c>
      <c r="W41" s="65">
        <f t="shared" si="32"/>
        <v>494390547.29999995</v>
      </c>
      <c r="X41" s="65">
        <f t="shared" si="32"/>
        <v>544383616.74000001</v>
      </c>
      <c r="Y41" s="65">
        <f t="shared" si="32"/>
        <v>598001217.22000003</v>
      </c>
      <c r="Z41" s="65">
        <f t="shared" si="32"/>
        <v>666518665.69999993</v>
      </c>
      <c r="AA41" s="65">
        <f t="shared" si="32"/>
        <v>695984292</v>
      </c>
      <c r="AB41" s="65">
        <f t="shared" si="32"/>
        <v>123985897</v>
      </c>
      <c r="AC41" s="65">
        <f t="shared" si="32"/>
        <v>712535574</v>
      </c>
      <c r="AD41" s="65">
        <f t="shared" ref="AD41:AF41" si="33">AD42+AD43+AD44</f>
        <v>71713957.929999992</v>
      </c>
      <c r="AE41" s="65">
        <f t="shared" si="33"/>
        <v>139483456.49000001</v>
      </c>
      <c r="AF41" s="65">
        <f t="shared" si="33"/>
        <v>207924103.06999999</v>
      </c>
      <c r="AG41" s="65">
        <f t="shared" ref="AG41:AH41" si="34">AG42+AG43+AG44</f>
        <v>283149690.84000003</v>
      </c>
      <c r="AH41" s="65">
        <f t="shared" si="34"/>
        <v>362355718.13</v>
      </c>
      <c r="AI41" s="65">
        <f t="shared" ref="AI41:AL41" si="35">AI42+AI43+AI44</f>
        <v>496811340.44999993</v>
      </c>
      <c r="AJ41" s="65">
        <f t="shared" si="35"/>
        <v>563931615.57999992</v>
      </c>
      <c r="AK41" s="65">
        <f t="shared" si="35"/>
        <v>636201984.84000003</v>
      </c>
      <c r="AL41" s="65">
        <f t="shared" si="35"/>
        <v>712123008.91999996</v>
      </c>
    </row>
    <row r="42" spans="1:38">
      <c r="A42" s="58">
        <v>9.1</v>
      </c>
      <c r="B42" s="30" t="s">
        <v>156</v>
      </c>
      <c r="C42" s="65">
        <f>SCI!B5</f>
        <v>36107004.140000001</v>
      </c>
      <c r="D42" s="65">
        <f>SCI!C5</f>
        <v>65232688.630000003</v>
      </c>
      <c r="E42" s="65">
        <f>SCI!D5</f>
        <v>111391507.61</v>
      </c>
      <c r="F42" s="65">
        <f>SCI!E5</f>
        <v>153943383.81</v>
      </c>
      <c r="G42" s="65">
        <f>SCI!F5</f>
        <v>189687187.55000001</v>
      </c>
      <c r="H42" s="65">
        <f>SCI!G5</f>
        <v>225625000.49000001</v>
      </c>
      <c r="I42" s="65">
        <f>SCI!H5</f>
        <v>261939961.83000001</v>
      </c>
      <c r="J42" s="65">
        <f>SCI!I5</f>
        <v>298235126.19</v>
      </c>
      <c r="K42" s="65">
        <f>SCI!J5</f>
        <v>334275798.95999998</v>
      </c>
      <c r="L42" s="65">
        <f>SCI!K5</f>
        <v>0</v>
      </c>
      <c r="M42" s="65">
        <f>SCI!L5</f>
        <v>410927267.30000001</v>
      </c>
      <c r="N42" s="65">
        <f>SCI!M5</f>
        <v>448548435.14999998</v>
      </c>
      <c r="O42" s="65">
        <f>SCI!N5</f>
        <v>726685238</v>
      </c>
      <c r="P42" s="65">
        <f>SCI!O5</f>
        <v>35374159.829999998</v>
      </c>
      <c r="Q42" s="65">
        <f>SCI!P5</f>
        <v>72718142.730000004</v>
      </c>
      <c r="R42" s="65">
        <f>SCI!Q5</f>
        <v>164258710.87</v>
      </c>
      <c r="S42" s="65">
        <f>SCI!R5</f>
        <v>203885656.47999999</v>
      </c>
      <c r="T42" s="65">
        <f>SCI!S5</f>
        <v>242872773.50999999</v>
      </c>
      <c r="U42" s="65">
        <f>SCI!T5</f>
        <v>281370147.94</v>
      </c>
      <c r="V42" s="65">
        <f>SCI!U5</f>
        <v>319504989.42000002</v>
      </c>
      <c r="W42" s="65">
        <f>SCI!V5</f>
        <v>356984569.43000001</v>
      </c>
      <c r="X42" s="65">
        <f>SCI!W5</f>
        <v>395525720.85000002</v>
      </c>
      <c r="Y42" s="65">
        <f>SCI!X5</f>
        <v>435569050.50999999</v>
      </c>
      <c r="Z42" s="65">
        <f>SCI!Y5</f>
        <v>484875132.94999999</v>
      </c>
      <c r="AA42" s="65">
        <f>SCI!Z5</f>
        <v>604120606</v>
      </c>
      <c r="AB42" s="65">
        <f>SCI!AA5</f>
        <v>122564632</v>
      </c>
      <c r="AC42" s="65">
        <f>SCI!AB5</f>
        <v>580761538</v>
      </c>
      <c r="AD42" s="65">
        <f>SCI!AC5</f>
        <v>50553898</v>
      </c>
      <c r="AE42" s="65">
        <f>SCI!AD5</f>
        <v>99478832.200000003</v>
      </c>
      <c r="AF42" s="65">
        <f>SCI!AE5</f>
        <v>148138562.66</v>
      </c>
      <c r="AG42" s="65">
        <f>SCI!AF5</f>
        <v>195132792.56</v>
      </c>
      <c r="AH42" s="65">
        <f>SCI!AG5</f>
        <v>245386861.16</v>
      </c>
      <c r="AI42" s="65">
        <f>SCI!AH5</f>
        <v>295943346.83999997</v>
      </c>
      <c r="AJ42" s="65">
        <f>SCI!AI5</f>
        <v>346671952.20999998</v>
      </c>
      <c r="AK42" s="65">
        <f>SCI!AJ5</f>
        <v>395879622.55000001</v>
      </c>
      <c r="AL42" s="65">
        <f>SCI!AK5</f>
        <v>446903205.02999997</v>
      </c>
    </row>
    <row r="43" spans="1:38">
      <c r="A43" s="58"/>
      <c r="B43" s="30" t="s">
        <v>157</v>
      </c>
      <c r="C43" s="65">
        <f>SCI!B7</f>
        <v>1910554.39</v>
      </c>
      <c r="D43" s="65">
        <f>SCI!C7</f>
        <v>3831778.53</v>
      </c>
      <c r="E43" s="65">
        <f>SCI!D7</f>
        <v>8654186.3800000008</v>
      </c>
      <c r="F43" s="65">
        <f>SCI!E7</f>
        <v>52085852.100000001</v>
      </c>
      <c r="G43" s="65">
        <f>SCI!F7</f>
        <v>54055257.270000003</v>
      </c>
      <c r="H43" s="65">
        <f>SCI!G7</f>
        <v>56024662.439999998</v>
      </c>
      <c r="I43" s="65">
        <f>SCI!H7</f>
        <v>57994067.609999999</v>
      </c>
      <c r="J43" s="65">
        <f>SCI!I7</f>
        <v>59941921.060000002</v>
      </c>
      <c r="K43" s="65">
        <f>SCI!J7</f>
        <v>61878567.609999999</v>
      </c>
      <c r="L43" s="65">
        <f>SCI!K7</f>
        <v>0</v>
      </c>
      <c r="M43" s="65">
        <f>SCI!L7</f>
        <v>64802401.060000002</v>
      </c>
      <c r="N43" s="65">
        <f>SCI!M7</f>
        <v>70210575.959999993</v>
      </c>
      <c r="O43" s="65">
        <f>SCI!N7</f>
        <v>93284951</v>
      </c>
      <c r="P43" s="65">
        <f>SCI!O7</f>
        <v>2552114.16</v>
      </c>
      <c r="Q43" s="65">
        <f>SCI!P7</f>
        <v>4087784.3899999997</v>
      </c>
      <c r="R43" s="65">
        <f>SCI!Q7</f>
        <v>10945913.91</v>
      </c>
      <c r="S43" s="65">
        <f>SCI!R7</f>
        <v>13780205.539999999</v>
      </c>
      <c r="T43" s="65">
        <f>SCI!S7</f>
        <v>56412499.840000004</v>
      </c>
      <c r="U43" s="65">
        <f>SCI!T7</f>
        <v>58564777.109999999</v>
      </c>
      <c r="V43" s="65">
        <f>SCI!U7</f>
        <v>63558129.350000001</v>
      </c>
      <c r="W43" s="65">
        <f>SCI!V7</f>
        <v>67680490.969999999</v>
      </c>
      <c r="X43" s="65">
        <f>SCI!W7</f>
        <v>70063880.989999995</v>
      </c>
      <c r="Y43" s="65">
        <f>SCI!X7</f>
        <v>75314893.209999993</v>
      </c>
      <c r="Z43" s="65">
        <f>SCI!Y7</f>
        <v>85782494.450000003</v>
      </c>
      <c r="AA43" s="65">
        <f>SCI!Z7</f>
        <v>91863686</v>
      </c>
      <c r="AB43" s="65">
        <f>SCI!AA7</f>
        <v>1421265</v>
      </c>
      <c r="AC43" s="65">
        <f>SCI!AB7</f>
        <v>131774036</v>
      </c>
      <c r="AD43" s="65">
        <f>SCI!AC7</f>
        <v>7848281.3300000001</v>
      </c>
      <c r="AE43" s="65">
        <f>SCI!AD7</f>
        <v>15905965.99</v>
      </c>
      <c r="AF43" s="65">
        <f>SCI!AE7</f>
        <v>23964100.609999999</v>
      </c>
      <c r="AG43" s="65">
        <f>SCI!AF7</f>
        <v>35016169.18</v>
      </c>
      <c r="AH43" s="65">
        <f>SCI!AG7</f>
        <v>46461297.170000002</v>
      </c>
      <c r="AI43" s="65">
        <f>SCI!AH7</f>
        <v>116980528.20999999</v>
      </c>
      <c r="AJ43" s="65">
        <f>SCI!AI7</f>
        <v>121613128.27</v>
      </c>
      <c r="AK43" s="65">
        <f>SCI!AJ7</f>
        <v>128037501.99000001</v>
      </c>
      <c r="AL43" s="65">
        <f>SCI!AK7</f>
        <v>133609635.39</v>
      </c>
    </row>
    <row r="44" spans="1:38">
      <c r="A44" s="58">
        <v>9.1999999999999993</v>
      </c>
      <c r="B44" s="30" t="s">
        <v>158</v>
      </c>
      <c r="C44" s="65">
        <f>SCI!B6</f>
        <v>4170494.5</v>
      </c>
      <c r="D44" s="65">
        <f>SCI!C6</f>
        <v>10402560.199999999</v>
      </c>
      <c r="E44" s="65">
        <f>SCI!D6</f>
        <v>16318850.199999999</v>
      </c>
      <c r="F44" s="65">
        <f>SCI!E6</f>
        <v>26402091.5</v>
      </c>
      <c r="G44" s="65">
        <f>SCI!F6</f>
        <v>31960023.800000001</v>
      </c>
      <c r="H44" s="65">
        <f>SCI!G6</f>
        <v>37355560.899999999</v>
      </c>
      <c r="I44" s="65">
        <f>SCI!H6</f>
        <v>44792264.5</v>
      </c>
      <c r="J44" s="65">
        <f>SCI!I6</f>
        <v>53193522.100000001</v>
      </c>
      <c r="K44" s="65">
        <f>SCI!J6</f>
        <v>61349998.200000003</v>
      </c>
      <c r="L44" s="65">
        <f>SCI!K6</f>
        <v>0</v>
      </c>
      <c r="M44" s="65">
        <f>SCI!L6</f>
        <v>74424694.599999994</v>
      </c>
      <c r="N44" s="65">
        <f>SCI!M6</f>
        <v>80965276.099999994</v>
      </c>
      <c r="O44" s="65">
        <f>SCI!N6</f>
        <v>0</v>
      </c>
      <c r="P44" s="65">
        <f>SCI!O6</f>
        <v>5612456.5</v>
      </c>
      <c r="Q44" s="65">
        <f>SCI!P6</f>
        <v>12842913.4</v>
      </c>
      <c r="R44" s="65">
        <f>SCI!Q6</f>
        <v>34515832.299999997</v>
      </c>
      <c r="S44" s="65">
        <f>SCI!R6</f>
        <v>41963658.5</v>
      </c>
      <c r="T44" s="65">
        <f>SCI!S6</f>
        <v>49454711.100000001</v>
      </c>
      <c r="U44" s="65">
        <f>SCI!T6</f>
        <v>58247436.799999997</v>
      </c>
      <c r="V44" s="65">
        <f>SCI!U6</f>
        <v>62566811.700000003</v>
      </c>
      <c r="W44" s="65">
        <f>SCI!V6</f>
        <v>69725486.900000006</v>
      </c>
      <c r="X44" s="65">
        <f>SCI!W6</f>
        <v>78794014.900000006</v>
      </c>
      <c r="Y44" s="65">
        <f>SCI!X6</f>
        <v>87117273.5</v>
      </c>
      <c r="Z44" s="65">
        <f>SCI!Y6</f>
        <v>95861038.299999997</v>
      </c>
      <c r="AA44" s="65">
        <f>SCI!Z6</f>
        <v>0</v>
      </c>
      <c r="AB44" s="65">
        <f>SCI!AA6</f>
        <v>0</v>
      </c>
      <c r="AC44" s="65">
        <f>SCI!AB6</f>
        <v>0</v>
      </c>
      <c r="AD44" s="65">
        <f>SCI!AC6</f>
        <v>13311778.6</v>
      </c>
      <c r="AE44" s="65">
        <f>SCI!AD6</f>
        <v>24098658.300000001</v>
      </c>
      <c r="AF44" s="65">
        <f>SCI!AE6</f>
        <v>35821439.799999997</v>
      </c>
      <c r="AG44" s="65">
        <f>SCI!AF6</f>
        <v>53000729.100000001</v>
      </c>
      <c r="AH44" s="65">
        <f>SCI!AG6</f>
        <v>70507559.799999997</v>
      </c>
      <c r="AI44" s="65">
        <f>SCI!AH6</f>
        <v>83887465.400000006</v>
      </c>
      <c r="AJ44" s="65">
        <f>SCI!AI6</f>
        <v>95646535.099999994</v>
      </c>
      <c r="AK44" s="65">
        <f>SCI!AJ6</f>
        <v>112284860.3</v>
      </c>
      <c r="AL44" s="65">
        <f>SCI!AK6</f>
        <v>131610168.5</v>
      </c>
    </row>
    <row r="45" spans="1:38">
      <c r="A45" s="59"/>
      <c r="B45" s="51" t="s">
        <v>159</v>
      </c>
      <c r="C45" s="153">
        <f t="shared" ref="C45" si="36">C42/C32</f>
        <v>1.0502383713627503E-2</v>
      </c>
      <c r="D45" s="153">
        <f t="shared" ref="D45:AC45" si="37">D42/D32</f>
        <v>1.8486145785390037E-2</v>
      </c>
      <c r="E45" s="153">
        <f t="shared" si="37"/>
        <v>3.1299415420909117E-2</v>
      </c>
      <c r="F45" s="153">
        <f t="shared" si="37"/>
        <v>4.3696303153876792E-2</v>
      </c>
      <c r="G45" s="153">
        <f t="shared" si="37"/>
        <v>5.3741304019502681E-2</v>
      </c>
      <c r="H45" s="153">
        <f t="shared" si="37"/>
        <v>6.4068261355445161E-2</v>
      </c>
      <c r="I45" s="153">
        <f t="shared" si="37"/>
        <v>7.376549218346018E-2</v>
      </c>
      <c r="J45" s="153">
        <f t="shared" si="37"/>
        <v>8.3088196946959361E-2</v>
      </c>
      <c r="K45" s="153">
        <f t="shared" si="37"/>
        <v>9.2187403975204252E-2</v>
      </c>
      <c r="L45" s="153" t="e">
        <f t="shared" si="37"/>
        <v>#DIV/0!</v>
      </c>
      <c r="M45" s="153">
        <f t="shared" si="37"/>
        <v>0.11211783504588217</v>
      </c>
      <c r="N45" s="153">
        <f t="shared" si="37"/>
        <v>0.1224819056069316</v>
      </c>
      <c r="O45" s="153">
        <f t="shared" si="37"/>
        <v>0.20103262929567275</v>
      </c>
      <c r="P45" s="153">
        <f t="shared" si="37"/>
        <v>9.5185052667101176E-3</v>
      </c>
      <c r="Q45" s="153">
        <f t="shared" si="37"/>
        <v>1.9458635717913324E-2</v>
      </c>
      <c r="R45" s="153">
        <f t="shared" si="37"/>
        <v>4.4692530400179425E-2</v>
      </c>
      <c r="S45" s="153">
        <f t="shared" si="37"/>
        <v>5.5582436031705276E-2</v>
      </c>
      <c r="T45" s="153">
        <f t="shared" si="37"/>
        <v>6.6249723581613268E-2</v>
      </c>
      <c r="U45" s="153">
        <f t="shared" si="37"/>
        <v>7.6212039308476753E-2</v>
      </c>
      <c r="V45" s="153">
        <f t="shared" si="37"/>
        <v>8.7121701587866487E-2</v>
      </c>
      <c r="W45" s="153">
        <f t="shared" si="37"/>
        <v>9.686615702655639E-2</v>
      </c>
      <c r="X45" s="153">
        <f t="shared" si="37"/>
        <v>0.10621433335703301</v>
      </c>
      <c r="Y45" s="153">
        <f t="shared" si="37"/>
        <v>0.11091334283709438</v>
      </c>
      <c r="Z45" s="153">
        <f t="shared" si="37"/>
        <v>0.12265022304473595</v>
      </c>
      <c r="AA45" s="153">
        <f t="shared" si="37"/>
        <v>0.16814932306016483</v>
      </c>
      <c r="AB45" s="153">
        <f t="shared" si="37"/>
        <v>5.5711196363636359</v>
      </c>
      <c r="AC45" s="153">
        <f t="shared" si="37"/>
        <v>0.15051710129056989</v>
      </c>
      <c r="AD45" s="153">
        <f t="shared" ref="AD45:AF45" si="38">AD42/AD32</f>
        <v>1.2355735908800869E-2</v>
      </c>
      <c r="AE45" s="153">
        <f t="shared" si="38"/>
        <v>2.38243543094631E-2</v>
      </c>
      <c r="AF45" s="153">
        <f t="shared" si="38"/>
        <v>3.5091969359152431E-2</v>
      </c>
      <c r="AG45" s="153">
        <f t="shared" ref="AG45:AH45" si="39">AG42/AG32</f>
        <v>4.5451911396716269E-2</v>
      </c>
      <c r="AH45" s="153">
        <f t="shared" si="39"/>
        <v>5.4449378732703675E-2</v>
      </c>
      <c r="AI45" s="153">
        <f t="shared" ref="AI45:AL45" si="40">AI42/AI32</f>
        <v>6.4279575783938808E-2</v>
      </c>
      <c r="AJ45" s="153">
        <f t="shared" si="40"/>
        <v>7.6035251916003563E-2</v>
      </c>
      <c r="AK45" s="153">
        <f t="shared" si="40"/>
        <v>8.5551792656885631E-2</v>
      </c>
      <c r="AL45" s="153" t="e">
        <f t="shared" si="40"/>
        <v>#DIV/0!</v>
      </c>
    </row>
    <row r="46" spans="1:38">
      <c r="A46" s="39"/>
      <c r="B46" s="3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</row>
    <row r="47" spans="1:38">
      <c r="A47" s="60">
        <v>10</v>
      </c>
      <c r="B47" s="61" t="s">
        <v>160</v>
      </c>
      <c r="C47" s="155" t="e">
        <f t="shared" ref="C47" si="41">SUM(C48:C53)</f>
        <v>#REF!</v>
      </c>
      <c r="D47" s="155" t="e">
        <f t="shared" ref="D47:AC47" si="42">SUM(D48:D53)</f>
        <v>#REF!</v>
      </c>
      <c r="E47" s="155" t="e">
        <f t="shared" si="42"/>
        <v>#REF!</v>
      </c>
      <c r="F47" s="155" t="e">
        <f t="shared" si="42"/>
        <v>#REF!</v>
      </c>
      <c r="G47" s="155" t="e">
        <f t="shared" si="42"/>
        <v>#REF!</v>
      </c>
      <c r="H47" s="155" t="e">
        <f t="shared" si="42"/>
        <v>#REF!</v>
      </c>
      <c r="I47" s="155" t="e">
        <f t="shared" si="42"/>
        <v>#REF!</v>
      </c>
      <c r="J47" s="155" t="e">
        <f t="shared" si="42"/>
        <v>#REF!</v>
      </c>
      <c r="K47" s="155" t="e">
        <f t="shared" si="42"/>
        <v>#REF!</v>
      </c>
      <c r="L47" s="155" t="e">
        <f t="shared" si="42"/>
        <v>#REF!</v>
      </c>
      <c r="M47" s="155" t="e">
        <f t="shared" si="42"/>
        <v>#REF!</v>
      </c>
      <c r="N47" s="155" t="e">
        <f t="shared" si="42"/>
        <v>#REF!</v>
      </c>
      <c r="O47" s="155" t="e">
        <f t="shared" si="42"/>
        <v>#REF!</v>
      </c>
      <c r="P47" s="155" t="e">
        <f t="shared" si="42"/>
        <v>#REF!</v>
      </c>
      <c r="Q47" s="155" t="e">
        <f t="shared" si="42"/>
        <v>#REF!</v>
      </c>
      <c r="R47" s="155" t="e">
        <f t="shared" si="42"/>
        <v>#REF!</v>
      </c>
      <c r="S47" s="155" t="e">
        <f t="shared" si="42"/>
        <v>#REF!</v>
      </c>
      <c r="T47" s="155" t="e">
        <f t="shared" si="42"/>
        <v>#REF!</v>
      </c>
      <c r="U47" s="155" t="e">
        <f t="shared" si="42"/>
        <v>#REF!</v>
      </c>
      <c r="V47" s="155" t="e">
        <f t="shared" si="42"/>
        <v>#REF!</v>
      </c>
      <c r="W47" s="155" t="e">
        <f t="shared" si="42"/>
        <v>#REF!</v>
      </c>
      <c r="X47" s="155" t="e">
        <f t="shared" si="42"/>
        <v>#REF!</v>
      </c>
      <c r="Y47" s="155" t="e">
        <f t="shared" si="42"/>
        <v>#REF!</v>
      </c>
      <c r="Z47" s="155" t="e">
        <f t="shared" si="42"/>
        <v>#REF!</v>
      </c>
      <c r="AA47" s="155" t="e">
        <f t="shared" si="42"/>
        <v>#REF!</v>
      </c>
      <c r="AB47" s="155" t="e">
        <f t="shared" si="42"/>
        <v>#REF!</v>
      </c>
      <c r="AC47" s="155" t="e">
        <f t="shared" si="42"/>
        <v>#REF!</v>
      </c>
      <c r="AD47" s="155" t="e">
        <f t="shared" ref="AD47:AF47" si="43">SUM(AD48:AD53)</f>
        <v>#REF!</v>
      </c>
      <c r="AE47" s="155" t="e">
        <f t="shared" si="43"/>
        <v>#REF!</v>
      </c>
      <c r="AF47" s="155" t="e">
        <f t="shared" si="43"/>
        <v>#REF!</v>
      </c>
      <c r="AG47" s="155" t="e">
        <f t="shared" ref="AG47:AH47" si="44">SUM(AG48:AG53)</f>
        <v>#REF!</v>
      </c>
      <c r="AH47" s="155" t="e">
        <f t="shared" si="44"/>
        <v>#REF!</v>
      </c>
      <c r="AI47" s="155" t="e">
        <f t="shared" ref="AI47:AL47" si="45">SUM(AI48:AI53)</f>
        <v>#REF!</v>
      </c>
      <c r="AJ47" s="155" t="e">
        <f t="shared" si="45"/>
        <v>#REF!</v>
      </c>
      <c r="AK47" s="155" t="e">
        <f t="shared" si="45"/>
        <v>#REF!</v>
      </c>
      <c r="AL47" s="155" t="e">
        <f t="shared" si="45"/>
        <v>#REF!</v>
      </c>
    </row>
    <row r="48" spans="1:38">
      <c r="A48" s="37">
        <v>10.1</v>
      </c>
      <c r="B48" s="62" t="s">
        <v>161</v>
      </c>
      <c r="C48" s="65">
        <f>SCI!B13</f>
        <v>368947.88</v>
      </c>
      <c r="D48" s="65">
        <f>SCI!C13</f>
        <v>368947.88</v>
      </c>
      <c r="E48" s="65">
        <f>SCI!D13</f>
        <v>368947.88</v>
      </c>
      <c r="F48" s="65">
        <f>SCI!E13</f>
        <v>368947.88</v>
      </c>
      <c r="G48" s="65">
        <f>SCI!F13</f>
        <v>368947.88</v>
      </c>
      <c r="H48" s="65">
        <f>SCI!G13</f>
        <v>368947.88</v>
      </c>
      <c r="I48" s="65">
        <f>SCI!H13</f>
        <v>368947.88</v>
      </c>
      <c r="J48" s="65">
        <f>SCI!I13</f>
        <v>368947.88</v>
      </c>
      <c r="K48" s="65">
        <f>SCI!J13</f>
        <v>368947.88</v>
      </c>
      <c r="L48" s="65">
        <f>SCI!K13</f>
        <v>0</v>
      </c>
      <c r="M48" s="65">
        <f>SCI!L13</f>
        <v>1386128.84</v>
      </c>
      <c r="N48" s="65">
        <f>SCI!M13</f>
        <v>1410528.84</v>
      </c>
      <c r="O48" s="65">
        <f>SCI!N13</f>
        <v>395957045</v>
      </c>
      <c r="P48" s="65">
        <f>SCI!O13</f>
        <v>0</v>
      </c>
      <c r="Q48" s="65">
        <f>SCI!P13</f>
        <v>6000</v>
      </c>
      <c r="R48" s="65">
        <f>SCI!Q13</f>
        <v>0</v>
      </c>
      <c r="S48" s="65">
        <f>SCI!R13</f>
        <v>0</v>
      </c>
      <c r="T48" s="65">
        <f>SCI!S13</f>
        <v>0</v>
      </c>
      <c r="U48" s="65">
        <f>SCI!T13</f>
        <v>0</v>
      </c>
      <c r="V48" s="65">
        <f>SCI!U13</f>
        <v>0</v>
      </c>
      <c r="W48" s="65">
        <f>SCI!V13</f>
        <v>0</v>
      </c>
      <c r="X48" s="65">
        <f>SCI!W13</f>
        <v>0</v>
      </c>
      <c r="Y48" s="65">
        <f>SCI!X13</f>
        <v>0</v>
      </c>
      <c r="Z48" s="65">
        <f>SCI!Y13</f>
        <v>0</v>
      </c>
      <c r="AA48" s="65">
        <f>SCI!Z13</f>
        <v>294891893</v>
      </c>
      <c r="AB48" s="65">
        <f>SCI!AA13</f>
        <v>101065152</v>
      </c>
      <c r="AC48" s="65">
        <f>SCI!AB13</f>
        <v>258007684</v>
      </c>
      <c r="AD48" s="65">
        <f>SCI!AC13</f>
        <v>0</v>
      </c>
      <c r="AE48" s="65">
        <f>SCI!AD13</f>
        <v>0</v>
      </c>
      <c r="AF48" s="65">
        <f>SCI!AE13</f>
        <v>0</v>
      </c>
      <c r="AG48" s="65">
        <f>SCI!AF13</f>
        <v>0</v>
      </c>
      <c r="AH48" s="65">
        <f>SCI!AG13</f>
        <v>0</v>
      </c>
      <c r="AI48" s="65">
        <f>SCI!AH13</f>
        <v>0</v>
      </c>
      <c r="AJ48" s="65">
        <f>SCI!AI13</f>
        <v>0</v>
      </c>
      <c r="AK48" s="65">
        <f>SCI!AJ13</f>
        <v>0</v>
      </c>
      <c r="AL48" s="65">
        <f>SCI!AK13</f>
        <v>0</v>
      </c>
    </row>
    <row r="49" spans="1:38">
      <c r="A49" s="37">
        <v>10.199999999999999</v>
      </c>
      <c r="B49" s="62" t="s">
        <v>162</v>
      </c>
      <c r="C49" s="65">
        <f>SCI!B15</f>
        <v>0</v>
      </c>
      <c r="D49" s="65">
        <f>SCI!C15</f>
        <v>0</v>
      </c>
      <c r="E49" s="65">
        <f>SCI!D15</f>
        <v>0</v>
      </c>
      <c r="F49" s="65">
        <f>SCI!E15</f>
        <v>0</v>
      </c>
      <c r="G49" s="65">
        <f>SCI!F15</f>
        <v>0</v>
      </c>
      <c r="H49" s="65">
        <f>SCI!G15</f>
        <v>0</v>
      </c>
      <c r="I49" s="65">
        <f>SCI!H15</f>
        <v>0</v>
      </c>
      <c r="J49" s="65">
        <f>SCI!I15</f>
        <v>0</v>
      </c>
      <c r="K49" s="65">
        <f>SCI!J15</f>
        <v>0</v>
      </c>
      <c r="L49" s="65">
        <f>SCI!K15</f>
        <v>0</v>
      </c>
      <c r="M49" s="65">
        <f>SCI!L15</f>
        <v>0</v>
      </c>
      <c r="N49" s="65">
        <f>SCI!M15</f>
        <v>0</v>
      </c>
      <c r="O49" s="65">
        <f>SCI!N15</f>
        <v>0</v>
      </c>
      <c r="P49" s="65">
        <f>SCI!O15</f>
        <v>0</v>
      </c>
      <c r="Q49" s="65">
        <f>SCI!P15</f>
        <v>0</v>
      </c>
      <c r="R49" s="65">
        <f>SCI!Q15</f>
        <v>0</v>
      </c>
      <c r="S49" s="65">
        <f>SCI!R15</f>
        <v>0</v>
      </c>
      <c r="T49" s="65">
        <f>SCI!S15</f>
        <v>0</v>
      </c>
      <c r="U49" s="65">
        <f>SCI!T15</f>
        <v>0</v>
      </c>
      <c r="V49" s="65">
        <f>SCI!U15</f>
        <v>0</v>
      </c>
      <c r="W49" s="65">
        <f>SCI!V15</f>
        <v>0</v>
      </c>
      <c r="X49" s="65">
        <f>SCI!W15</f>
        <v>0</v>
      </c>
      <c r="Y49" s="65">
        <f>SCI!X15</f>
        <v>0</v>
      </c>
      <c r="Z49" s="65">
        <f>SCI!Y15</f>
        <v>0</v>
      </c>
      <c r="AA49" s="65">
        <f>SCI!Z15</f>
        <v>0</v>
      </c>
      <c r="AB49" s="65">
        <f>SCI!AA15</f>
        <v>0</v>
      </c>
      <c r="AC49" s="65">
        <f>SCI!AB15</f>
        <v>0</v>
      </c>
      <c r="AD49" s="65">
        <f>SCI!AC15</f>
        <v>0</v>
      </c>
      <c r="AE49" s="65">
        <f>SCI!AD15</f>
        <v>0</v>
      </c>
      <c r="AF49" s="65">
        <f>SCI!AE15</f>
        <v>0</v>
      </c>
      <c r="AG49" s="65">
        <f>SCI!AF15</f>
        <v>0</v>
      </c>
      <c r="AH49" s="65">
        <f>SCI!AG15</f>
        <v>0</v>
      </c>
      <c r="AI49" s="65">
        <f>SCI!AH15</f>
        <v>0</v>
      </c>
      <c r="AJ49" s="65">
        <f>SCI!AI15</f>
        <v>0</v>
      </c>
      <c r="AK49" s="65">
        <f>SCI!AJ15</f>
        <v>0</v>
      </c>
      <c r="AL49" s="65">
        <f>SCI!AK15</f>
        <v>0</v>
      </c>
    </row>
    <row r="50" spans="1:38">
      <c r="A50" s="37">
        <v>10.3</v>
      </c>
      <c r="B50" s="62" t="s">
        <v>163</v>
      </c>
      <c r="C50" s="69">
        <f>SCI!B14</f>
        <v>0</v>
      </c>
      <c r="D50" s="69">
        <f>SCI!C14</f>
        <v>0</v>
      </c>
      <c r="E50" s="69">
        <f>SCI!D14</f>
        <v>0</v>
      </c>
      <c r="F50" s="69">
        <f>SCI!E14</f>
        <v>0</v>
      </c>
      <c r="G50" s="69">
        <f>SCI!F14</f>
        <v>0</v>
      </c>
      <c r="H50" s="69">
        <f>SCI!G14</f>
        <v>0</v>
      </c>
      <c r="I50" s="69">
        <f>SCI!H14</f>
        <v>0</v>
      </c>
      <c r="J50" s="69">
        <f>SCI!I14</f>
        <v>0</v>
      </c>
      <c r="K50" s="69">
        <f>SCI!J14</f>
        <v>0</v>
      </c>
      <c r="L50" s="69">
        <f>SCI!K14</f>
        <v>0</v>
      </c>
      <c r="M50" s="69">
        <f>SCI!L14</f>
        <v>0</v>
      </c>
      <c r="N50" s="69">
        <f>SCI!M14</f>
        <v>0</v>
      </c>
      <c r="O50" s="69">
        <f>SCI!N14</f>
        <v>0</v>
      </c>
      <c r="P50" s="69">
        <f>SCI!O14</f>
        <v>0</v>
      </c>
      <c r="Q50" s="69">
        <f>SCI!P14</f>
        <v>0</v>
      </c>
      <c r="R50" s="69">
        <f>SCI!Q14</f>
        <v>0</v>
      </c>
      <c r="S50" s="69">
        <f>SCI!R14</f>
        <v>0</v>
      </c>
      <c r="T50" s="69">
        <f>SCI!S14</f>
        <v>0</v>
      </c>
      <c r="U50" s="69">
        <f>SCI!T14</f>
        <v>0</v>
      </c>
      <c r="V50" s="69">
        <f>SCI!U14</f>
        <v>0</v>
      </c>
      <c r="W50" s="69">
        <f>SCI!V14</f>
        <v>0</v>
      </c>
      <c r="X50" s="69">
        <f>SCI!W14</f>
        <v>0</v>
      </c>
      <c r="Y50" s="69">
        <f>SCI!X14</f>
        <v>0</v>
      </c>
      <c r="Z50" s="69">
        <f>SCI!Y14</f>
        <v>0</v>
      </c>
      <c r="AA50" s="69">
        <f>SCI!Z14</f>
        <v>0</v>
      </c>
      <c r="AB50" s="69">
        <f>SCI!AA14</f>
        <v>0</v>
      </c>
      <c r="AC50" s="69">
        <f>SCI!AB14</f>
        <v>0</v>
      </c>
      <c r="AD50" s="69">
        <f>SCI!AC14</f>
        <v>0</v>
      </c>
      <c r="AE50" s="69">
        <f>SCI!AD14</f>
        <v>0</v>
      </c>
      <c r="AF50" s="69">
        <f>SCI!AE14</f>
        <v>0</v>
      </c>
      <c r="AG50" s="69">
        <f>SCI!AF14</f>
        <v>0</v>
      </c>
      <c r="AH50" s="69">
        <f>SCI!AG14</f>
        <v>0</v>
      </c>
      <c r="AI50" s="69">
        <f>SCI!AH14</f>
        <v>0</v>
      </c>
      <c r="AJ50" s="69">
        <f>SCI!AI14</f>
        <v>0</v>
      </c>
      <c r="AK50" s="69">
        <f>SCI!AJ14</f>
        <v>0</v>
      </c>
      <c r="AL50" s="69">
        <f>SCI!AK14</f>
        <v>0</v>
      </c>
    </row>
    <row r="51" spans="1:38">
      <c r="A51" s="37">
        <v>10.4</v>
      </c>
      <c r="B51" s="62" t="s">
        <v>164</v>
      </c>
      <c r="C51" s="65" t="e">
        <f>SCI!B16+SCI!B18+SCI!#REF!</f>
        <v>#REF!</v>
      </c>
      <c r="D51" s="65" t="e">
        <f>SCI!C16+SCI!C18+SCI!#REF!</f>
        <v>#REF!</v>
      </c>
      <c r="E51" s="65" t="e">
        <f>SCI!D16+SCI!D18+SCI!#REF!</f>
        <v>#REF!</v>
      </c>
      <c r="F51" s="65" t="e">
        <f>SCI!E16+SCI!E18+SCI!#REF!</f>
        <v>#REF!</v>
      </c>
      <c r="G51" s="65" t="e">
        <f>SCI!F16+SCI!F18+SCI!#REF!</f>
        <v>#REF!</v>
      </c>
      <c r="H51" s="65" t="e">
        <f>SCI!G16+SCI!G18+SCI!#REF!</f>
        <v>#REF!</v>
      </c>
      <c r="I51" s="65" t="e">
        <f>SCI!H16+SCI!H18+SCI!#REF!</f>
        <v>#REF!</v>
      </c>
      <c r="J51" s="65" t="e">
        <f>SCI!I16+SCI!I18+SCI!#REF!</f>
        <v>#REF!</v>
      </c>
      <c r="K51" s="65" t="e">
        <f>SCI!J16+SCI!J18+SCI!#REF!</f>
        <v>#REF!</v>
      </c>
      <c r="L51" s="65" t="e">
        <f>SCI!K16+SCI!K18+SCI!#REF!</f>
        <v>#REF!</v>
      </c>
      <c r="M51" s="65" t="e">
        <f>SCI!L16+SCI!L18+SCI!#REF!</f>
        <v>#REF!</v>
      </c>
      <c r="N51" s="65" t="e">
        <f>SCI!M16+SCI!M18+SCI!#REF!</f>
        <v>#REF!</v>
      </c>
      <c r="O51" s="65" t="e">
        <f>SCI!N16+SCI!N18+SCI!#REF!</f>
        <v>#REF!</v>
      </c>
      <c r="P51" s="65" t="e">
        <f>SCI!O16+SCI!O18+SCI!#REF!</f>
        <v>#REF!</v>
      </c>
      <c r="Q51" s="65" t="e">
        <f>SCI!P16+SCI!P18+SCI!#REF!</f>
        <v>#REF!</v>
      </c>
      <c r="R51" s="65" t="e">
        <f>SCI!Q16+SCI!Q18+SCI!#REF!</f>
        <v>#REF!</v>
      </c>
      <c r="S51" s="65" t="e">
        <f>SCI!R16+SCI!R18+SCI!#REF!</f>
        <v>#REF!</v>
      </c>
      <c r="T51" s="65" t="e">
        <f>SCI!S16+SCI!S18+SCI!#REF!</f>
        <v>#REF!</v>
      </c>
      <c r="U51" s="65" t="e">
        <f>SCI!T16+SCI!T18+SCI!#REF!</f>
        <v>#REF!</v>
      </c>
      <c r="V51" s="65" t="e">
        <f>SCI!U16+SCI!U18+SCI!#REF!</f>
        <v>#REF!</v>
      </c>
      <c r="W51" s="65" t="e">
        <f>SCI!V16+SCI!V18+SCI!#REF!</f>
        <v>#REF!</v>
      </c>
      <c r="X51" s="65" t="e">
        <f>SCI!W16+SCI!W18+SCI!#REF!</f>
        <v>#REF!</v>
      </c>
      <c r="Y51" s="65" t="e">
        <f>SCI!X16+SCI!X18+SCI!#REF!</f>
        <v>#REF!</v>
      </c>
      <c r="Z51" s="65" t="e">
        <f>SCI!Y16+SCI!Y18+SCI!#REF!</f>
        <v>#REF!</v>
      </c>
      <c r="AA51" s="65" t="e">
        <f>SCI!Z16+SCI!Z18+SCI!#REF!</f>
        <v>#REF!</v>
      </c>
      <c r="AB51" s="65" t="e">
        <f>SCI!AA16+SCI!AA18+SCI!#REF!</f>
        <v>#REF!</v>
      </c>
      <c r="AC51" s="65" t="e">
        <f>SCI!AB16+SCI!AB18+SCI!#REF!</f>
        <v>#REF!</v>
      </c>
      <c r="AD51" s="65" t="e">
        <f>SCI!AC16+SCI!AC18+SCI!#REF!</f>
        <v>#REF!</v>
      </c>
      <c r="AE51" s="65" t="e">
        <f>SCI!AD16+SCI!AD18+SCI!#REF!</f>
        <v>#REF!</v>
      </c>
      <c r="AF51" s="65" t="e">
        <f>SCI!AE16+SCI!AE18+SCI!#REF!</f>
        <v>#REF!</v>
      </c>
      <c r="AG51" s="65" t="e">
        <f>SCI!AF16+SCI!AF18+SCI!#REF!</f>
        <v>#REF!</v>
      </c>
      <c r="AH51" s="65" t="e">
        <f>SCI!AG16+SCI!AG18+SCI!#REF!</f>
        <v>#REF!</v>
      </c>
      <c r="AI51" s="65" t="e">
        <f>SCI!AH16+SCI!AH18+SCI!#REF!</f>
        <v>#REF!</v>
      </c>
      <c r="AJ51" s="65" t="e">
        <f>SCI!AI16+SCI!AI18+SCI!#REF!</f>
        <v>#REF!</v>
      </c>
      <c r="AK51" s="65" t="e">
        <f>SCI!AJ16+SCI!AJ18+SCI!#REF!</f>
        <v>#REF!</v>
      </c>
      <c r="AL51" s="65" t="e">
        <f>SCI!AK16+SCI!AK18+SCI!#REF!</f>
        <v>#REF!</v>
      </c>
    </row>
    <row r="52" spans="1:38">
      <c r="A52" s="37">
        <v>10.5</v>
      </c>
      <c r="B52" s="63" t="s">
        <v>108</v>
      </c>
      <c r="C52" s="65">
        <f>SCI!B28</f>
        <v>2640161.0699999998</v>
      </c>
      <c r="D52" s="65">
        <f>SCI!C28</f>
        <v>3879348.08</v>
      </c>
      <c r="E52" s="65">
        <f>SCI!D28</f>
        <v>9742668.6999999993</v>
      </c>
      <c r="F52" s="65">
        <f>SCI!E28</f>
        <v>13117035.439999999</v>
      </c>
      <c r="G52" s="65">
        <f>SCI!F28</f>
        <v>19632145.329999998</v>
      </c>
      <c r="H52" s="65">
        <f>SCI!G28</f>
        <v>20449840.030000001</v>
      </c>
      <c r="I52" s="65">
        <f>SCI!H28</f>
        <v>24284147.469999999</v>
      </c>
      <c r="J52" s="65">
        <f>SCI!I28</f>
        <v>37965122.359999999</v>
      </c>
      <c r="K52" s="65">
        <f>SCI!J28</f>
        <v>45233288.619999997</v>
      </c>
      <c r="L52" s="65">
        <f>SCI!K28</f>
        <v>0</v>
      </c>
      <c r="M52" s="65">
        <f>SCI!L28</f>
        <v>52263378.43</v>
      </c>
      <c r="N52" s="65">
        <f>SCI!M28</f>
        <v>55846592.630000003</v>
      </c>
      <c r="O52" s="65">
        <f>SCI!N28</f>
        <v>41471417</v>
      </c>
      <c r="P52" s="65">
        <f>SCI!O28</f>
        <v>5503147.3499999996</v>
      </c>
      <c r="Q52" s="65">
        <f>SCI!P28</f>
        <v>15683338.08</v>
      </c>
      <c r="R52" s="65">
        <f>SCI!Q28</f>
        <v>23959250.82</v>
      </c>
      <c r="S52" s="65">
        <f>SCI!R28</f>
        <v>27838520.75</v>
      </c>
      <c r="T52" s="65">
        <f>SCI!S28</f>
        <v>30307026.84</v>
      </c>
      <c r="U52" s="65">
        <f>SCI!T28</f>
        <v>39220966.829999998</v>
      </c>
      <c r="V52" s="65">
        <f>SCI!U28</f>
        <v>40462392.829999998</v>
      </c>
      <c r="W52" s="65">
        <f>SCI!V28</f>
        <v>46137465.609999999</v>
      </c>
      <c r="X52" s="65">
        <f>SCI!W28</f>
        <v>67528203.060000002</v>
      </c>
      <c r="Y52" s="65">
        <f>SCI!X28</f>
        <v>83937178.980000004</v>
      </c>
      <c r="Z52" s="65">
        <f>SCI!Y28</f>
        <v>93963189.980000004</v>
      </c>
      <c r="AA52" s="65">
        <f>SCI!Z28</f>
        <v>66542202</v>
      </c>
      <c r="AB52" s="65">
        <f>SCI!AA28</f>
        <v>-25070785</v>
      </c>
      <c r="AC52" s="65">
        <f>SCI!AB28</f>
        <v>76263398</v>
      </c>
      <c r="AD52" s="65">
        <f>SCI!AC28</f>
        <v>9370190.0199999996</v>
      </c>
      <c r="AE52" s="65">
        <f>SCI!AD28</f>
        <v>11076514.51</v>
      </c>
      <c r="AF52" s="65">
        <f>SCI!AE28</f>
        <v>22036583.579999998</v>
      </c>
      <c r="AG52" s="65">
        <f>SCI!AF28</f>
        <v>25738367.100000001</v>
      </c>
      <c r="AH52" s="65">
        <f>SCI!AG28</f>
        <v>38075425.32</v>
      </c>
      <c r="AI52" s="65">
        <f>SCI!AH28</f>
        <v>33313441.670000002</v>
      </c>
      <c r="AJ52" s="65">
        <f>SCI!AI28</f>
        <v>36661381.799999997</v>
      </c>
      <c r="AK52" s="65">
        <f>SCI!AJ28</f>
        <v>39955256.149999999</v>
      </c>
      <c r="AL52" s="65">
        <f>SCI!AK28</f>
        <v>46445905.950000003</v>
      </c>
    </row>
    <row r="53" spans="1:38">
      <c r="A53" s="37">
        <v>10.6</v>
      </c>
      <c r="B53" s="63" t="s">
        <v>105</v>
      </c>
      <c r="C53" s="65">
        <f>SCI!B25</f>
        <v>4540475</v>
      </c>
      <c r="D53" s="65">
        <f>SCI!C25</f>
        <v>8511775</v>
      </c>
      <c r="E53" s="65">
        <f>SCI!D25</f>
        <v>12302075</v>
      </c>
      <c r="F53" s="65">
        <f>SCI!E25</f>
        <v>14755905</v>
      </c>
      <c r="G53" s="65">
        <f>SCI!F25</f>
        <v>17675745.140000001</v>
      </c>
      <c r="H53" s="65">
        <f>SCI!G25</f>
        <v>20436445.140000001</v>
      </c>
      <c r="I53" s="65">
        <f>SCI!H25</f>
        <v>34116459.140000001</v>
      </c>
      <c r="J53" s="65">
        <f>SCI!I25</f>
        <v>39444159.140000001</v>
      </c>
      <c r="K53" s="65">
        <f>SCI!J25</f>
        <v>50544554.310000002</v>
      </c>
      <c r="L53" s="65">
        <f>SCI!K25</f>
        <v>0</v>
      </c>
      <c r="M53" s="65">
        <f>SCI!L25</f>
        <v>66990493.310000002</v>
      </c>
      <c r="N53" s="65">
        <f>SCI!M25</f>
        <v>69050553.310000002</v>
      </c>
      <c r="O53" s="65">
        <f>SCI!N25</f>
        <v>51267848</v>
      </c>
      <c r="P53" s="65">
        <f>SCI!O25</f>
        <v>3426062.4</v>
      </c>
      <c r="Q53" s="65">
        <f>SCI!P25</f>
        <v>15059524</v>
      </c>
      <c r="R53" s="65">
        <f>SCI!Q25</f>
        <v>29329257.48</v>
      </c>
      <c r="S53" s="65">
        <f>SCI!R25</f>
        <v>32458308.239999998</v>
      </c>
      <c r="T53" s="65">
        <f>SCI!S25</f>
        <v>36291319.439999998</v>
      </c>
      <c r="U53" s="65">
        <f>SCI!T25</f>
        <v>48172390.439999998</v>
      </c>
      <c r="V53" s="65">
        <f>SCI!U25</f>
        <v>50567390.439999998</v>
      </c>
      <c r="W53" s="65">
        <f>SCI!V25</f>
        <v>63418032.07</v>
      </c>
      <c r="X53" s="65">
        <f>SCI!W25</f>
        <v>67730444.069999993</v>
      </c>
      <c r="Y53" s="65">
        <f>SCI!X25</f>
        <v>70969684.069999993</v>
      </c>
      <c r="Z53" s="65">
        <f>SCI!Y25</f>
        <v>74783497.739999995</v>
      </c>
      <c r="AA53" s="65">
        <f>SCI!Z25</f>
        <v>65790264</v>
      </c>
      <c r="AB53" s="65">
        <f>SCI!AA25</f>
        <v>-14522416</v>
      </c>
      <c r="AC53" s="65">
        <f>SCI!AB25</f>
        <v>66558805</v>
      </c>
      <c r="AD53" s="65">
        <f>SCI!AC25</f>
        <v>4199805</v>
      </c>
      <c r="AE53" s="65">
        <f>SCI!AD25</f>
        <v>21116265</v>
      </c>
      <c r="AF53" s="65">
        <f>SCI!AE25</f>
        <v>33710515</v>
      </c>
      <c r="AG53" s="65">
        <f>SCI!AF25</f>
        <v>36687915</v>
      </c>
      <c r="AH53" s="65">
        <f>SCI!AG25</f>
        <v>41013032</v>
      </c>
      <c r="AI53" s="65">
        <f>SCI!AH25</f>
        <v>43822032</v>
      </c>
      <c r="AJ53" s="65">
        <f>SCI!AI25</f>
        <v>51547806</v>
      </c>
      <c r="AK53" s="65">
        <f>SCI!AJ25</f>
        <v>54062326</v>
      </c>
      <c r="AL53" s="65">
        <f>SCI!AK25</f>
        <v>57336894</v>
      </c>
    </row>
    <row r="54" spans="1:38" ht="13.9" thickBot="1">
      <c r="A54" s="37"/>
      <c r="B54" s="64" t="s">
        <v>165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</row>
    <row r="55" spans="1:38"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</row>
    <row r="56" spans="1:38">
      <c r="B56" s="25" t="s">
        <v>166</v>
      </c>
      <c r="C56" s="65">
        <f>SCI!B37</f>
        <v>27980873.18</v>
      </c>
      <c r="D56" s="65">
        <f>SCI!C37</f>
        <v>53108831.500000007</v>
      </c>
      <c r="E56" s="65">
        <f>SCI!D37</f>
        <v>89424595.409999996</v>
      </c>
      <c r="F56" s="65">
        <f>SCI!E37</f>
        <v>162040296.29000002</v>
      </c>
      <c r="G56" s="65">
        <f>SCI!F37</f>
        <v>186759068.67000002</v>
      </c>
      <c r="H56" s="65">
        <f>SCI!G37</f>
        <v>216299742.78000003</v>
      </c>
      <c r="I56" s="65">
        <f>SCI!H37</f>
        <v>234970425.05000007</v>
      </c>
      <c r="J56" s="65">
        <f>SCI!I37</f>
        <v>252388585.67000002</v>
      </c>
      <c r="K56" s="65">
        <f>SCI!J37</f>
        <v>269078991.25999999</v>
      </c>
      <c r="L56" s="65">
        <f>SCI!K37</f>
        <v>0</v>
      </c>
      <c r="M56" s="65">
        <f>SCI!L37</f>
        <v>278587177.88</v>
      </c>
      <c r="N56" s="65">
        <f>SCI!M37</f>
        <v>284062940.63000005</v>
      </c>
      <c r="O56" s="65">
        <f>SCI!N37</f>
        <v>90962978</v>
      </c>
      <c r="P56" s="65">
        <f>SCI!O37</f>
        <v>27367307.139999993</v>
      </c>
      <c r="Q56" s="65">
        <f>SCI!P37</f>
        <v>31686881.74000001</v>
      </c>
      <c r="R56" s="65">
        <f>SCI!Q37</f>
        <v>90877438.380000025</v>
      </c>
      <c r="S56" s="65">
        <f>SCI!R37</f>
        <v>125349686.02999997</v>
      </c>
      <c r="T56" s="65">
        <f>SCI!S37</f>
        <v>188533083.47000003</v>
      </c>
      <c r="U56" s="65">
        <f>SCI!T37</f>
        <v>202867079.28</v>
      </c>
      <c r="V56" s="65">
        <f>SCI!U37</f>
        <v>238001615.40000004</v>
      </c>
      <c r="W56" s="65">
        <f>SCI!V37</f>
        <v>249230661.12000006</v>
      </c>
      <c r="X56" s="65">
        <f>SCI!W37</f>
        <v>259083614.81</v>
      </c>
      <c r="Y56" s="65">
        <f>SCI!X37</f>
        <v>277589525.76999998</v>
      </c>
      <c r="Z56" s="65">
        <f>SCI!Y37</f>
        <v>311252540.78000003</v>
      </c>
      <c r="AA56" s="65">
        <f>SCI!Z37</f>
        <v>23321050</v>
      </c>
      <c r="AB56" s="65">
        <f>SCI!AA37</f>
        <v>67641928</v>
      </c>
      <c r="AC56" s="65">
        <f>SCI!AB37</f>
        <v>102263293</v>
      </c>
      <c r="AD56" s="65">
        <f>SCI!AC37</f>
        <v>44618116.510000005</v>
      </c>
      <c r="AE56" s="65">
        <f>SCI!AD37</f>
        <v>81943998.580000013</v>
      </c>
      <c r="AF56" s="65">
        <f>SCI!AE37</f>
        <v>108497396.59</v>
      </c>
      <c r="AG56" s="65">
        <f>SCI!AF37</f>
        <v>157693104.44</v>
      </c>
      <c r="AH56" s="65">
        <f>SCI!AG37</f>
        <v>200876932.21000001</v>
      </c>
      <c r="AI56" s="65">
        <f>SCI!AH37</f>
        <v>303738426.17999995</v>
      </c>
      <c r="AJ56" s="65">
        <f>SCI!AI37</f>
        <v>345482846.17999995</v>
      </c>
      <c r="AK56" s="65">
        <f>SCI!AJ37</f>
        <v>397615799.29000002</v>
      </c>
      <c r="AL56" s="65">
        <f>SCI!AK37</f>
        <v>445668420.86999995</v>
      </c>
    </row>
    <row r="57" spans="1:38">
      <c r="B57" s="25" t="s">
        <v>167</v>
      </c>
      <c r="C57" s="188">
        <f>SFP!B4+SFP!B9+SFP!B10</f>
        <v>252652851</v>
      </c>
      <c r="D57" s="188">
        <f>SFP!C4+SFP!C9+SFP!C10</f>
        <v>246465826.06999999</v>
      </c>
      <c r="E57" s="188">
        <f>SFP!D4+SFP!D9+SFP!D10</f>
        <v>289796755.5</v>
      </c>
      <c r="F57" s="188">
        <f>SFP!E4+SFP!E9+SFP!E10</f>
        <v>131395640.2</v>
      </c>
      <c r="G57" s="188">
        <f>SFP!F4+SFP!F9+SFP!F10</f>
        <v>479503283.56999999</v>
      </c>
      <c r="H57" s="188">
        <f>SFP!G4+SFP!G9+SFP!G10</f>
        <v>783748468.00999999</v>
      </c>
      <c r="I57" s="188">
        <f>SFP!H4+SFP!H9+SFP!H10</f>
        <v>489544177.91000003</v>
      </c>
      <c r="J57" s="188">
        <f>SFP!I4+SFP!I9+SFP!I10</f>
        <v>712822967.85000002</v>
      </c>
      <c r="K57" s="188">
        <f>SFP!J4+SFP!J9+SFP!J10</f>
        <v>467447450.42000002</v>
      </c>
      <c r="L57" s="188">
        <f>SFP!K4+SFP!K9+SFP!K10</f>
        <v>0</v>
      </c>
      <c r="M57" s="188">
        <f>SFP!L4+SFP!L9+SFP!L10</f>
        <v>737328587.63</v>
      </c>
      <c r="N57" s="188">
        <f>SFP!M4+SFP!M9+SFP!M10</f>
        <v>785767382.80999994</v>
      </c>
      <c r="O57" s="188">
        <f>SFP!N4+SFP!N9+SFP!N10</f>
        <v>840711784.25999987</v>
      </c>
      <c r="P57" s="188">
        <f>SFP!O4+SFP!O9+SFP!O10</f>
        <v>549969697.21000004</v>
      </c>
      <c r="Q57" s="188">
        <f>SFP!P4+SFP!P9+SFP!P10</f>
        <v>673364171.13999999</v>
      </c>
      <c r="R57" s="188">
        <f>SFP!Q4+SFP!Q9+SFP!Q10</f>
        <v>187766168.67000002</v>
      </c>
      <c r="S57" s="188">
        <f>SFP!R4+SFP!R9+SFP!R10</f>
        <v>423958915.56999999</v>
      </c>
      <c r="T57" s="188">
        <f>SFP!S4+SFP!S9+SFP!S10</f>
        <v>511353966.05000001</v>
      </c>
      <c r="U57" s="188">
        <f>SFP!T4+SFP!T9+SFP!T10</f>
        <v>495223763.95000005</v>
      </c>
      <c r="V57" s="188">
        <f>SFP!U4+SFP!U9+SFP!U10</f>
        <v>360800549.75999999</v>
      </c>
      <c r="W57" s="188">
        <f>SFP!V4+SFP!V9+SFP!V10</f>
        <v>630276104.70999992</v>
      </c>
      <c r="X57" s="188">
        <f>SFP!W4+SFP!W9+SFP!W10</f>
        <v>422903264.44999999</v>
      </c>
      <c r="Y57" s="188">
        <f>SFP!X4+SFP!X9+SFP!X10</f>
        <v>350365295.95000005</v>
      </c>
      <c r="Z57" s="188">
        <f>SFP!Y4+SFP!Y9+SFP!Y10</f>
        <v>537093949.86000001</v>
      </c>
      <c r="AA57" s="188">
        <f>SFP!Z4+SFP!Z9+SFP!Z10</f>
        <v>817345916</v>
      </c>
      <c r="AB57" s="188">
        <f>SFP!AA4+SFP!AA9+SFP!AA10</f>
        <v>23365868.25999992</v>
      </c>
      <c r="AC57" s="188">
        <f>SFP!AB4+SFP!AB9+SFP!AB10</f>
        <v>576228117</v>
      </c>
      <c r="AD57" s="188">
        <f>SFP!AC4+SFP!AC9+SFP!AC10</f>
        <v>475114673.84999996</v>
      </c>
      <c r="AE57" s="188">
        <f>SFP!AD4+SFP!AD9+SFP!AD10</f>
        <v>82486263.319999993</v>
      </c>
      <c r="AF57" s="188">
        <f>SFP!AE4+SFP!AE9+SFP!AE10</f>
        <v>229949734.13</v>
      </c>
      <c r="AG57" s="188">
        <f>SFP!AF4+SFP!AF9+SFP!AF10</f>
        <v>-186374870.41</v>
      </c>
      <c r="AH57" s="188">
        <f>SFP!AG4+SFP!AG9+SFP!AG10</f>
        <v>-197928492.25</v>
      </c>
      <c r="AI57" s="188">
        <f>SFP!AH4+SFP!AH9+SFP!AH10</f>
        <v>457663301.26999998</v>
      </c>
      <c r="AJ57" s="188">
        <f>SFP!AI4+SFP!AI9+SFP!AI10</f>
        <v>202448144.04000002</v>
      </c>
      <c r="AK57" s="188">
        <f>SFP!AJ4+SFP!AJ9+SFP!AJ10</f>
        <v>209839910.35999998</v>
      </c>
      <c r="AL57" s="188">
        <f>SFP!AK4+SFP!AK9+SFP!AK10</f>
        <v>0</v>
      </c>
    </row>
    <row r="58" spans="1:38">
      <c r="B58" s="25" t="s">
        <v>168</v>
      </c>
      <c r="C58" s="188">
        <f>SFP!B27+SFP!B28+SFP!B32+SFP!B33+SFP!B34+SFP!B35+SFP!B36</f>
        <v>459565598.55000007</v>
      </c>
      <c r="D58" s="188">
        <f>SFP!C27+SFP!C28+SFP!C32+SFP!C33+SFP!C34+SFP!C35+SFP!C36</f>
        <v>513276811.96000004</v>
      </c>
      <c r="E58" s="188">
        <f>SFP!D27+SFP!D28+SFP!D32+SFP!D33+SFP!D34+SFP!D35+SFP!D36</f>
        <v>532075222.97000003</v>
      </c>
      <c r="F58" s="188">
        <f>SFP!E27+SFP!E28+SFP!E32+SFP!E33+SFP!E34+SFP!E35+SFP!E36</f>
        <v>269384854.25</v>
      </c>
      <c r="G58" s="188">
        <f>SFP!F27+SFP!F28+SFP!F32+SFP!F33+SFP!F34+SFP!F35+SFP!F36</f>
        <v>125550280.48999999</v>
      </c>
      <c r="H58" s="188">
        <f>SFP!G27+SFP!G28+SFP!G32+SFP!G33+SFP!G34+SFP!G35+SFP!G36</f>
        <v>185090857</v>
      </c>
      <c r="I58" s="188">
        <f>SFP!H27+SFP!H28+SFP!H32+SFP!H33+SFP!H34+SFP!H35+SFP!H36</f>
        <v>154782102.41999999</v>
      </c>
      <c r="J58" s="188">
        <f>SFP!I27+SFP!I28+SFP!I32+SFP!I33+SFP!I34+SFP!I35+SFP!I36</f>
        <v>111644952.8</v>
      </c>
      <c r="K58" s="188">
        <f>SFP!J27+SFP!J28+SFP!J32+SFP!J33+SFP!J34+SFP!J35+SFP!J36</f>
        <v>109314951.67</v>
      </c>
      <c r="L58" s="188">
        <f>SFP!K27+SFP!K28+SFP!K32+SFP!K33+SFP!K34+SFP!K35+SFP!K36</f>
        <v>0</v>
      </c>
      <c r="M58" s="188">
        <f>SFP!L27+SFP!L28+SFP!L32+SFP!L33+SFP!L34+SFP!L35+SFP!L36</f>
        <v>78737633.189999998</v>
      </c>
      <c r="N58" s="188">
        <f>SFP!M27+SFP!M28+SFP!M32+SFP!M33+SFP!M34+SFP!M35+SFP!M36</f>
        <v>74228547.599999994</v>
      </c>
      <c r="O58" s="188">
        <f>SFP!N27+SFP!N28+SFP!N32+SFP!N33+SFP!N34+SFP!N35+SFP!N36</f>
        <v>508288638.40999997</v>
      </c>
      <c r="P58" s="188">
        <f>SFP!O27+SFP!O28+SFP!O32+SFP!O33+SFP!O34+SFP!O35+SFP!O36</f>
        <v>84734580.230000004</v>
      </c>
      <c r="Q58" s="188">
        <f>SFP!P27+SFP!P28+SFP!P32+SFP!P33+SFP!P34+SFP!P35+SFP!P36</f>
        <v>419096313.12000006</v>
      </c>
      <c r="R58" s="188">
        <f>SFP!Q27+SFP!Q28+SFP!Q32+SFP!Q33+SFP!Q34+SFP!Q35+SFP!Q36</f>
        <v>76515229.780000001</v>
      </c>
      <c r="S58" s="188">
        <f>SFP!R27+SFP!R28+SFP!R32+SFP!R33+SFP!R34+SFP!R35+SFP!R36</f>
        <v>60112955.349999994</v>
      </c>
      <c r="T58" s="188">
        <f>SFP!S27+SFP!S28+SFP!S32+SFP!S33+SFP!S34+SFP!S35+SFP!S36</f>
        <v>75178150.019999996</v>
      </c>
      <c r="U58" s="188">
        <f>SFP!T27+SFP!T28+SFP!T32+SFP!T33+SFP!T34+SFP!T35+SFP!T36</f>
        <v>76487377.920000002</v>
      </c>
      <c r="V58" s="188">
        <f>SFP!U27+SFP!U28+SFP!U32+SFP!U33+SFP!U34+SFP!U35+SFP!U36</f>
        <v>75499233.680000007</v>
      </c>
      <c r="W58" s="188">
        <f>SFP!V27+SFP!V28+SFP!V32+SFP!V33+SFP!V34+SFP!V35+SFP!V36</f>
        <v>91115751.640000001</v>
      </c>
      <c r="X58" s="188">
        <f>SFP!W27+SFP!W28+SFP!W32+SFP!W33+SFP!W34+SFP!W35+SFP!W36</f>
        <v>107213918.85000001</v>
      </c>
      <c r="Y58" s="188">
        <f>SFP!X27+SFP!X28+SFP!X32+SFP!X33+SFP!X34+SFP!X35+SFP!X36</f>
        <v>226805486.69</v>
      </c>
      <c r="Z58" s="188">
        <f>SFP!Y27+SFP!Y28+SFP!Y32+SFP!Y33+SFP!Y34+SFP!Y35+SFP!Y36</f>
        <v>162839182.37</v>
      </c>
      <c r="AA58" s="188">
        <f>SFP!Z27+SFP!Z28+SFP!Z32+SFP!Z33+SFP!Z34+SFP!Z35+SFP!Z36</f>
        <v>423722155</v>
      </c>
      <c r="AB58" s="188">
        <f>SFP!AA27+SFP!AA28+SFP!AA32+SFP!AA33+SFP!AA34+SFP!AA35+SFP!AA36</f>
        <v>84566483.409999996</v>
      </c>
      <c r="AC58" s="188">
        <f>SFP!AB27+SFP!AB28+SFP!AB32+SFP!AB33+SFP!AB34+SFP!AB35+SFP!AB36</f>
        <v>418704599</v>
      </c>
      <c r="AD58" s="188">
        <f>SFP!AC27+SFP!AC28+SFP!AC32+SFP!AC33+SFP!AC34+SFP!AC35+SFP!AC36</f>
        <v>149158067.22</v>
      </c>
      <c r="AE58" s="188">
        <f>SFP!AD27+SFP!AD28+SFP!AD32+SFP!AD33+SFP!AD34+SFP!AD35+SFP!AD36</f>
        <v>147204526.03</v>
      </c>
      <c r="AF58" s="188">
        <f>SFP!AE27+SFP!AE28+SFP!AE32+SFP!AE33+SFP!AE34+SFP!AE35+SFP!AE36</f>
        <v>235619401.15000004</v>
      </c>
      <c r="AG58" s="188">
        <f>SFP!AF27+SFP!AF28+SFP!AF32+SFP!AF33+SFP!AF34+SFP!AF35+SFP!AF36</f>
        <v>154058663.57999998</v>
      </c>
      <c r="AH58" s="188">
        <f>SFP!AG27+SFP!AG28+SFP!AG32+SFP!AG33+SFP!AG34+SFP!AG35+SFP!AG36</f>
        <v>122591394.95999999</v>
      </c>
      <c r="AI58" s="188">
        <f>SFP!AH27+SFP!AH28+SFP!AH32+SFP!AH33+SFP!AH34+SFP!AH35+SFP!AH36</f>
        <v>150296386.06999999</v>
      </c>
      <c r="AJ58" s="188">
        <f>SFP!AI27+SFP!AI28+SFP!AI32+SFP!AI33+SFP!AI34+SFP!AI35+SFP!AI36</f>
        <v>206185863.93000001</v>
      </c>
      <c r="AK58" s="188">
        <f>SFP!AJ27+SFP!AJ28+SFP!AJ32+SFP!AJ33+SFP!AJ34+SFP!AJ35+SFP!AJ36</f>
        <v>192259444.11000001</v>
      </c>
      <c r="AL58" s="188">
        <f>SFP!AK27+SFP!AK28+SFP!AK32+SFP!AK33+SFP!AK34+SFP!AK35+SFP!AK36</f>
        <v>0</v>
      </c>
    </row>
    <row r="59" spans="1:38">
      <c r="C59" s="188">
        <f>(SFP!B39+SFP!B40+SFP!B42+(0.5*SFP!B43)+SFP!B45+SFP!B46)</f>
        <v>727666822.11000013</v>
      </c>
      <c r="D59" s="188">
        <f>(SFP!C39+SFP!C40+SFP!C42+(0.5*SFP!C43)+SFP!C45+SFP!C46)</f>
        <v>732993433.11000013</v>
      </c>
      <c r="E59" s="188">
        <f>(SFP!D39+SFP!D40+SFP!D42+(0.5*SFP!D43)+SFP!D45+SFP!D46)</f>
        <v>747162162.03999996</v>
      </c>
      <c r="F59" s="188">
        <f>(SFP!E39+SFP!E40+SFP!E42+(0.5*SFP!E43)+SFP!E45+SFP!E46)</f>
        <v>783584389.08999991</v>
      </c>
      <c r="G59" s="188">
        <f>(SFP!F39+SFP!F40+SFP!F42+(0.5*SFP!F43)+SFP!F45+SFP!F46)</f>
        <v>793733145.88999999</v>
      </c>
      <c r="H59" s="188">
        <f>(SFP!G39+SFP!G40+SFP!G42+(0.5*SFP!G43)+SFP!G45+SFP!G46)</f>
        <v>809046248.08999991</v>
      </c>
      <c r="I59" s="188">
        <f>(SFP!H39+SFP!H40+SFP!H42+(0.5*SFP!H43)+SFP!H45+SFP!H46)</f>
        <v>815102722.63999999</v>
      </c>
      <c r="J59" s="188">
        <f>(SFP!I39+SFP!I40+SFP!I42+(0.5*SFP!I43)+SFP!I45+SFP!I46)</f>
        <v>822433820.99000001</v>
      </c>
      <c r="K59" s="188">
        <f>(SFP!J39+SFP!J40+SFP!J42+(0.5*SFP!J43)+SFP!J45+SFP!J46)</f>
        <v>829560453.58999991</v>
      </c>
      <c r="L59" s="188">
        <f>(SFP!K39+SFP!K40+SFP!K42+(0.5*SFP!K43)+SFP!K45+SFP!K46)</f>
        <v>0</v>
      </c>
      <c r="M59" s="188">
        <f>(SFP!L39+SFP!L40+SFP!L42+(0.5*SFP!L43)+SFP!L45+SFP!L46)</f>
        <v>849316326.49000001</v>
      </c>
      <c r="N59" s="188">
        <f>(SFP!M39+SFP!M40+SFP!M42+(0.5*SFP!M43)+SFP!M45+SFP!M46)</f>
        <v>851522642.53999996</v>
      </c>
      <c r="O59" s="188">
        <f>(SFP!N39+SFP!N40+SFP!N42+(0.5*SFP!N43)+SFP!N45+SFP!N46)</f>
        <v>731269587</v>
      </c>
      <c r="P59" s="188">
        <f>(SFP!O39+SFP!O40+SFP!O42+(0.5*SFP!O43)+SFP!O45+SFP!O46)</f>
        <v>714167720.58999991</v>
      </c>
      <c r="Q59" s="188">
        <f>(SFP!P39+SFP!P40+SFP!P42+(0.5*SFP!P43)+SFP!P45+SFP!P46)</f>
        <v>716450172.49000001</v>
      </c>
      <c r="R59" s="188">
        <f>(SFP!Q39+SFP!Q40+SFP!Q42+(0.5*SFP!Q43)+SFP!Q45+SFP!Q46)</f>
        <v>745959761.42000008</v>
      </c>
      <c r="S59" s="188">
        <f>(SFP!R39+SFP!R40+SFP!R42+(0.5*SFP!R43)+SFP!R45+SFP!R46)</f>
        <v>763175485.22000003</v>
      </c>
      <c r="T59" s="188">
        <f>(SFP!S39+SFP!S40+SFP!S42+(0.5*SFP!S43)+SFP!S45+SFP!S46)</f>
        <v>794767583.97000003</v>
      </c>
      <c r="U59" s="188">
        <f>(SFP!T39+SFP!T40+SFP!T42+(0.5*SFP!T43)+SFP!T45+SFP!T46)</f>
        <v>801933981.87</v>
      </c>
      <c r="V59" s="188">
        <f>(SFP!U39+SFP!U40+SFP!U42+(0.5*SFP!U43)+SFP!U45+SFP!U46)</f>
        <v>1029120366.5600001</v>
      </c>
      <c r="W59" s="188">
        <f>(SFP!V39+SFP!V40+SFP!V42+(0.5*SFP!V43)+SFP!V45+SFP!V46)</f>
        <v>1034674889.46</v>
      </c>
      <c r="X59" s="188">
        <f>(SFP!W39+SFP!W40+SFP!W42+(0.5*SFP!W43)+SFP!W45+SFP!W46)</f>
        <v>1039622766.24</v>
      </c>
      <c r="Y59" s="188">
        <f>(SFP!X39+SFP!X40+SFP!X42+(0.5*SFP!X43)+SFP!X45+SFP!X46)</f>
        <v>1048823988.855</v>
      </c>
      <c r="Z59" s="188">
        <f>(SFP!Y39+SFP!Y40+SFP!Y42+(0.5*SFP!Y43)+SFP!Y45+SFP!Y46)</f>
        <v>1065656896.385</v>
      </c>
      <c r="AA59" s="188">
        <f>(SFP!Z39+SFP!Z40+SFP!Z42+(0.5*SFP!Z43)+SFP!Z45+SFP!Z46)</f>
        <v>688238253.5</v>
      </c>
      <c r="AB59" s="188">
        <f>(SFP!AA39+SFP!AA40+SFP!AA42+(0.5*SFP!AA43)+SFP!AA45+SFP!AA46)</f>
        <v>43031333.5</v>
      </c>
      <c r="AC59" s="188">
        <f>(SFP!AB39+SFP!AB40+SFP!AB42+(0.5*SFP!AB43)+SFP!AB45+SFP!AB46)</f>
        <v>827056140</v>
      </c>
      <c r="AD59" s="188">
        <f>(SFP!AC39+SFP!AC40+SFP!AC42+(0.5*SFP!AC43)+SFP!AC45+SFP!AC46)</f>
        <v>895775826.13999999</v>
      </c>
      <c r="AE59" s="188">
        <f>(SFP!AD39+SFP!AD40+SFP!AD42+(0.5*SFP!AD43)+SFP!AD45+SFP!AD46)</f>
        <v>914439167.14499998</v>
      </c>
      <c r="AF59" s="188">
        <f>(SFP!AE39+SFP!AE40+SFP!AE42+(0.5*SFP!AE43)+SFP!AE45+SFP!AE46)</f>
        <v>927827827.73000002</v>
      </c>
      <c r="AG59" s="188">
        <f>(SFP!AF39+SFP!AF40+SFP!AF42+(0.5*SFP!AF43)+SFP!AF45+SFP!AF46)</f>
        <v>952421031.63999999</v>
      </c>
      <c r="AH59" s="188">
        <f>(SFP!AG39+SFP!AG40+SFP!AG42+(0.5*SFP!AG43)+SFP!AG45+SFP!AG46)</f>
        <v>973988645.53999996</v>
      </c>
      <c r="AI59" s="188">
        <f>(SFP!AH39+SFP!AH40+SFP!AH42+(0.5*SFP!AH43)+SFP!AH45+SFP!AH46)</f>
        <v>1025560739.0799999</v>
      </c>
      <c r="AJ59" s="188">
        <f>(SFP!AI39+SFP!AI40+SFP!AI42+(0.5*SFP!AI43)+SFP!AI45+SFP!AI46)</f>
        <v>974132325.17999995</v>
      </c>
      <c r="AK59" s="188">
        <f>(SFP!AJ39+SFP!AJ40+SFP!AJ42+(0.5*SFP!AJ43)+SFP!AJ45+SFP!AJ46)</f>
        <v>981240078.55499995</v>
      </c>
      <c r="AL59" s="188">
        <f>(SFP!AK39+SFP!AK40+SFP!AK42+(0.5*SFP!AK43)+SFP!AK45+SFP!AK46)</f>
        <v>0</v>
      </c>
    </row>
  </sheetData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79"/>
  <sheetViews>
    <sheetView workbookViewId="0">
      <pane xSplit="2" ySplit="4" topLeftCell="AH19" activePane="bottomRight" state="frozen"/>
      <selection pane="bottomRight" activeCell="AI4" sqref="AI4:AL48"/>
      <selection pane="bottomLeft" activeCell="A5" sqref="A5"/>
      <selection pane="topRight" activeCell="E1" sqref="E1"/>
    </sheetView>
  </sheetViews>
  <sheetFormatPr defaultColWidth="9.140625" defaultRowHeight="13.15"/>
  <cols>
    <col min="1" max="1" width="34" style="1" customWidth="1"/>
    <col min="2" max="2" width="10.28515625" style="2" bestFit="1" customWidth="1"/>
    <col min="3" max="4" width="11.5703125" style="1" hidden="1" customWidth="1"/>
    <col min="5" max="7" width="7.140625" style="1" hidden="1" customWidth="1"/>
    <col min="8" max="8" width="7.5703125" style="1" hidden="1" customWidth="1"/>
    <col min="9" max="9" width="0.140625" style="1" hidden="1" customWidth="1"/>
    <col min="10" max="10" width="7.140625" style="1" hidden="1" customWidth="1"/>
    <col min="11" max="11" width="9.140625" style="1" hidden="1" customWidth="1"/>
    <col min="12" max="12" width="6.5703125" style="1" hidden="1" customWidth="1"/>
    <col min="13" max="13" width="8.85546875" style="1" hidden="1" customWidth="1"/>
    <col min="14" max="14" width="8.7109375" style="1" hidden="1" customWidth="1"/>
    <col min="15" max="15" width="12.85546875" style="1" customWidth="1"/>
    <col min="16" max="17" width="0" style="1" hidden="1" customWidth="1"/>
    <col min="18" max="18" width="15.7109375" style="1" hidden="1" customWidth="1"/>
    <col min="19" max="26" width="0" style="1" hidden="1" customWidth="1"/>
    <col min="27" max="27" width="19.28515625" style="1" bestFit="1" customWidth="1"/>
    <col min="28" max="28" width="19.28515625" style="1" hidden="1" customWidth="1"/>
    <col min="29" max="29" width="11.7109375" style="1" customWidth="1"/>
    <col min="30" max="16384" width="9.140625" style="1"/>
  </cols>
  <sheetData>
    <row r="1" spans="1:38">
      <c r="A1" s="111" t="s">
        <v>169</v>
      </c>
    </row>
    <row r="2" spans="1:38" ht="13.9" thickBot="1">
      <c r="A2" s="3" t="s">
        <v>170</v>
      </c>
    </row>
    <row r="3" spans="1:38" s="3" customFormat="1" ht="15" customHeight="1">
      <c r="A3" s="4"/>
      <c r="B3" s="70"/>
      <c r="O3" s="256" t="s">
        <v>2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256" t="s">
        <v>81</v>
      </c>
      <c r="AB3" s="256"/>
      <c r="AC3" s="7"/>
    </row>
    <row r="4" spans="1:38" s="3" customFormat="1">
      <c r="A4" s="5" t="s">
        <v>171</v>
      </c>
      <c r="B4" s="71" t="s">
        <v>172</v>
      </c>
      <c r="C4" s="156" t="s">
        <v>5</v>
      </c>
      <c r="D4" s="156" t="s">
        <v>6</v>
      </c>
      <c r="E4" s="156" t="s">
        <v>7</v>
      </c>
      <c r="F4" s="156" t="s">
        <v>8</v>
      </c>
      <c r="G4" s="156" t="s">
        <v>9</v>
      </c>
      <c r="H4" s="156" t="s">
        <v>10</v>
      </c>
      <c r="I4" s="156" t="s">
        <v>11</v>
      </c>
      <c r="J4" s="156" t="s">
        <v>12</v>
      </c>
      <c r="K4" s="156" t="s">
        <v>13</v>
      </c>
      <c r="L4" s="156" t="s">
        <v>14</v>
      </c>
      <c r="M4" s="156" t="s">
        <v>15</v>
      </c>
      <c r="N4" s="156" t="s">
        <v>16</v>
      </c>
      <c r="O4" s="257" t="s">
        <v>17</v>
      </c>
      <c r="P4" s="258" t="s">
        <v>18</v>
      </c>
      <c r="Q4" s="258" t="s">
        <v>19</v>
      </c>
      <c r="R4" s="258" t="s">
        <v>20</v>
      </c>
      <c r="S4" s="258" t="s">
        <v>21</v>
      </c>
      <c r="T4" s="258" t="s">
        <v>22</v>
      </c>
      <c r="U4" s="258" t="s">
        <v>23</v>
      </c>
      <c r="V4" s="258" t="s">
        <v>24</v>
      </c>
      <c r="W4" s="258" t="s">
        <v>25</v>
      </c>
      <c r="X4" s="258" t="s">
        <v>26</v>
      </c>
      <c r="Y4" s="258" t="s">
        <v>27</v>
      </c>
      <c r="Z4" s="258" t="s">
        <v>28</v>
      </c>
      <c r="AA4" s="259" t="s">
        <v>29</v>
      </c>
      <c r="AB4" s="259"/>
      <c r="AC4" s="258" t="s">
        <v>31</v>
      </c>
      <c r="AD4" s="310">
        <v>44927</v>
      </c>
      <c r="AE4" s="310">
        <v>44958</v>
      </c>
      <c r="AF4" s="310">
        <v>44986</v>
      </c>
      <c r="AG4" s="310">
        <v>45017</v>
      </c>
      <c r="AH4" s="310">
        <v>45047</v>
      </c>
      <c r="AI4" s="310">
        <v>45078</v>
      </c>
      <c r="AJ4" s="310">
        <v>45108</v>
      </c>
      <c r="AK4" s="310">
        <v>45139</v>
      </c>
      <c r="AL4" s="310">
        <v>45170</v>
      </c>
    </row>
    <row r="5" spans="1:38" s="3" customFormat="1">
      <c r="A5" s="6" t="s">
        <v>173</v>
      </c>
      <c r="B5" s="72"/>
    </row>
    <row r="6" spans="1:38" s="3" customFormat="1">
      <c r="A6" s="8" t="s">
        <v>174</v>
      </c>
      <c r="B6" s="72" t="s">
        <v>175</v>
      </c>
      <c r="C6" s="86">
        <f>Financials!C14/1000000</f>
        <v>743.07015381000008</v>
      </c>
      <c r="D6" s="86">
        <f>Financials!D14/1000000</f>
        <v>761.62548881000009</v>
      </c>
      <c r="E6" s="86">
        <f>Financials!E14/1000000</f>
        <v>794.12828009000009</v>
      </c>
      <c r="F6" s="86">
        <f>Financials!F14/1000000</f>
        <v>866.71488813999997</v>
      </c>
      <c r="G6" s="86">
        <f>Financials!G14/1000000</f>
        <v>887.01240173999997</v>
      </c>
      <c r="H6" s="86">
        <f>Financials!H14/1000000</f>
        <v>917.63640613999996</v>
      </c>
      <c r="I6" s="86">
        <f>Financials!I14/1000000</f>
        <v>929.75075523999999</v>
      </c>
      <c r="J6" s="86">
        <f>Financials!J14/1000000</f>
        <v>944.40697494000005</v>
      </c>
      <c r="K6" s="86">
        <f>Financials!K14/1000000</f>
        <v>958.63894013999993</v>
      </c>
      <c r="L6" s="86"/>
      <c r="M6" s="86">
        <f>Financials!M14/1000000</f>
        <v>998.14998594000008</v>
      </c>
      <c r="N6" s="86">
        <f>Financials!N14/1000000</f>
        <v>1002.56201804</v>
      </c>
      <c r="O6" s="86">
        <f>Financials!O14/1000000</f>
        <v>742.428673</v>
      </c>
      <c r="P6" s="86">
        <f>Financials!P14/1000000</f>
        <v>727.85137413999996</v>
      </c>
      <c r="Q6" s="86">
        <f>Financials!Q14/1000000</f>
        <v>732.29361339000002</v>
      </c>
      <c r="R6" s="86">
        <f>Financials!R14/1000000</f>
        <v>791.39848061999999</v>
      </c>
      <c r="S6" s="86">
        <f>Financials!S14/1000000</f>
        <v>825.85032822000005</v>
      </c>
      <c r="T6" s="86">
        <f>Financials!T14/1000000</f>
        <v>889.03412572000002</v>
      </c>
      <c r="U6" s="86">
        <f>Financials!U14/1000000</f>
        <v>903.36752151999997</v>
      </c>
      <c r="V6" s="86">
        <f>Financials!V14/1000000</f>
        <v>1148.1211742600001</v>
      </c>
      <c r="W6" s="86">
        <f>Financials!W14/1000000</f>
        <v>1159.2902200599999</v>
      </c>
      <c r="X6" s="86">
        <f>Financials!X14/1000000</f>
        <v>1169.1645736199998</v>
      </c>
      <c r="Y6" s="86">
        <f>Financials!Y14/1000000</f>
        <v>1187.61875173</v>
      </c>
      <c r="Z6" s="86">
        <f>Financials!Z14/1000000</f>
        <v>1221.28316679</v>
      </c>
      <c r="AA6" s="86">
        <f>Financials!AA14/1000000</f>
        <v>670.70978400000001</v>
      </c>
      <c r="AB6" s="86">
        <f>Financials!AB14/1000000</f>
        <v>71.718889000000004</v>
      </c>
      <c r="AC6" s="86">
        <f>Financials!AC14/1000000</f>
        <v>756.99624600000004</v>
      </c>
      <c r="AD6" s="86">
        <f>Financials!AD14/1000000</f>
        <v>918.08488438999996</v>
      </c>
      <c r="AE6" s="86">
        <f>Financials!AE14/1000000</f>
        <v>955.41116639999996</v>
      </c>
      <c r="AF6" s="86">
        <f>Financials!AF14/1000000</f>
        <v>982.07652606999989</v>
      </c>
      <c r="AG6" s="86">
        <f>Financials!AG14/1000000</f>
        <v>1031.26758389</v>
      </c>
      <c r="AH6" s="86">
        <f>Financials!AH14/1000000</f>
        <v>1074.4271116899999</v>
      </c>
      <c r="AI6" s="86">
        <f>Financials!AI14/1000000</f>
        <v>1177.4299521300002</v>
      </c>
      <c r="AJ6" s="86">
        <f>Financials!AJ14/1000000</f>
        <v>1074.57079133</v>
      </c>
      <c r="AK6" s="86">
        <f>Financials!AK14/1000000</f>
        <v>1180.0479782100001</v>
      </c>
      <c r="AL6" s="86">
        <f>Financials!AL14/1000000</f>
        <v>0</v>
      </c>
    </row>
    <row r="7" spans="1:38" s="3" customFormat="1">
      <c r="A7" s="8" t="s">
        <v>176</v>
      </c>
      <c r="B7" s="72" t="s">
        <v>177</v>
      </c>
      <c r="C7" s="87">
        <f>Financials!C14/Financials!C5</f>
        <v>0.11738422043248563</v>
      </c>
      <c r="D7" s="87">
        <f>Financials!D14/Financials!D5</f>
        <v>0.11848134486068689</v>
      </c>
      <c r="E7" s="87">
        <f>Financials!E14/Financials!E5</f>
        <v>0.12136139994012389</v>
      </c>
      <c r="F7" s="87">
        <f>Financials!F14/Financials!F5</f>
        <v>0.13665423287971909</v>
      </c>
      <c r="G7" s="87">
        <f>Financials!G14/Financials!G5</f>
        <v>0.13315100920474834</v>
      </c>
      <c r="H7" s="87">
        <f>Financials!H14/Financials!H5</f>
        <v>0.13469661461587767</v>
      </c>
      <c r="I7" s="87">
        <f>Financials!I14/Financials!I5</f>
        <v>0.13757856565528051</v>
      </c>
      <c r="J7" s="87">
        <f>Financials!J14/Financials!J5</f>
        <v>0.13996522318566848</v>
      </c>
      <c r="K7" s="87">
        <f>Financials!K14/Financials!K5</f>
        <v>0.14135940778937003</v>
      </c>
      <c r="L7" s="87"/>
      <c r="M7" s="87">
        <f>Financials!M14/Financials!M5</f>
        <v>0.14581122744274089</v>
      </c>
      <c r="N7" s="87">
        <f>Financials!N14/Financials!N5</f>
        <v>0.14577483596339058</v>
      </c>
      <c r="O7" s="87">
        <f>Financials!O14/Financials!O5</f>
        <v>0.10482678903938823</v>
      </c>
      <c r="P7" s="87">
        <f>Financials!P14/Financials!P5</f>
        <v>0.14402302360067804</v>
      </c>
      <c r="Q7" s="87">
        <f>Financials!Q14/Financials!Q5</f>
        <v>0.10515238726403073</v>
      </c>
      <c r="R7" s="87">
        <f>Financials!R14/Financials!R5</f>
        <v>0.11748738031649403</v>
      </c>
      <c r="S7" s="87">
        <f>Financials!S14/Financials!S5</f>
        <v>0.12188338209053076</v>
      </c>
      <c r="T7" s="87">
        <f>Financials!T14/Financials!T5</f>
        <v>0.13007857452617413</v>
      </c>
      <c r="U7" s="87">
        <f>Financials!U14/Financials!U5</f>
        <v>0.13172092332432533</v>
      </c>
      <c r="V7" s="87">
        <f>Financials!V14/Financials!V5</f>
        <v>0.16607269381852394</v>
      </c>
      <c r="W7" s="87">
        <f>Financials!W14/Financials!W5</f>
        <v>0.16643616789536353</v>
      </c>
      <c r="X7" s="87">
        <f>Financials!X14/Financials!X5</f>
        <v>0.16640393861056382</v>
      </c>
      <c r="Y7" s="87">
        <f>Financials!Y14/Financials!Y5</f>
        <v>0.16535494637845627</v>
      </c>
      <c r="Z7" s="87">
        <f>Financials!Z14/Financials!Z5</f>
        <v>0.16989308731311206</v>
      </c>
      <c r="AA7" s="87">
        <f>Financials!AA14/Financials!AA5</f>
        <v>9.6416352885670686E-2</v>
      </c>
      <c r="AB7" s="87">
        <f>Financials!AB14/Financials!AB5</f>
        <v>0.56900638958422756</v>
      </c>
      <c r="AC7" s="87">
        <f>Financials!AC14/Financials!AC5</f>
        <v>0.10738708480967907</v>
      </c>
      <c r="AD7" s="87">
        <f>Financials!AD14/Financials!AD5</f>
        <v>0.13492951587936303</v>
      </c>
      <c r="AE7" s="87">
        <f>Financials!AE14/Financials!AE5</f>
        <v>0.13895373938022934</v>
      </c>
      <c r="AF7" s="87">
        <f>Financials!AF14/Financials!AF5</f>
        <v>0.13987286567145593</v>
      </c>
      <c r="AG7" s="87">
        <f>Financials!AG14/Financials!AG5</f>
        <v>0.14689990237904718</v>
      </c>
      <c r="AH7" s="87">
        <f>Financials!AH14/Financials!AH5</f>
        <v>0.15038693520241134</v>
      </c>
      <c r="AI7" s="87">
        <f>Financials!AI14/Financials!AI5</f>
        <v>0.15363158767193097</v>
      </c>
      <c r="AJ7" s="87">
        <f>Financials!AJ14/Financials!AJ5</f>
        <v>0.1944779112259874</v>
      </c>
      <c r="AK7" s="87">
        <f>Financials!AK14/Financials!AK5</f>
        <v>0.15222319288202585</v>
      </c>
      <c r="AL7" s="87" t="e">
        <f>Financials!AL14/Financials!AL5</f>
        <v>#DIV/0!</v>
      </c>
    </row>
    <row r="8" spans="1:38" s="3" customFormat="1">
      <c r="A8" s="8" t="s">
        <v>178</v>
      </c>
      <c r="B8" s="72" t="s">
        <v>179</v>
      </c>
      <c r="C8" s="87">
        <f>Financials!C14/Financials!C6</f>
        <v>0.15945959284854103</v>
      </c>
      <c r="D8" s="87">
        <f>Financials!D14/Financials!D6</f>
        <v>0.16520085311479391</v>
      </c>
      <c r="E8" s="87">
        <f>Financials!E14/Financials!E6</f>
        <v>0.17036452006005134</v>
      </c>
      <c r="F8" s="87">
        <f>Financials!F14/Financials!F6</f>
        <v>0.17931314801061338</v>
      </c>
      <c r="G8" s="87">
        <f>Financials!G14/Financials!G6</f>
        <v>0.18555987899649254</v>
      </c>
      <c r="H8" s="87">
        <f>Financials!H14/Financials!H6</f>
        <v>0.19116674546498874</v>
      </c>
      <c r="I8" s="87">
        <f>Financials!I14/Financials!I6</f>
        <v>0.1940842061546551</v>
      </c>
      <c r="J8" s="87">
        <f>Financials!J14/Financials!J6</f>
        <v>0.19575296325621716</v>
      </c>
      <c r="K8" s="87">
        <f>Financials!K14/Financials!K6</f>
        <v>0.19740263534506031</v>
      </c>
      <c r="L8" s="87"/>
      <c r="M8" s="87">
        <f>Financials!M14/Financials!M6</f>
        <v>0.20337488959422373</v>
      </c>
      <c r="N8" s="87">
        <f>Financials!N14/Financials!N6</f>
        <v>0.20261385173967514</v>
      </c>
      <c r="O8" s="87">
        <f>Financials!O14/Financials!O6</f>
        <v>0.15077100833307649</v>
      </c>
      <c r="P8" s="87">
        <f>Financials!P14/Financials!P6</f>
        <v>0.14600099545407008</v>
      </c>
      <c r="Q8" s="87">
        <f>Financials!Q14/Financials!Q6</f>
        <v>0.13715806619871521</v>
      </c>
      <c r="R8" s="87">
        <f>Financials!R14/Financials!R6</f>
        <v>0.15603579805907769</v>
      </c>
      <c r="S8" s="87">
        <f>Financials!S14/Financials!S6</f>
        <v>0.16210729836994336</v>
      </c>
      <c r="T8" s="87">
        <f>Financials!T14/Financials!T6</f>
        <v>0.17434006069724578</v>
      </c>
      <c r="U8" s="87">
        <f>Financials!U14/Financials!U6</f>
        <v>0.17655373953942033</v>
      </c>
      <c r="V8" s="87">
        <f>Financials!V14/Financials!V6</f>
        <v>0.23281294487881193</v>
      </c>
      <c r="W8" s="87">
        <f>Financials!W14/Financials!W6</f>
        <v>0.2328998041624725</v>
      </c>
      <c r="X8" s="87">
        <f>Financials!X14/Financials!X6</f>
        <v>0.23259096567904661</v>
      </c>
      <c r="Y8" s="87">
        <f>Financials!Y14/Financials!Y6</f>
        <v>0.22916346520594388</v>
      </c>
      <c r="Z8" s="87">
        <f>Financials!Z14/Financials!Z6</f>
        <v>0.23657920981708938</v>
      </c>
      <c r="AA8" s="87">
        <f>Financials!AA14/Financials!AA6</f>
        <v>0.13537514853895666</v>
      </c>
      <c r="AB8" s="87">
        <f>Financials!AB14/Financials!AB6</f>
        <v>-2.3717310800396025</v>
      </c>
      <c r="AC8" s="87">
        <f>Financials!AC14/Financials!AC6</f>
        <v>0.14688529119993016</v>
      </c>
      <c r="AD8" s="87">
        <f>Financials!AD14/Financials!AD6</f>
        <v>0.17756446603116383</v>
      </c>
      <c r="AE8" s="87">
        <f>Financials!AE14/Financials!AE6</f>
        <v>0.18335553757866407</v>
      </c>
      <c r="AF8" s="87">
        <f>Financials!AF14/Financials!AF6</f>
        <v>0.18404033858744026</v>
      </c>
      <c r="AG8" s="87">
        <f>Financials!AG14/Financials!AG6</f>
        <v>0.19383526334801662</v>
      </c>
      <c r="AH8" s="87">
        <f>Financials!AH14/Financials!AH6</f>
        <v>0.20231504760152724</v>
      </c>
      <c r="AI8" s="87">
        <f>Financials!AI14/Financials!AI6</f>
        <v>0.2189316465339459</v>
      </c>
      <c r="AJ8" s="87">
        <f>Financials!AJ14/Financials!AJ6</f>
        <v>0.1982007297608824</v>
      </c>
      <c r="AK8" s="87">
        <f>Financials!AK14/Financials!AK6</f>
        <v>0.21664256892537773</v>
      </c>
      <c r="AL8" s="87" t="e">
        <f>Financials!AL14/Financials!AL6</f>
        <v>#DIV/0!</v>
      </c>
    </row>
    <row r="9" spans="1:38" s="3" customFormat="1">
      <c r="A9" s="10" t="s">
        <v>180</v>
      </c>
      <c r="B9" s="72" t="s">
        <v>181</v>
      </c>
      <c r="C9" s="87">
        <f>Financials!C18/Financials!C5</f>
        <v>6.9537377988309487E-2</v>
      </c>
      <c r="D9" s="87">
        <f>Financials!D18/Financials!D5</f>
        <v>6.8477282827165517E-2</v>
      </c>
      <c r="E9" s="87">
        <f>Financials!E18/Financials!E5</f>
        <v>6.727094594848565E-2</v>
      </c>
      <c r="F9" s="87">
        <f>Financials!F18/Financials!F5</f>
        <v>6.9444646381381481E-2</v>
      </c>
      <c r="G9" s="87">
        <f>Financials!G18/Financials!G5</f>
        <v>6.6116021093226354E-2</v>
      </c>
      <c r="H9" s="87">
        <f>Financials!H18/Financials!H5</f>
        <v>6.4651730438949215E-2</v>
      </c>
      <c r="I9" s="87">
        <f>Financials!I18/Financials!I5</f>
        <v>6.5174388544386577E-2</v>
      </c>
      <c r="J9" s="87">
        <f>Financials!J18/Financials!J5</f>
        <v>6.527690824144694E-2</v>
      </c>
      <c r="K9" s="87">
        <f>Financials!K18/Financials!K5</f>
        <v>6.4951513276250719E-2</v>
      </c>
      <c r="L9" s="87"/>
      <c r="M9" s="87">
        <f>Financials!M18/Financials!M5</f>
        <v>6.4345099105116529E-2</v>
      </c>
      <c r="N9" s="87">
        <f>Financials!N18/Financials!N5</f>
        <v>6.4046030644314647E-2</v>
      </c>
      <c r="O9" s="87">
        <f>Financials!O18/Financials!O5</f>
        <v>6.2192562490574137E-2</v>
      </c>
      <c r="P9" s="87">
        <f>Financials!P18/Financials!P5</f>
        <v>8.7158733624335072E-2</v>
      </c>
      <c r="Q9" s="87">
        <f>Financials!Q18/Financials!Q5</f>
        <v>6.3266893487672102E-2</v>
      </c>
      <c r="R9" s="87">
        <f>Financials!R18/Financials!R5</f>
        <v>6.5396447416036826E-2</v>
      </c>
      <c r="S9" s="87">
        <f>Financials!S18/Financials!S5</f>
        <v>6.5010152815921665E-2</v>
      </c>
      <c r="T9" s="87">
        <f>Financials!T18/Financials!T5</f>
        <v>6.4450422326865167E-2</v>
      </c>
      <c r="U9" s="87">
        <f>Financials!U18/Financials!U5</f>
        <v>6.4228552202847927E-2</v>
      </c>
      <c r="V9" s="87">
        <f>Financials!V18/Financials!V5</f>
        <v>9.4036827640458218E-2</v>
      </c>
      <c r="W9" s="87">
        <f>Financials!W18/Financials!W5</f>
        <v>9.3326057100448293E-2</v>
      </c>
      <c r="X9" s="87">
        <f>Financials!X18/Financials!X5</f>
        <v>9.2522984429979999E-2</v>
      </c>
      <c r="Y9" s="87">
        <f>Financials!Y18/Financials!Y5</f>
        <v>9.050389308465577E-2</v>
      </c>
      <c r="Z9" s="87">
        <f>Financials!Z18/Financials!Z5</f>
        <v>9.0424765077460237E-2</v>
      </c>
      <c r="AA9" s="87">
        <f>Financials!AA18/Financials!AA5</f>
        <v>6.3319424971064672E-2</v>
      </c>
      <c r="AB9" s="87">
        <f>Financials!AB18/Financials!AB5</f>
        <v>0</v>
      </c>
      <c r="AC9" s="87">
        <f>Financials!AC18/Financials!AC5</f>
        <v>9.2211774320786657E-2</v>
      </c>
      <c r="AD9" s="87">
        <f>Financials!AD18/Financials!AD5</f>
        <v>9.5528885451221957E-2</v>
      </c>
      <c r="AE9" s="87">
        <f>Financials!AE18/Financials!AE5</f>
        <v>9.4534597354473865E-2</v>
      </c>
      <c r="AF9" s="87">
        <f>Financials!AF18/Financials!AF5</f>
        <v>9.2592070506529775E-2</v>
      </c>
      <c r="AG9" s="87">
        <f>Financials!AG18/Financials!AG5</f>
        <v>9.2604627197141812E-2</v>
      </c>
      <c r="AH9" s="87">
        <f>Financials!AH18/Financials!AH5</f>
        <v>9.0991214897750361E-2</v>
      </c>
      <c r="AI9" s="87">
        <f>Financials!AI18/Financials!AI5</f>
        <v>8.484107664356319E-2</v>
      </c>
      <c r="AJ9" s="87">
        <f>Financials!AJ18/Financials!AJ5</f>
        <v>0.11767861271531374</v>
      </c>
      <c r="AK9" s="87">
        <f>Financials!AK18/Financials!AK5</f>
        <v>8.3877044275320972E-2</v>
      </c>
      <c r="AL9" s="87" t="e">
        <f>Financials!AL18/Financials!AL5</f>
        <v>#DIV/0!</v>
      </c>
    </row>
    <row r="10" spans="1:38" s="3" customFormat="1">
      <c r="A10" s="10" t="s">
        <v>182</v>
      </c>
      <c r="B10" s="72" t="s">
        <v>179</v>
      </c>
      <c r="C10" s="87">
        <f>Financials!C15/Financials!C5</f>
        <v>4.7846842444176134E-2</v>
      </c>
      <c r="D10" s="87">
        <f>Financials!D15/Financials!D5</f>
        <v>5.0004062033521368E-2</v>
      </c>
      <c r="E10" s="87">
        <f>Financials!E15/Financials!E5</f>
        <v>5.4090453991638233E-2</v>
      </c>
      <c r="F10" s="87">
        <f>Financials!F15/Financials!F5</f>
        <v>6.7209586498337623E-2</v>
      </c>
      <c r="G10" s="87">
        <f>Financials!G15/Financials!G5</f>
        <v>6.7034988111521976E-2</v>
      </c>
      <c r="H10" s="87">
        <f>Financials!H15/Financials!H5</f>
        <v>7.0044884176928446E-2</v>
      </c>
      <c r="I10" s="87">
        <f>Financials!I15/Financials!I5</f>
        <v>7.2404177110893933E-2</v>
      </c>
      <c r="J10" s="87">
        <f>Financials!J15/Financials!J5</f>
        <v>7.468831494422154E-2</v>
      </c>
      <c r="K10" s="87">
        <f>Financials!K15/Financials!K5</f>
        <v>7.6407894513119329E-2</v>
      </c>
      <c r="L10" s="87"/>
      <c r="M10" s="87">
        <f>Financials!M15/Financials!M5</f>
        <v>8.1466128337624358E-2</v>
      </c>
      <c r="N10" s="87">
        <f>Financials!N15/Financials!N5</f>
        <v>8.1728805319075948E-2</v>
      </c>
      <c r="O10" s="87">
        <f>Financials!O15/Financials!O5</f>
        <v>4.2634226548814096E-2</v>
      </c>
      <c r="P10" s="87">
        <f>Financials!P15/Financials!P5</f>
        <v>5.6864289976342949E-2</v>
      </c>
      <c r="Q10" s="87">
        <f>Financials!Q15/Financials!Q5</f>
        <v>4.1885493776358633E-2</v>
      </c>
      <c r="R10" s="87">
        <f>Financials!R15/Financials!R5</f>
        <v>5.2090932900457201E-2</v>
      </c>
      <c r="S10" s="87">
        <f>Financials!S15/Financials!S5</f>
        <v>5.6873229274609104E-2</v>
      </c>
      <c r="T10" s="87">
        <f>Financials!T15/Financials!T5</f>
        <v>6.5628152199308981E-2</v>
      </c>
      <c r="U10" s="87">
        <f>Financials!U15/Financials!U5</f>
        <v>6.7492371121477393E-2</v>
      </c>
      <c r="V10" s="87">
        <f>Financials!V15/Financials!V5</f>
        <v>7.2035866178065719E-2</v>
      </c>
      <c r="W10" s="87">
        <f>Financials!W15/Financials!W5</f>
        <v>7.3110110794915237E-2</v>
      </c>
      <c r="X10" s="87">
        <f>Financials!X15/Financials!X5</f>
        <v>7.388095418058381E-2</v>
      </c>
      <c r="Y10" s="87">
        <f>Financials!Y15/Financials!Y5</f>
        <v>7.4851053293800499E-2</v>
      </c>
      <c r="Z10" s="87">
        <f>Financials!Z15/Financials!Z5</f>
        <v>7.9468322235651825E-2</v>
      </c>
      <c r="AA10" s="87">
        <f>Financials!AA15/Financials!AA5</f>
        <v>3.3096927914606014E-2</v>
      </c>
      <c r="AB10" s="87">
        <f>Financials!AB15/Financials!AB5</f>
        <v>0.56900638958422756</v>
      </c>
      <c r="AC10" s="286">
        <f>Financials!AC15/Financials!AC5</f>
        <v>1.5175310488892412E-2</v>
      </c>
      <c r="AD10" s="286">
        <f>Financials!AD15/Financials!AD5</f>
        <v>3.9400630428141077E-2</v>
      </c>
      <c r="AE10" s="286">
        <f>Financials!AE15/Financials!AE5</f>
        <v>4.4419142025755462E-2</v>
      </c>
      <c r="AF10" s="286">
        <f>Financials!AF15/Financials!AF5</f>
        <v>4.7280795164926143E-2</v>
      </c>
      <c r="AG10" s="286">
        <f>Financials!AG15/Financials!AG5</f>
        <v>5.4295275181905377E-2</v>
      </c>
      <c r="AH10" s="286">
        <f>Financials!AH15/Financials!AH5</f>
        <v>5.9395720304660983E-2</v>
      </c>
      <c r="AI10" s="286">
        <f>Financials!AI15/Financials!AI5</f>
        <v>6.8790511028367779E-2</v>
      </c>
      <c r="AJ10" s="286">
        <f>Financials!AJ15/Financials!AJ5</f>
        <v>7.6799298510673644E-2</v>
      </c>
      <c r="AK10" s="286">
        <f>Financials!AK15/Financials!AK5</f>
        <v>6.8346148606704876E-2</v>
      </c>
      <c r="AL10" s="286" t="e">
        <f>Financials!AL15/Financials!AL5</f>
        <v>#DIV/0!</v>
      </c>
    </row>
    <row r="11" spans="1:38" s="3" customFormat="1">
      <c r="A11" s="8"/>
      <c r="B11" s="11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</row>
    <row r="12" spans="1:38" s="3" customFormat="1">
      <c r="A12" s="6" t="s">
        <v>183</v>
      </c>
      <c r="B12" s="7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s="3" customFormat="1">
      <c r="A13" s="6" t="s">
        <v>184</v>
      </c>
      <c r="B13" s="7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s="3" customFormat="1">
      <c r="A14" s="10" t="s">
        <v>185</v>
      </c>
      <c r="B14" s="72" t="s">
        <v>186</v>
      </c>
      <c r="C14" s="87">
        <f>Financials!C38/Financials!C5</f>
        <v>0.28990074564716589</v>
      </c>
      <c r="D14" s="87">
        <f>Financials!D38/Financials!D5</f>
        <v>0.3004495955969439</v>
      </c>
      <c r="E14" s="87">
        <f>Financials!E38/Financials!E5</f>
        <v>0.30154050924964487</v>
      </c>
      <c r="F14" s="87">
        <f>Financials!F38/Financials!F5</f>
        <v>0.31002423069272811</v>
      </c>
      <c r="G14" s="87">
        <f>Financials!G38/Financials!G5</f>
        <v>0.28984963775145461</v>
      </c>
      <c r="H14" s="87">
        <f>Financials!H38/Financials!H5</f>
        <v>0.2621241856685998</v>
      </c>
      <c r="I14" s="87">
        <f>Financials!I38/Financials!I5</f>
        <v>0.2953484397581681</v>
      </c>
      <c r="J14" s="87">
        <f>Financials!J38/Financials!J5</f>
        <v>0.25546798634350526</v>
      </c>
      <c r="K14" s="87">
        <f>Financials!K38/Financials!K5</f>
        <v>0.28999113856995617</v>
      </c>
      <c r="L14" s="87"/>
      <c r="M14" s="87">
        <f>Financials!M38/Financials!M5</f>
        <v>0.25148608099308761</v>
      </c>
      <c r="N14" s="87">
        <f>Financials!N38/Financials!N5</f>
        <v>0.24914539140157643</v>
      </c>
      <c r="O14" s="87">
        <f>Financials!O38/Financials!O5</f>
        <v>0.33500216594617471</v>
      </c>
      <c r="P14" s="87">
        <f>Financials!P38/Financials!P5</f>
        <v>1.4115850902910022E-2</v>
      </c>
      <c r="Q14" s="87">
        <f>Financials!Q38/Financials!Q5</f>
        <v>0.25249954569709915</v>
      </c>
      <c r="R14" s="87">
        <f>Financials!R38/Financials!R5</f>
        <v>0.30844631333789274</v>
      </c>
      <c r="S14" s="87">
        <f>Financials!S38/Financials!S5</f>
        <v>0.27869444581003366</v>
      </c>
      <c r="T14" s="87">
        <f>Financials!T38/Financials!T5</f>
        <v>0.27271603256099025</v>
      </c>
      <c r="U14" s="87">
        <f>Financials!U38/Financials!U5</f>
        <v>0.27379141686378305</v>
      </c>
      <c r="V14" s="87">
        <f>Financials!V38/Financials!V5</f>
        <v>0.3025888203638441</v>
      </c>
      <c r="W14" s="87">
        <f>Financials!W38/Financials!W5</f>
        <v>0.26652455118795587</v>
      </c>
      <c r="X14" s="87">
        <f>Financials!X38/Financials!X5</f>
        <v>0.29687234571620125</v>
      </c>
      <c r="Y14" s="87">
        <f>Financials!Y38/Financials!Y5</f>
        <v>0.29396006094088106</v>
      </c>
      <c r="Z14" s="87">
        <f>Financials!Z38/Financials!Z5</f>
        <v>0.26495760940218338</v>
      </c>
      <c r="AA14" s="87">
        <f>Financials!AA38/Financials!AA5</f>
        <v>0.29279685972353592</v>
      </c>
      <c r="AB14" s="87">
        <f>Financials!AB38/Financials!AB5</f>
        <v>2.6643513013816329</v>
      </c>
      <c r="AC14" s="286">
        <f>Financials!AC38/Financials!AC5</f>
        <v>0.3025884456932047</v>
      </c>
      <c r="AD14" s="286">
        <f>Financials!AD38/Financials!AD5</f>
        <v>0.22538989034391843</v>
      </c>
      <c r="AE14" s="286">
        <f>Financials!AE38/Financials!AE5</f>
        <v>0.27828068346237284</v>
      </c>
      <c r="AF14" s="286">
        <f>Financials!AF38/Financials!AF5</f>
        <v>0.26568053518681056</v>
      </c>
      <c r="AG14" s="286">
        <f>Financials!AG38/Financials!AG5</f>
        <v>0.3171152835076565</v>
      </c>
      <c r="AH14" s="286">
        <f>Financials!AH38/Financials!AH5</f>
        <v>0.2983611493234391</v>
      </c>
      <c r="AI14" s="286">
        <f>Financials!AI38/Financials!AI5</f>
        <v>0.24766786248128625</v>
      </c>
      <c r="AJ14" s="286">
        <f>Financials!AJ38/Financials!AJ5</f>
        <v>1.4684091860923282E-2</v>
      </c>
      <c r="AK14" s="286">
        <f>Financials!AK38/Financials!AK5</f>
        <v>0.28796705757613311</v>
      </c>
      <c r="AL14" s="286" t="e">
        <f>Financials!AL38/Financials!AL5</f>
        <v>#DIV/0!</v>
      </c>
    </row>
    <row r="15" spans="1:38" s="3" customFormat="1">
      <c r="A15" s="8" t="s">
        <v>187</v>
      </c>
      <c r="B15" s="72" t="s">
        <v>188</v>
      </c>
      <c r="C15" s="87">
        <f>Financials!C39/Financials!C5</f>
        <v>5.1448347711486528E-3</v>
      </c>
      <c r="D15" s="87">
        <f>Financials!D39/Financials!D5</f>
        <v>5.0664066256431205E-3</v>
      </c>
      <c r="E15" s="87">
        <f>Financials!E39/Financials!E5</f>
        <v>5.4670498113771329E-3</v>
      </c>
      <c r="F15" s="87">
        <f>Financials!F39/Financials!F5</f>
        <v>6.5274598530788569E-3</v>
      </c>
      <c r="G15" s="87">
        <f>Financials!G39/Financials!G5</f>
        <v>6.2145852246294443E-3</v>
      </c>
      <c r="H15" s="87">
        <f>Financials!H39/Financials!H5</f>
        <v>6.0769186531739868E-3</v>
      </c>
      <c r="I15" s="87">
        <f>Financials!I39/Financials!I5</f>
        <v>6.1260652062751593E-3</v>
      </c>
      <c r="J15" s="87">
        <f>Financials!J39/Financials!J5</f>
        <v>6.1356182805397657E-3</v>
      </c>
      <c r="K15" s="87">
        <f>Financials!K39/Financials!K5</f>
        <v>6.3332749785115529E-3</v>
      </c>
      <c r="L15" s="87"/>
      <c r="M15" s="87">
        <f>Financials!M39/Financials!M5</f>
        <v>6.2741349350417426E-3</v>
      </c>
      <c r="N15" s="87">
        <f>Financials!N39/Financials!N5</f>
        <v>5.3255636262829146E-3</v>
      </c>
      <c r="O15" s="87">
        <f>Financials!O39/Financials!O5</f>
        <v>3.4401987867016488E-2</v>
      </c>
      <c r="P15" s="87">
        <f>Financials!P39/Financials!P5</f>
        <v>7.247420859647637E-3</v>
      </c>
      <c r="Q15" s="87">
        <f>Financials!Q39/Financials!Q5</f>
        <v>6.2976059032550952E-3</v>
      </c>
      <c r="R15" s="87">
        <f>Financials!R39/Financials!R5</f>
        <v>6.8165405519131552E-3</v>
      </c>
      <c r="S15" s="87">
        <f>Financials!S39/Financials!S5</f>
        <v>6.3815558000391223E-3</v>
      </c>
      <c r="T15" s="87">
        <f>Financials!T39/Financials!T5</f>
        <v>6.3668091034429055E-3</v>
      </c>
      <c r="U15" s="87">
        <f>Financials!U39/Financials!U5</f>
        <v>6.3520447895901834E-3</v>
      </c>
      <c r="V15" s="87">
        <f>Financials!V39/Financials!V5</f>
        <v>6.3018368765007365E-3</v>
      </c>
      <c r="W15" s="87">
        <f>Financials!W39/Financials!W5</f>
        <v>6.3886606765031027E-3</v>
      </c>
      <c r="X15" s="87">
        <f>Financials!X39/Financials!X5</f>
        <v>6.3509626859769531E-3</v>
      </c>
      <c r="Y15" s="87">
        <f>Financials!Y39/Financials!Y5</f>
        <v>6.345656882355357E-3</v>
      </c>
      <c r="Z15" s="87">
        <f>Financials!Z39/Financials!Z5</f>
        <v>6.3713950087013011E-3</v>
      </c>
      <c r="AA15" s="87">
        <f>Financials!AA39/Financials!AA5</f>
        <v>3.5025314963202742E-2</v>
      </c>
      <c r="AB15" s="87">
        <f>Financials!AB39/Financials!AB5</f>
        <v>0</v>
      </c>
      <c r="AC15" s="87">
        <f>Financials!AC39/Financials!AC5</f>
        <v>3.4318470021134598E-2</v>
      </c>
      <c r="AD15" s="87">
        <f>Financials!AD39/Financials!AD5</f>
        <v>5.4298292898272817E-3</v>
      </c>
      <c r="AE15" s="87">
        <f>Financials!AE39/Financials!AE5</f>
        <v>5.4690183647110851E-3</v>
      </c>
      <c r="AF15" s="87">
        <f>Financials!AF39/Financials!AF5</f>
        <v>5.3582090299510148E-3</v>
      </c>
      <c r="AG15" s="87">
        <f>Financials!AG39/Financials!AG5</f>
        <v>5.3629539439306161E-3</v>
      </c>
      <c r="AH15" s="87">
        <f>Financials!AH39/Financials!AH5</f>
        <v>5.2697143798618807E-3</v>
      </c>
      <c r="AI15" s="87">
        <f>Financials!AI39/Financials!AI5</f>
        <v>4.9302723274139018E-3</v>
      </c>
      <c r="AJ15" s="87">
        <f>Financials!AJ39/Financials!AJ5</f>
        <v>6.8417555941507726E-3</v>
      </c>
      <c r="AK15" s="87">
        <f>Financials!AK39/Financials!AK5</f>
        <v>4.8765588320143468E-3</v>
      </c>
      <c r="AL15" s="87" t="e">
        <f>Financials!AL39/Financials!AL5</f>
        <v>#DIV/0!</v>
      </c>
    </row>
    <row r="16" spans="1:38" s="3" customFormat="1">
      <c r="A16" s="8" t="s">
        <v>189</v>
      </c>
      <c r="B16" s="72" t="s">
        <v>190</v>
      </c>
      <c r="C16" s="228">
        <f>Financials!C34/Financials!C32</f>
        <v>0</v>
      </c>
      <c r="D16" s="228">
        <f>Financials!D34/Financials!D32</f>
        <v>0</v>
      </c>
      <c r="E16" s="228">
        <f>Financials!E34/Financials!E32</f>
        <v>0</v>
      </c>
      <c r="F16" s="228">
        <f>Financials!F34/Financials!F32</f>
        <v>0</v>
      </c>
      <c r="G16" s="228">
        <f>Financials!G34/Financials!G32</f>
        <v>0</v>
      </c>
      <c r="H16" s="228">
        <f>Financials!H34/Financials!H32</f>
        <v>0</v>
      </c>
      <c r="I16" s="228">
        <f>Financials!I34/Financials!I32</f>
        <v>0</v>
      </c>
      <c r="J16" s="228">
        <f>Financials!J34/Financials!J32</f>
        <v>0</v>
      </c>
      <c r="K16" s="228">
        <f>Financials!K34/Financials!K32</f>
        <v>0</v>
      </c>
      <c r="L16" s="228"/>
      <c r="M16" s="228">
        <f>Financials!M34/Financials!M32</f>
        <v>0</v>
      </c>
      <c r="N16" s="228">
        <f>Financials!N34/Financials!N32</f>
        <v>0</v>
      </c>
      <c r="O16" s="228">
        <f>Financials!O34/Financials!O32</f>
        <v>0</v>
      </c>
      <c r="P16" s="228">
        <f>Financials!P34/Financials!P32</f>
        <v>0</v>
      </c>
      <c r="Q16" s="228">
        <f>Financials!Q34/Financials!Q32</f>
        <v>0</v>
      </c>
      <c r="R16" s="228">
        <f>Financials!R34/Financials!R32</f>
        <v>0</v>
      </c>
      <c r="S16" s="228">
        <f>Financials!S34/Financials!S32</f>
        <v>0</v>
      </c>
      <c r="T16" s="228">
        <f>Financials!T34/Financials!T32</f>
        <v>0</v>
      </c>
      <c r="U16" s="228">
        <f>Financials!U34/Financials!U32</f>
        <v>0</v>
      </c>
      <c r="V16" s="228">
        <f>Financials!V34/Financials!V32</f>
        <v>0</v>
      </c>
      <c r="W16" s="228">
        <f>Financials!W34/Financials!W32</f>
        <v>0</v>
      </c>
      <c r="X16" s="228">
        <f>Financials!X34/Financials!X32</f>
        <v>0</v>
      </c>
      <c r="Y16" s="228">
        <f>Financials!Y34/Financials!Y32</f>
        <v>0</v>
      </c>
      <c r="Z16" s="228">
        <f>Financials!Z34/Financials!Z32</f>
        <v>0</v>
      </c>
      <c r="AA16" s="228">
        <f>Financials!AA34/Financials!AA32</f>
        <v>0</v>
      </c>
      <c r="AB16" s="228">
        <f>Financials!AB34/Financials!AB32</f>
        <v>0</v>
      </c>
      <c r="AC16" s="287">
        <f>Financials!AC34/Financials!AC32</f>
        <v>8.6495123739208243E-2</v>
      </c>
      <c r="AD16" s="287">
        <f>Financials!AD34/Financials!AD32</f>
        <v>8.1567583150881043E-2</v>
      </c>
      <c r="AE16" s="287">
        <f>Financials!AE34/Financials!AE32</f>
        <v>7.9927105548247585E-2</v>
      </c>
      <c r="AF16" s="287">
        <f>Financials!AF34/Financials!AF32</f>
        <v>7.9057529727193765E-2</v>
      </c>
      <c r="AG16" s="287">
        <f>Financials!AG34/Financials!AG32</f>
        <v>7.7736595501832872E-2</v>
      </c>
      <c r="AH16" s="287">
        <f>Financials!AH34/Financials!AH32</f>
        <v>7.4053441855909105E-2</v>
      </c>
      <c r="AI16" s="287">
        <f>Financials!AI34/Financials!AI32</f>
        <v>7.2488321913860607E-2</v>
      </c>
      <c r="AJ16" s="287">
        <f>Financials!AJ34/Financials!AJ32</f>
        <v>7.3198116833728871E-2</v>
      </c>
      <c r="AK16" s="287">
        <f>Financials!AK34/Financials!AK32</f>
        <v>7.2122303937646251E-2</v>
      </c>
      <c r="AL16" s="287" t="e">
        <f>Financials!AL34/Financials!AL32</f>
        <v>#DIV/0!</v>
      </c>
    </row>
    <row r="17" spans="1:38" s="3" customFormat="1">
      <c r="A17" s="8"/>
      <c r="B17" s="72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</row>
    <row r="18" spans="1:38" s="3" customFormat="1">
      <c r="A18" s="6" t="s">
        <v>191</v>
      </c>
      <c r="B18" s="72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</row>
    <row r="19" spans="1:38" s="3" customFormat="1">
      <c r="A19" s="8" t="s">
        <v>192</v>
      </c>
      <c r="B19" s="72" t="s">
        <v>188</v>
      </c>
      <c r="C19" s="9">
        <f>Financials!C26/Financials!C6</f>
        <v>0.10438508714421117</v>
      </c>
      <c r="D19" s="9">
        <f>Financials!D26/Financials!D6</f>
        <v>9.0734486077812884E-2</v>
      </c>
      <c r="E19" s="9">
        <f>Financials!E26/Financials!E6</f>
        <v>8.9740825424665868E-2</v>
      </c>
      <c r="F19" s="9">
        <f>Financials!F26/Financials!F6</f>
        <v>8.6544096054689407E-2</v>
      </c>
      <c r="G19" s="9">
        <f>Financials!G26/Financials!G6</f>
        <v>8.7509651950408968E-2</v>
      </c>
      <c r="H19" s="9">
        <f>Financials!H26/Financials!H6</f>
        <v>8.7145161487244355E-2</v>
      </c>
      <c r="I19" s="9">
        <f>Financials!I26/Financials!I6</f>
        <v>8.7322311550212264E-2</v>
      </c>
      <c r="J19" s="9">
        <f>Financials!J26/Financials!J6</f>
        <v>8.6706314552038796E-2</v>
      </c>
      <c r="K19" s="9">
        <f>Financials!K26/Financials!K6</f>
        <v>8.6138925079219789E-2</v>
      </c>
      <c r="L19" s="9"/>
      <c r="M19" s="9">
        <f>Financials!M26/Financials!M6</f>
        <v>8.5232081170284649E-2</v>
      </c>
      <c r="N19" s="9">
        <f>Financials!N26/Financials!N6</f>
        <v>8.4539456828924955E-2</v>
      </c>
      <c r="O19" s="9">
        <f>Financials!O26/Financials!O6</f>
        <v>8.307969422196966E-2</v>
      </c>
      <c r="P19" s="9">
        <f>Financials!P26/Financials!P6</f>
        <v>8.3910184972226062E-2</v>
      </c>
      <c r="Q19" s="9">
        <f>Financials!Q26/Financials!Q6</f>
        <v>7.8349760756755787E-2</v>
      </c>
      <c r="R19" s="9">
        <f>Financials!R26/Financials!R6</f>
        <v>8.2476572057945008E-2</v>
      </c>
      <c r="S19" s="9">
        <f>Financials!S26/Financials!S6</f>
        <v>8.2111273935211851E-2</v>
      </c>
      <c r="T19" s="9">
        <f>Financials!T26/Financials!T6</f>
        <v>8.2031438793407851E-2</v>
      </c>
      <c r="U19" s="9">
        <f>Financials!U26/Financials!U6</f>
        <v>8.1754942243849368E-2</v>
      </c>
      <c r="V19" s="9">
        <f>Financials!V26/Financials!V6</f>
        <v>8.4824433063064086E-2</v>
      </c>
      <c r="W19" s="9">
        <f>Financials!W26/Financials!W6</f>
        <v>8.4038543923932285E-2</v>
      </c>
      <c r="X19" s="9">
        <f>Financials!X26/Financials!X6</f>
        <v>8.3218285141785309E-2</v>
      </c>
      <c r="Y19" s="9">
        <f>Financials!Y26/Financials!Y6</f>
        <v>8.0717908873322267E-2</v>
      </c>
      <c r="Z19" s="9">
        <f>Financials!Z26/Financials!Z6</f>
        <v>8.1032973121441504E-2</v>
      </c>
      <c r="AA19" s="9">
        <f>Financials!AA26/Financials!AA6</f>
        <v>8.7288759885939871E-2</v>
      </c>
      <c r="AB19" s="9">
        <f>Financials!AB26/Financials!AB6</f>
        <v>0.77270515648538263</v>
      </c>
      <c r="AC19" s="9">
        <f>Financials!AC26/Financials!AC6</f>
        <v>8.2104691138411401E-2</v>
      </c>
      <c r="AD19" s="9">
        <f>Financials!AD26/Financials!AD6</f>
        <v>8.195173573107789E-2</v>
      </c>
      <c r="AE19" s="9">
        <f>Financials!AE26/Financials!AE6</f>
        <v>8.1318367551546367E-2</v>
      </c>
      <c r="AF19" s="9">
        <f>Financials!AF26/Financials!AF6</f>
        <v>7.9405873365591462E-2</v>
      </c>
      <c r="AG19" s="9">
        <f>Financials!AG26/Financials!AG6</f>
        <v>7.9642769849948336E-2</v>
      </c>
      <c r="AH19" s="9">
        <f>Financials!AH26/Financials!AH6</f>
        <v>7.9787739421027001E-2</v>
      </c>
      <c r="AI19" s="9">
        <f>Financials!AI26/Financials!AI6</f>
        <v>7.8787695467233937E-2</v>
      </c>
      <c r="AJ19" s="9">
        <f>Financials!AJ26/Financials!AJ6</f>
        <v>7.8046531361684574E-2</v>
      </c>
      <c r="AK19" s="9">
        <f>Financials!AK26/Financials!AK6</f>
        <v>7.7683273926772753E-2</v>
      </c>
      <c r="AL19" s="9" t="e">
        <f>Financials!AL26/Financials!AL6</f>
        <v>#DIV/0!</v>
      </c>
    </row>
    <row r="20" spans="1:38" s="3" customFormat="1">
      <c r="A20" s="8" t="s">
        <v>193</v>
      </c>
      <c r="B20" s="72" t="s">
        <v>194</v>
      </c>
      <c r="C20" s="9">
        <f>Financials!C26/Financials!C14</f>
        <v>0.6546177955148732</v>
      </c>
      <c r="D20" s="9">
        <f>Financials!D26/Financials!D14</f>
        <v>0.54923739416020922</v>
      </c>
      <c r="E20" s="9">
        <f>Financials!E26/Financials!E14</f>
        <v>0.52675771570884211</v>
      </c>
      <c r="F20" s="9">
        <f>Financials!F26/Financials!F14</f>
        <v>0.4826422212473061</v>
      </c>
      <c r="G20" s="9">
        <f>Financials!G26/Financials!G14</f>
        <v>0.47159791450426131</v>
      </c>
      <c r="H20" s="9">
        <f>Financials!H26/Financials!H14</f>
        <v>0.45585941882974912</v>
      </c>
      <c r="I20" s="9">
        <f>Financials!I26/Financials!I14</f>
        <v>0.4499197192822062</v>
      </c>
      <c r="J20" s="9">
        <f>Financials!J26/Financials!J14</f>
        <v>0.44293743047225614</v>
      </c>
      <c r="K20" s="9">
        <f>Financials!K26/Financials!K14</f>
        <v>0.43636157606836773</v>
      </c>
      <c r="L20" s="9"/>
      <c r="M20" s="9">
        <f>Financials!M26/Financials!M14</f>
        <v>0.41908851845151984</v>
      </c>
      <c r="N20" s="9">
        <f>Financials!N26/Financials!N14</f>
        <v>0.41724421160278813</v>
      </c>
      <c r="O20" s="9">
        <f>Financials!O26/Financials!O14</f>
        <v>0.5510322915559055</v>
      </c>
      <c r="P20" s="9">
        <f>Financials!P26/Financials!P14</f>
        <v>0.57472337576371568</v>
      </c>
      <c r="Q20" s="9">
        <f>Financials!Q26/Financials!Q14</f>
        <v>0.57123698903163533</v>
      </c>
      <c r="R20" s="9">
        <f>Financials!R26/Financials!R14</f>
        <v>0.52857468019433607</v>
      </c>
      <c r="S20" s="9">
        <f>Financials!S26/Financials!S14</f>
        <v>0.50652422661332974</v>
      </c>
      <c r="T20" s="9">
        <f>Financials!T26/Financials!T14</f>
        <v>0.4705254688184457</v>
      </c>
      <c r="U20" s="9">
        <f>Financials!U26/Financials!U14</f>
        <v>0.4630598165585465</v>
      </c>
      <c r="V20" s="9">
        <f>Financials!V26/Financials!V14</f>
        <v>0.36434586189878082</v>
      </c>
      <c r="W20" s="9">
        <f>Financials!W26/Financials!W14</f>
        <v>0.36083561437993489</v>
      </c>
      <c r="X20" s="9">
        <f>Financials!X26/Financials!X14</f>
        <v>0.35778812345024025</v>
      </c>
      <c r="Y20" s="9">
        <f>Financials!Y26/Financials!Y14</f>
        <v>0.35222852299245416</v>
      </c>
      <c r="Z20" s="9">
        <f>Financials!Z26/Financials!Z14</f>
        <v>0.34251941742510655</v>
      </c>
      <c r="AA20" s="9">
        <f>Financials!AA26/Financials!AA14</f>
        <v>0.64479160930206436</v>
      </c>
      <c r="AB20" s="9">
        <f>Financials!AB26/Financials!AB14</f>
        <v>-0.3257979637693495</v>
      </c>
      <c r="AC20" s="9">
        <f>Financials!AC26/Financials!AC14</f>
        <v>0.5589714971981512</v>
      </c>
      <c r="AD20" s="9">
        <f>Financials!AD26/Financials!AD14</f>
        <v>0.46153229620105851</v>
      </c>
      <c r="AE20" s="9">
        <f>Financials!AE26/Financials!AE14</f>
        <v>0.44350101788804047</v>
      </c>
      <c r="AF20" s="9">
        <f>Financials!AF26/Financials!AF14</f>
        <v>0.43145907019652957</v>
      </c>
      <c r="AG20" s="9">
        <f>Financials!AG26/Financials!AG14</f>
        <v>0.41087864238075061</v>
      </c>
      <c r="AH20" s="9">
        <f>Financials!AH26/Financials!AH14</f>
        <v>0.39437372734713327</v>
      </c>
      <c r="AI20" s="9">
        <f>Financials!AI26/Financials!AI14</f>
        <v>0.35987348889288018</v>
      </c>
      <c r="AJ20" s="9">
        <f>Financials!AJ26/Financials!AJ14</f>
        <v>0.39377519677068368</v>
      </c>
      <c r="AK20" s="9">
        <f>Financials!AK26/Financials!AK14</f>
        <v>0.3585780685306158</v>
      </c>
      <c r="AL20" s="9" t="e">
        <f>Financials!AL26/Financials!AL14</f>
        <v>#DIV/0!</v>
      </c>
    </row>
    <row r="21" spans="1:38" s="3" customFormat="1">
      <c r="A21" s="10" t="s">
        <v>195</v>
      </c>
      <c r="B21" s="116" t="s">
        <v>196</v>
      </c>
      <c r="C21" s="9">
        <f>Financials!C31/Financials!C5</f>
        <v>0.52187218333267826</v>
      </c>
      <c r="D21" s="9">
        <f>Financials!D31/Financials!D5</f>
        <v>0.52572231151043125</v>
      </c>
      <c r="E21" s="9">
        <f>Financials!E31/Financials!E5</f>
        <v>0.52107152176628102</v>
      </c>
      <c r="F21" s="9">
        <f>Financials!F31/Financials!F5</f>
        <v>0.53193810803267749</v>
      </c>
      <c r="G21" s="9">
        <f>Financials!G31/Financials!G5</f>
        <v>0.50743271492327191</v>
      </c>
      <c r="H21" s="9">
        <f>Financials!H31/Financials!H5</f>
        <v>0.49501761440858011</v>
      </c>
      <c r="I21" s="9">
        <f>Financials!I31/Financials!I5</f>
        <v>0.50336373338839857</v>
      </c>
      <c r="J21" s="9">
        <f>Financials!J31/Financials!J5</f>
        <v>0.50983940742231748</v>
      </c>
      <c r="K21" s="9">
        <f>Financials!K31/Financials!K5</f>
        <v>0.51268014517298932</v>
      </c>
      <c r="L21" s="9"/>
      <c r="M21" s="9">
        <f>Financials!M31/Financials!M5</f>
        <v>0.51360321985211144</v>
      </c>
      <c r="N21" s="9">
        <f>Financials!N31/Financials!N5</f>
        <v>0.51078255765776082</v>
      </c>
      <c r="O21" s="9">
        <f>Financials!O31/Financials!O5</f>
        <v>0.4885310719246409</v>
      </c>
      <c r="P21" s="9">
        <f>Financials!P31/Financials!P5</f>
        <v>0.70583462985598366</v>
      </c>
      <c r="Q21" s="9">
        <f>Financials!Q31/Financials!Q5</f>
        <v>0.52655286458941364</v>
      </c>
      <c r="R21" s="9">
        <f>Financials!R31/Financials!R5</f>
        <v>0.53521425624718244</v>
      </c>
      <c r="S21" s="9">
        <f>Financials!S31/Financials!S5</f>
        <v>0.53102383658456465</v>
      </c>
      <c r="T21" s="9">
        <f>Financials!T31/Financials!T5</f>
        <v>0.52613708147247751</v>
      </c>
      <c r="U21" s="9">
        <f>Financials!U31/Financials!U5</f>
        <v>0.52810583179106751</v>
      </c>
      <c r="V21" s="9">
        <f>Financials!V31/Financials!V5</f>
        <v>0.52033334963727462</v>
      </c>
      <c r="W21" s="9">
        <f>Financials!W31/Financials!W5</f>
        <v>0.51903194982552014</v>
      </c>
      <c r="X21" s="9">
        <f>Financials!X31/Financials!X5</f>
        <v>0.52002927405708177</v>
      </c>
      <c r="Y21" s="9">
        <f>Financials!Y31/Financials!Y5</f>
        <v>0.53702261754460989</v>
      </c>
      <c r="Z21" s="9">
        <f>Financials!Z31/Financials!Z5</f>
        <v>0.54019732342093718</v>
      </c>
      <c r="AA21" s="9">
        <f>Financials!AA31/Financials!AA5</f>
        <v>0.49350140727964481</v>
      </c>
      <c r="AB21" s="9">
        <f>Financials!AB31/Financials!AB5</f>
        <v>0.21421375502308942</v>
      </c>
      <c r="AC21" s="9">
        <f>Financials!AC31/Financials!AC5</f>
        <v>0.5223026687137523</v>
      </c>
      <c r="AD21" s="9">
        <f>Financials!AD31/Financials!AD5</f>
        <v>0.57784446915806287</v>
      </c>
      <c r="AE21" s="9">
        <f>Financials!AE31/Financials!AE5</f>
        <v>0.5840433274850988</v>
      </c>
      <c r="AF21" s="9">
        <f>Financials!AF31/Financials!AF5</f>
        <v>0.57848497052672354</v>
      </c>
      <c r="AG21" s="9">
        <f>Financials!AG31/Financials!AG5</f>
        <v>0.58638728667472895</v>
      </c>
      <c r="AH21" s="9">
        <f>Financials!AH31/Financials!AH5</f>
        <v>0.6084362653211256</v>
      </c>
      <c r="AI21" s="9">
        <f>Financials!AI31/Financials!AI5</f>
        <v>0.5798849351503107</v>
      </c>
      <c r="AJ21" s="9">
        <f>Financials!AJ31/Financials!AJ5</f>
        <v>0.79319818171903245</v>
      </c>
      <c r="AK21" s="9">
        <f>Financials!AK31/Financials!AK5</f>
        <v>0.57413639027243202</v>
      </c>
      <c r="AL21" s="9" t="e">
        <f>Financials!AL31/Financials!AL5</f>
        <v>#DIV/0!</v>
      </c>
    </row>
    <row r="22" spans="1:38" s="3" customFormat="1">
      <c r="A22" s="6" t="s">
        <v>197</v>
      </c>
      <c r="B22" s="7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s="3" customFormat="1" hidden="1">
      <c r="A23" s="6" t="s">
        <v>198</v>
      </c>
      <c r="B23" s="7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3" customFormat="1" hidden="1">
      <c r="A24" s="10" t="s">
        <v>199</v>
      </c>
      <c r="B24" s="116" t="s">
        <v>196</v>
      </c>
      <c r="C24" s="9">
        <f>Financials!C6/Financials!C5</f>
        <v>0.73613771574081643</v>
      </c>
      <c r="D24" s="9">
        <f>Financials!D6/Financials!D5</f>
        <v>0.71719572040198354</v>
      </c>
      <c r="E24" s="9">
        <f>Financials!E6/Financials!E5</f>
        <v>0.71236311350124737</v>
      </c>
      <c r="F24" s="9">
        <f>Financials!F6/Financials!F5</f>
        <v>0.76209823092075024</v>
      </c>
      <c r="G24" s="9">
        <f>Financials!G6/Financials!G5</f>
        <v>0.7175635699097711</v>
      </c>
      <c r="H24" s="9">
        <f>Financials!H6/Financials!H5</f>
        <v>0.70460275027565755</v>
      </c>
      <c r="I24" s="9">
        <f>Financials!I6/Financials!I5</f>
        <v>0.70886018177930288</v>
      </c>
      <c r="J24" s="9">
        <f>Financials!J6/Financials!J5</f>
        <v>0.71500947345798682</v>
      </c>
      <c r="K24" s="9">
        <f>Financials!K6/Financials!K5</f>
        <v>0.71609686234569991</v>
      </c>
      <c r="L24" s="9"/>
      <c r="M24" s="9">
        <f>Financials!M6/Financials!M5</f>
        <v>0.7169578689565137</v>
      </c>
      <c r="N24" s="9">
        <f>Financials!N6/Financials!N5</f>
        <v>0.71947122426104826</v>
      </c>
      <c r="O24" s="9">
        <f>Financials!O6/Financials!O5</f>
        <v>0.69527152599397379</v>
      </c>
      <c r="P24" s="9">
        <f>Financials!P6/Financials!P5</f>
        <v>0.98645233994987169</v>
      </c>
      <c r="Q24" s="9">
        <f>Financials!Q6/Financials!Q5</f>
        <v>0.76665113600891321</v>
      </c>
      <c r="R24" s="9">
        <f>Financials!R6/Financials!R5</f>
        <v>0.75295144946168946</v>
      </c>
      <c r="S24" s="9">
        <f>Financials!S6/Financials!S5</f>
        <v>0.75186856678335345</v>
      </c>
      <c r="T24" s="9">
        <f>Financials!T6/Financials!T5</f>
        <v>0.74611981896728286</v>
      </c>
      <c r="U24" s="9">
        <f>Financials!U6/Financials!U5</f>
        <v>0.74606702564300609</v>
      </c>
      <c r="V24" s="9">
        <f>Financials!V6/Financials!V5</f>
        <v>0.71333101303697322</v>
      </c>
      <c r="W24" s="9">
        <f>Financials!W6/Financials!W5</f>
        <v>0.71462562406989627</v>
      </c>
      <c r="X24" s="9">
        <f>Financials!X6/Financials!X5</f>
        <v>0.71543595050972619</v>
      </c>
      <c r="Y24" s="9">
        <f>Financials!Y6/Financials!Y5</f>
        <v>0.7215589371100477</v>
      </c>
      <c r="Z24" s="9">
        <f>Financials!Z6/Financials!Z5</f>
        <v>0.71812348787733493</v>
      </c>
      <c r="AA24" s="9">
        <f>Financials!AA6/Financials!AA5</f>
        <v>0.71221604501453328</v>
      </c>
      <c r="AB24" s="9">
        <f>Financials!AB6/Financials!AB5</f>
        <v>-0.23991184935466056</v>
      </c>
      <c r="AC24" s="9">
        <f>Financials!AC6/Financials!AC5</f>
        <v>0.73109488317323168</v>
      </c>
      <c r="AD24" s="9">
        <f>Financials!AD6/Financials!AD5</f>
        <v>0.7598903029150097</v>
      </c>
      <c r="AE24" s="9">
        <f>Financials!AE6/Financials!AE5</f>
        <v>0.75783770272340278</v>
      </c>
      <c r="AF24" s="9">
        <f>Financials!AF6/Financials!AF5</f>
        <v>0.76001199924439533</v>
      </c>
      <c r="AG24" s="9">
        <f>Financials!AG6/Financials!AG5</f>
        <v>0.75785953413079155</v>
      </c>
      <c r="AH24" s="9">
        <f>Financials!AH6/Financials!AH5</f>
        <v>0.74333044914488167</v>
      </c>
      <c r="AI24" s="9">
        <f>Financials!AI6/Financials!AI5</f>
        <v>0.70173312129231169</v>
      </c>
      <c r="AJ24" s="9">
        <f>Financials!AJ6/Financials!AJ5</f>
        <v>0.981216928215217</v>
      </c>
      <c r="AK24" s="9">
        <f>Financials!AK6/Financials!AK5</f>
        <v>0.70264673114386367</v>
      </c>
      <c r="AL24" s="9" t="e">
        <f>Financials!AL6/Financials!AL5</f>
        <v>#DIV/0!</v>
      </c>
    </row>
    <row r="25" spans="1:38" s="3" customFormat="1" hidden="1">
      <c r="A25" s="12" t="s">
        <v>200</v>
      </c>
      <c r="B25" s="115" t="s">
        <v>196</v>
      </c>
      <c r="C25" s="13">
        <f>Financials!C7/Financials!C5</f>
        <v>0.71059762361494927</v>
      </c>
      <c r="D25" s="13">
        <f>Financials!D7/Financials!D5</f>
        <v>0.70649500439130142</v>
      </c>
      <c r="E25" s="13">
        <f>Financials!E7/Financials!E5</f>
        <v>0.70111926515179346</v>
      </c>
      <c r="F25" s="13">
        <f>Financials!F7/Financials!F5</f>
        <v>0.73050829257385541</v>
      </c>
      <c r="G25" s="13">
        <f>Financials!G7/Financials!G5</f>
        <v>0.70115329983863928</v>
      </c>
      <c r="H25" s="13">
        <f>Financials!H7/Financials!H5</f>
        <v>0.68701457267081123</v>
      </c>
      <c r="I25" s="13">
        <f>Financials!I7/Financials!I5</f>
        <v>0.6964045117824873</v>
      </c>
      <c r="J25" s="13">
        <f>Financials!J7/Financials!J5</f>
        <v>0.7017987933697899</v>
      </c>
      <c r="K25" s="13">
        <f>Financials!K7/Financials!K5</f>
        <v>0.70318300907937414</v>
      </c>
      <c r="L25" s="13"/>
      <c r="M25" s="13">
        <f>Financials!M7/Financials!M5</f>
        <v>0.70789588547700921</v>
      </c>
      <c r="N25" s="13">
        <f>Financials!N7/Financials!N5</f>
        <v>0.71088364018052774</v>
      </c>
      <c r="O25" s="13">
        <f>Financials!O7/Financials!O5</f>
        <v>0.6863623372233032</v>
      </c>
      <c r="P25" s="13">
        <f>Financials!P7/Financials!P5</f>
        <v>0.97243917948511049</v>
      </c>
      <c r="Q25" s="13">
        <f>Financials!Q7/Financials!Q5</f>
        <v>0.70855532784444697</v>
      </c>
      <c r="R25" s="13">
        <f>Financials!R7/Financials!R5</f>
        <v>0.74241982458626532</v>
      </c>
      <c r="S25" s="13">
        <f>Financials!S7/Financials!S5</f>
        <v>0.74290546828801918</v>
      </c>
      <c r="T25" s="13">
        <f>Financials!T7/Financials!T5</f>
        <v>0.73529601145011014</v>
      </c>
      <c r="U25" s="13">
        <f>Financials!U7/Financials!U5</f>
        <v>0.73554614935634643</v>
      </c>
      <c r="V25" s="13">
        <f>Financials!V7/Financials!V5</f>
        <v>0.70400377905674338</v>
      </c>
      <c r="W25" s="13">
        <f>Financials!W7/Financials!W5</f>
        <v>0.70396359207284209</v>
      </c>
      <c r="X25" s="13">
        <f>Financials!X7/Financials!X5</f>
        <v>0.7028240564626459</v>
      </c>
      <c r="Y25" s="13">
        <f>Financials!Y7/Financials!Y5</f>
        <v>0.69315968970872344</v>
      </c>
      <c r="Z25" s="13">
        <f>Financials!Z7/Financials!Z5</f>
        <v>0.69918959758596366</v>
      </c>
      <c r="AA25" s="13">
        <f>Financials!AA7/Financials!AA5</f>
        <v>0.70314571872626808</v>
      </c>
      <c r="AB25" s="13">
        <f>Financials!AB7/Financials!AB5</f>
        <v>-0.2399277123592494</v>
      </c>
      <c r="AC25" s="13">
        <f>Financials!AC7/Financials!AC5</f>
        <v>0.71301606458848299</v>
      </c>
      <c r="AD25" s="13">
        <f>Financials!AD7/Financials!AD5</f>
        <v>0.74469806640853498</v>
      </c>
      <c r="AE25" s="13">
        <f>Financials!AE7/Financials!AE5</f>
        <v>0.74382688768500038</v>
      </c>
      <c r="AF25" s="13">
        <f>Financials!AF7/Financials!AF5</f>
        <v>0.73432615775946875</v>
      </c>
      <c r="AG25" s="13">
        <f>Financials!AG7/Financials!AG5</f>
        <v>0.74048189143537724</v>
      </c>
      <c r="AH25" s="13">
        <f>Financials!AH7/Financials!AH5</f>
        <v>0.7296713796958868</v>
      </c>
      <c r="AI25" s="13">
        <f>Financials!AI7/Financials!AI5</f>
        <v>0.68570977043823278</v>
      </c>
      <c r="AJ25" s="13">
        <f>Financials!AJ7/Financials!AJ5</f>
        <v>0.95699226663755721</v>
      </c>
      <c r="AK25" s="13">
        <f>Financials!AK7/Financials!AK5</f>
        <v>0.68788389267937333</v>
      </c>
      <c r="AL25" s="13" t="e">
        <f>Financials!AL7/Financials!AL5</f>
        <v>#DIV/0!</v>
      </c>
    </row>
    <row r="26" spans="1:38" s="3" customFormat="1" hidden="1">
      <c r="A26" s="12" t="s">
        <v>201</v>
      </c>
      <c r="B26" s="115" t="s">
        <v>196</v>
      </c>
      <c r="C26" s="88">
        <f>Financials!C8/Financials!C5</f>
        <v>2.2919001406350323E-2</v>
      </c>
      <c r="D26" s="88">
        <f>Financials!D8/Financials!D5</f>
        <v>7.7978754817648894E-3</v>
      </c>
      <c r="E26" s="88">
        <f>Financials!E8/Financials!E5</f>
        <v>8.4031608739342407E-3</v>
      </c>
      <c r="F26" s="88">
        <f>Financials!F8/Financials!F5</f>
        <v>2.8530282993327785E-2</v>
      </c>
      <c r="G26" s="88">
        <f>Financials!G8/Financials!G5</f>
        <v>1.354425530282063E-2</v>
      </c>
      <c r="H26" s="88">
        <f>Financials!H8/Financials!H5</f>
        <v>1.458015022667725E-2</v>
      </c>
      <c r="I26" s="88">
        <f>Financials!I8/Financials!I5</f>
        <v>9.5515345815894749E-3</v>
      </c>
      <c r="J26" s="88">
        <f>Financials!J8/Financials!J5</f>
        <v>1.0568783754934145E-2</v>
      </c>
      <c r="K26" s="88">
        <f>Financials!K8/Financials!K5</f>
        <v>1.0388474393761881E-2</v>
      </c>
      <c r="L26" s="88"/>
      <c r="M26" s="88">
        <f>Financials!M8/Financials!M5</f>
        <v>6.3656060319658087E-3</v>
      </c>
      <c r="N26" s="88">
        <f>Financials!N8/Financials!N5</f>
        <v>6.2192657527837909E-3</v>
      </c>
      <c r="O26" s="88">
        <f>Financials!O8/Financials!O5</f>
        <v>6.609408686450379E-3</v>
      </c>
      <c r="P26" s="88">
        <f>Financials!P8/Financials!P5</f>
        <v>1.0180131501217965E-2</v>
      </c>
      <c r="Q26" s="88">
        <f>Financials!Q8/Financials!Q5</f>
        <v>5.5097346893993045E-2</v>
      </c>
      <c r="R26" s="88">
        <f>Financials!R8/Financials!R5</f>
        <v>7.3763184760263986E-3</v>
      </c>
      <c r="S26" s="88">
        <f>Financials!S8/Financials!S5</f>
        <v>5.9900457862871268E-3</v>
      </c>
      <c r="T26" s="88">
        <f>Financials!T8/Financials!T5</f>
        <v>7.5091057822708734E-3</v>
      </c>
      <c r="U26" s="88">
        <f>Financials!U8/Financials!U5</f>
        <v>7.3884130593611808E-3</v>
      </c>
      <c r="V26" s="88">
        <f>Financials!V8/Financials!V5</f>
        <v>5.8435415933761926E-3</v>
      </c>
      <c r="W26" s="88">
        <f>Financials!W8/Financials!W5</f>
        <v>6.7475205787846555E-3</v>
      </c>
      <c r="X26" s="88">
        <f>Financials!X8/Financials!X5</f>
        <v>8.730511665232905E-3</v>
      </c>
      <c r="Y26" s="88">
        <f>Financials!Y8/Financials!Y5</f>
        <v>2.4842022781084709E-2</v>
      </c>
      <c r="Z26" s="88">
        <f>Financials!Z8/Financials!Z5</f>
        <v>1.5403432178925243E-2</v>
      </c>
      <c r="AA26" s="88">
        <f>Financials!AA8/Financials!AA5</f>
        <v>6.7291640980362407E-3</v>
      </c>
      <c r="AB26" s="88">
        <f>Financials!AB8/Financials!AB5</f>
        <v>-1.1107379937375506E-9</v>
      </c>
      <c r="AC26" s="88">
        <f>Financials!AC8/Financials!AC5</f>
        <v>1.4478590125125456E-2</v>
      </c>
      <c r="AD26" s="88">
        <f>Financials!AD8/Financials!AD5</f>
        <v>1.1784061938802146E-2</v>
      </c>
      <c r="AE26" s="88">
        <f>Financials!AE8/Financials!AE5</f>
        <v>1.0124717121842958E-2</v>
      </c>
      <c r="AF26" s="88">
        <f>Financials!AF8/Financials!AF5</f>
        <v>2.189477926394608E-2</v>
      </c>
      <c r="AG26" s="88">
        <f>Financials!AG8/Financials!AG5</f>
        <v>1.324884115732382E-2</v>
      </c>
      <c r="AH26" s="88">
        <f>Financials!AH8/Financials!AH5</f>
        <v>1.0015588354148485E-2</v>
      </c>
      <c r="AI26" s="88">
        <f>Financials!AI8/Financials!AI5</f>
        <v>1.2103752570483114E-2</v>
      </c>
      <c r="AJ26" s="88">
        <f>Financials!AJ8/Financials!AJ5</f>
        <v>1.8539381547614291E-2</v>
      </c>
      <c r="AK26" s="88">
        <f>Financials!AK8/Financials!AK5</f>
        <v>1.1260943549591472E-2</v>
      </c>
      <c r="AL26" s="88" t="e">
        <f>Financials!AL8/Financials!AL5</f>
        <v>#DIV/0!</v>
      </c>
    </row>
    <row r="27" spans="1:38" s="3" customFormat="1">
      <c r="A27" s="10" t="s">
        <v>202</v>
      </c>
      <c r="B27" s="72" t="s">
        <v>203</v>
      </c>
      <c r="C27" s="89">
        <f>Financials!C9/Financials!C5</f>
        <v>0</v>
      </c>
      <c r="D27" s="89">
        <f>Financials!D9/Financials!D5</f>
        <v>0</v>
      </c>
      <c r="E27" s="89">
        <f>Financials!E9/Financials!E5</f>
        <v>0</v>
      </c>
      <c r="F27" s="89">
        <f>Financials!F9/Financials!F5</f>
        <v>0</v>
      </c>
      <c r="G27" s="89">
        <f>Financials!G9/Financials!G5</f>
        <v>6.004471141262685E-2</v>
      </c>
      <c r="H27" s="89">
        <f>Financials!H9/Financials!H5</f>
        <v>5.8714590534816931E-2</v>
      </c>
      <c r="I27" s="89">
        <f>Financials!I9/Financials!I5</f>
        <v>5.7545288596136807E-2</v>
      </c>
      <c r="J27" s="89">
        <f>Financials!J9/Financials!J5</f>
        <v>5.5988310532038225E-2</v>
      </c>
      <c r="K27" s="89">
        <f>Financials!K9/Financials!K5</f>
        <v>5.4068096638139919E-2</v>
      </c>
      <c r="L27" s="89"/>
      <c r="M27" s="89">
        <f>Financials!M9/Financials!M5</f>
        <v>5.0316954304006269E-2</v>
      </c>
      <c r="N27" s="89">
        <f>Financials!N9/Financials!N5</f>
        <v>4.8467437539440078E-2</v>
      </c>
      <c r="O27" s="89">
        <f>Financials!O9/Financials!O5</f>
        <v>4.7064808040067643E-2</v>
      </c>
      <c r="P27" s="89">
        <f>Financials!P9/Financials!P5</f>
        <v>6.3759471185621322E-2</v>
      </c>
      <c r="Q27" s="89">
        <f>Financials!Q9/Financials!Q5</f>
        <v>4.3077961631027277E-2</v>
      </c>
      <c r="R27" s="89">
        <f>Financials!R9/Financials!R5</f>
        <v>4.2887116401384553E-2</v>
      </c>
      <c r="S27" s="89">
        <f>Financials!S9/Financials!S5</f>
        <v>4.0995921258044257E-2</v>
      </c>
      <c r="T27" s="89">
        <f>Financials!T9/Financials!T5</f>
        <v>3.901719728394952E-2</v>
      </c>
      <c r="U27" s="89">
        <f>Financials!U9/Financials!U5</f>
        <v>3.726281157828417E-2</v>
      </c>
      <c r="V27" s="89">
        <f>Financials!V9/Financials!V5</f>
        <v>3.5358242919446073E-2</v>
      </c>
      <c r="W27" s="89">
        <f>Financials!W9/Financials!W5</f>
        <v>3.3499036887428828E-2</v>
      </c>
      <c r="X27" s="89">
        <f>Financials!X9/Financials!X5</f>
        <v>3.3209683696070753E-2</v>
      </c>
      <c r="Y27" s="89">
        <f>Financials!Y9/Financials!Y5</f>
        <v>2.9393495521981883E-2</v>
      </c>
      <c r="Z27" s="89">
        <f>Financials!Z9/Financials!Z5</f>
        <v>2.7822063211866827E-2</v>
      </c>
      <c r="AA27" s="89">
        <f>Financials!AA9/Financials!AA5</f>
        <v>4.7917571846670393E-2</v>
      </c>
      <c r="AB27" s="89">
        <f>Financials!AB9/Financials!AB5</f>
        <v>0</v>
      </c>
      <c r="AC27" s="89">
        <f>Financials!AC9/Financials!AC5</f>
        <v>2.8371893619583172E-2</v>
      </c>
      <c r="AD27" s="89">
        <f>Financials!AD9/Financials!AD5</f>
        <v>2.7760707935575168E-2</v>
      </c>
      <c r="AE27" s="89">
        <f>Financials!AE9/Financials!AE5</f>
        <v>2.5855765426207312E-2</v>
      </c>
      <c r="AF27" s="89">
        <f>Financials!AF9/Financials!AF5</f>
        <v>2.3737604619396082E-2</v>
      </c>
      <c r="AG27" s="89">
        <f>Financials!AG9/Financials!AG5</f>
        <v>2.2158260655323635E-2</v>
      </c>
      <c r="AH27" s="89">
        <f>Financials!AH9/Financials!AH5</f>
        <v>3.5458918687090481E-2</v>
      </c>
      <c r="AI27" s="89">
        <f>Financials!AI9/Financials!AI5</f>
        <v>7.8288268814976691E-2</v>
      </c>
      <c r="AJ27" s="89">
        <f>Financials!AJ9/Financials!AJ5</f>
        <v>0.1055728009078855</v>
      </c>
      <c r="AK27" s="89">
        <f>Financials!AK9/Financials!AK5</f>
        <v>7.3098561153120425E-2</v>
      </c>
      <c r="AL27" s="89" t="e">
        <f>Financials!AL9/Financials!AL5</f>
        <v>#DIV/0!</v>
      </c>
    </row>
    <row r="28" spans="1:38" s="3" customFormat="1" hidden="1">
      <c r="A28" s="8"/>
      <c r="B28" s="11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s="3" customFormat="1" hidden="1">
      <c r="A29" s="6" t="s">
        <v>204</v>
      </c>
      <c r="B29" s="7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idden="1">
      <c r="A30" s="10" t="s">
        <v>54</v>
      </c>
      <c r="B30" s="116" t="s">
        <v>196</v>
      </c>
      <c r="C30" s="118" t="e">
        <f>Financials!C5/Financials!#REF!-1</f>
        <v>#REF!</v>
      </c>
      <c r="D30" s="118">
        <f>Financials!D5/Financials!C5-1</f>
        <v>1.548005307177025E-2</v>
      </c>
      <c r="E30" s="118">
        <f>Financials!E5/Financials!D5-1</f>
        <v>1.7931584522224986E-2</v>
      </c>
      <c r="F30" s="118">
        <f>Financials!F5/Financials!E5-1</f>
        <v>-3.0733766083223646E-2</v>
      </c>
      <c r="G30" s="118">
        <f>Financials!G5/Financials!F5-1</f>
        <v>5.0345214867991261E-2</v>
      </c>
      <c r="H30" s="118">
        <f>Financials!H5/Financials!G5-1</f>
        <v>2.2654009262334629E-2</v>
      </c>
      <c r="I30" s="118">
        <f>Financials!I5/Financials!H5-1</f>
        <v>-8.0225318285592762E-3</v>
      </c>
      <c r="J30" s="118">
        <f>Financials!J5/Financials!I5-1</f>
        <v>-1.5569864075322126E-3</v>
      </c>
      <c r="K30" s="118">
        <f>Financials!K5/Financials!J5-1</f>
        <v>5.0584151362851326E-3</v>
      </c>
      <c r="L30" s="118"/>
      <c r="M30" s="118">
        <f>Financials!M5/Financials!K5-1</f>
        <v>9.426007582257645E-3</v>
      </c>
      <c r="N30" s="118">
        <f>Financials!N5/Financials!M5-1</f>
        <v>4.6709547286609698E-3</v>
      </c>
      <c r="O30" s="118">
        <f>Financials!O5/Financials!N5-1</f>
        <v>2.9802085854499838E-2</v>
      </c>
      <c r="P30" s="118">
        <f>Financials!P5/Financials!O5-1</f>
        <v>-0.28644356193699294</v>
      </c>
      <c r="Q30" s="118">
        <f>Financials!Q5/Financials!P5-1</f>
        <v>0.37801938692609327</v>
      </c>
      <c r="R30" s="118">
        <f>Financials!R5/Financials!Q5-1</f>
        <v>-3.2751906629552408E-2</v>
      </c>
      <c r="S30" s="118">
        <f>Financials!S5/Financials!R5-1</f>
        <v>5.8954808332889463E-3</v>
      </c>
      <c r="T30" s="118">
        <f>Financials!T5/Financials!S5-1</f>
        <v>8.6855834759946848E-3</v>
      </c>
      <c r="U30" s="118">
        <f>Financials!U5/Financials!T5-1</f>
        <v>3.4530178202198947E-3</v>
      </c>
      <c r="V30" s="118">
        <f>Financials!V5/Financials!U5-1</f>
        <v>8.0446988614681914E-3</v>
      </c>
      <c r="W30" s="118">
        <f>Financials!W5/Financials!V5-1</f>
        <v>7.5229975462365317E-3</v>
      </c>
      <c r="X30" s="118">
        <f>Financials!X5/Financials!W5-1</f>
        <v>8.7129162086032608E-3</v>
      </c>
      <c r="Y30" s="118">
        <f>Financials!Y5/Financials!X5-1</f>
        <v>2.2228086328454744E-2</v>
      </c>
      <c r="Z30" s="118">
        <f>Financials!Z5/Financials!Y5-1</f>
        <v>8.772257513045556E-4</v>
      </c>
      <c r="AA30" s="118">
        <f>Financials!AA5/Financials!Z5-1</f>
        <v>-3.2294343910367784E-2</v>
      </c>
      <c r="AB30" s="118">
        <f>Financials!AB5/Financials!AA5-1</f>
        <v>-0.98188107330902596</v>
      </c>
      <c r="AC30" s="118">
        <f>Financials!AC5/Financials!AB5-1</f>
        <v>54.927481506956973</v>
      </c>
      <c r="AD30" s="118">
        <f>Financials!AD5/Financials!AC5-1</f>
        <v>-3.4762464539298432E-2</v>
      </c>
      <c r="AE30" s="118">
        <f>Financials!AE5/Financials!AD5-1</f>
        <v>1.0518338385693049E-2</v>
      </c>
      <c r="AF30" s="118">
        <f>Financials!AF5/Financials!AE5-1</f>
        <v>2.1155271396952058E-2</v>
      </c>
      <c r="AG30" s="118">
        <f>Financials!AG5/Financials!AF5-1</f>
        <v>-1.4274632036126444E-4</v>
      </c>
      <c r="AH30" s="118">
        <f>Financials!AH5/Financials!AG5-1</f>
        <v>1.7693475840939055E-2</v>
      </c>
      <c r="AI30" s="118">
        <f>Financials!AI5/Financials!AH5-1</f>
        <v>7.2723292830692676E-2</v>
      </c>
      <c r="AJ30" s="118">
        <f>Financials!AJ5/Financials!AI5-1</f>
        <v>-0.27904162789804998</v>
      </c>
      <c r="AK30" s="118">
        <f>Financials!AK5/Financials!AJ5-1</f>
        <v>0.40298842479557817</v>
      </c>
      <c r="AL30" s="118">
        <f>Financials!AL5/Financials!AK5-1</f>
        <v>-1</v>
      </c>
    </row>
    <row r="31" spans="1:38" hidden="1">
      <c r="A31" s="10" t="s">
        <v>123</v>
      </c>
      <c r="B31" s="116" t="s">
        <v>196</v>
      </c>
      <c r="C31" s="118" t="e">
        <f>Financials!C6/Financials!#REF!-1</f>
        <v>#REF!</v>
      </c>
      <c r="D31" s="118">
        <f>Financials!D6/Financials!C6-1</f>
        <v>-1.0649865312598483E-2</v>
      </c>
      <c r="E31" s="118">
        <f>Financials!E6/Financials!D6-1</f>
        <v>1.1072559768030787E-2</v>
      </c>
      <c r="F31" s="118">
        <f>Financials!F6/Financials!E6-1</f>
        <v>3.6937578826363504E-2</v>
      </c>
      <c r="G31" s="118">
        <f>Financials!G6/Financials!F6-1</f>
        <v>-1.1033707416259975E-2</v>
      </c>
      <c r="H31" s="118">
        <f>Financials!H6/Financials!G6-1</f>
        <v>4.1825668452970532E-3</v>
      </c>
      <c r="I31" s="118">
        <f>Financials!I6/Financials!H6-1</f>
        <v>-2.0286918637746343E-3</v>
      </c>
      <c r="J31" s="118">
        <f>Financials!J6/Financials!I6-1</f>
        <v>7.104407578109706E-3</v>
      </c>
      <c r="K31" s="118">
        <f>Financials!K6/Financials!J6-1</f>
        <v>6.5869114607268742E-3</v>
      </c>
      <c r="L31" s="118"/>
      <c r="M31" s="118">
        <f>Financials!M6/Financials!K6-1</f>
        <v>1.0639701582827232E-2</v>
      </c>
      <c r="N31" s="118">
        <f>Financials!N6/Financials!M6-1</f>
        <v>8.1929121305013286E-3</v>
      </c>
      <c r="O31" s="118">
        <f>Financials!O6/Financials!N6-1</f>
        <v>-4.8357132848311224E-3</v>
      </c>
      <c r="P31" s="118">
        <f>Financials!P6/Financials!O6-1</f>
        <v>1.2395002092534968E-2</v>
      </c>
      <c r="Q31" s="118">
        <f>Financials!Q6/Financials!P6-1</f>
        <v>7.0969255831337286E-2</v>
      </c>
      <c r="R31" s="118">
        <f>Financials!R6/Financials!Q6-1</f>
        <v>-5.0036164188417942E-2</v>
      </c>
      <c r="S31" s="118">
        <f>Financials!S6/Financials!R6-1</f>
        <v>4.4488181126185466E-3</v>
      </c>
      <c r="T31" s="118">
        <f>Financials!T6/Financials!S6-1</f>
        <v>9.7322615546291402E-4</v>
      </c>
      <c r="U31" s="118">
        <f>Financials!U6/Financials!T6-1</f>
        <v>3.3820163279398852E-3</v>
      </c>
      <c r="V31" s="118">
        <f>Financials!V6/Financials!U6-1</f>
        <v>-3.6186399465029662E-2</v>
      </c>
      <c r="W31" s="118">
        <f>Financials!W6/Financials!V6-1</f>
        <v>9.3515320760810816E-3</v>
      </c>
      <c r="X31" s="118">
        <f>Financials!X6/Financials!W6-1</f>
        <v>9.8567133503102422E-3</v>
      </c>
      <c r="Y31" s="118">
        <f>Financials!Y6/Financials!X6-1</f>
        <v>3.097672255592121E-2</v>
      </c>
      <c r="Z31" s="118">
        <f>Financials!Z6/Financials!Y6-1</f>
        <v>-3.8880993252840002E-3</v>
      </c>
      <c r="AA31" s="118">
        <f>Financials!AA6/Financials!Z6-1</f>
        <v>-4.0254904966874894E-2</v>
      </c>
      <c r="AB31" s="118">
        <f>Financials!AB6/Financials!AA6-1</f>
        <v>-1.0061034081458589</v>
      </c>
      <c r="AC31" s="118">
        <f>Financials!AC6/Financials!AB6-1</f>
        <v>-171.4304963197412</v>
      </c>
      <c r="AD31" s="118">
        <f>Financials!AD6/Financials!AC6-1</f>
        <v>3.2550631767647165E-3</v>
      </c>
      <c r="AE31" s="118">
        <f>Financials!AE6/Financials!AD6-1</f>
        <v>7.7887468551314232E-3</v>
      </c>
      <c r="AF31" s="118">
        <f>Financials!AF6/Financials!AE6-1</f>
        <v>2.4085046922783793E-2</v>
      </c>
      <c r="AG31" s="118">
        <f>Financials!AG6/Financials!AF6-1</f>
        <v>-2.9744882655788896E-3</v>
      </c>
      <c r="AH31" s="118">
        <f>Financials!AH6/Financials!AG6-1</f>
        <v>-1.8169404488787011E-3</v>
      </c>
      <c r="AI31" s="118">
        <f>Financials!AI6/Financials!AH6-1</f>
        <v>1.2692895100719692E-2</v>
      </c>
      <c r="AJ31" s="118">
        <f>Financials!AJ6/Financials!AI6-1</f>
        <v>8.0991445040252685E-3</v>
      </c>
      <c r="AK31" s="118">
        <f>Financials!AK6/Financials!AJ6-1</f>
        <v>4.6761344694901119E-3</v>
      </c>
      <c r="AL31" s="118">
        <f>Financials!AL6/Financials!AK6-1</f>
        <v>-1</v>
      </c>
    </row>
    <row r="32" spans="1:38" hidden="1">
      <c r="A32" s="15" t="s">
        <v>205</v>
      </c>
      <c r="B32" s="116" t="s">
        <v>196</v>
      </c>
      <c r="C32" s="118" t="e">
        <f>Financials!C7/Financials!#REF!-1</f>
        <v>#REF!</v>
      </c>
      <c r="D32" s="118">
        <f>Financials!D7/Financials!C7-1</f>
        <v>9.6172020735227903E-3</v>
      </c>
      <c r="E32" s="118">
        <f>Financials!E7/Financials!D7-1</f>
        <v>1.0186116078657825E-2</v>
      </c>
      <c r="F32" s="118">
        <f>Financials!F7/Financials!E7-1</f>
        <v>9.8952585973228757E-3</v>
      </c>
      <c r="G32" s="118">
        <f>Financials!G7/Financials!F7-1</f>
        <v>8.1377868820839971E-3</v>
      </c>
      <c r="H32" s="118">
        <f>Financials!H7/Financials!G7-1</f>
        <v>2.0322336429754451E-3</v>
      </c>
      <c r="I32" s="118">
        <f>Financials!I7/Financials!H7-1</f>
        <v>5.5355619831531921E-3</v>
      </c>
      <c r="J32" s="118">
        <f>Financials!J7/Financials!I7-1</f>
        <v>6.1768560260948568E-3</v>
      </c>
      <c r="K32" s="118">
        <f>Financials!K7/Financials!J7-1</f>
        <v>7.0407748388450209E-3</v>
      </c>
      <c r="L32" s="118"/>
      <c r="M32" s="118">
        <f>Financials!M7/Financials!K7-1</f>
        <v>1.6191387212976638E-2</v>
      </c>
      <c r="N32" s="118">
        <f>Financials!N7/Financials!M7-1</f>
        <v>8.9112822006258696E-3</v>
      </c>
      <c r="O32" s="118">
        <f>Financials!O7/Financials!N7-1</f>
        <v>-5.7200270567033806E-3</v>
      </c>
      <c r="P32" s="118">
        <f>Financials!P7/Financials!O7-1</f>
        <v>1.0967821972079461E-2</v>
      </c>
      <c r="Q32" s="118">
        <f>Financials!Q7/Financials!P7-1</f>
        <v>4.0761407787066606E-3</v>
      </c>
      <c r="R32" s="118">
        <f>Financials!R7/Financials!Q7-1</f>
        <v>1.3476480370403054E-2</v>
      </c>
      <c r="S32" s="118">
        <f>Financials!S7/Financials!R7-1</f>
        <v>6.5534735063181859E-3</v>
      </c>
      <c r="T32" s="118">
        <f>Financials!T7/Financials!S7-1</f>
        <v>-1.6462147649976E-3</v>
      </c>
      <c r="U32" s="118">
        <f>Financials!U7/Financials!T7-1</f>
        <v>3.7943791671812832E-3</v>
      </c>
      <c r="V32" s="118">
        <f>Financials!V7/Financials!U7-1</f>
        <v>-3.5183206277949575E-2</v>
      </c>
      <c r="W32" s="118">
        <f>Financials!W7/Financials!V7-1</f>
        <v>7.4654846298474187E-3</v>
      </c>
      <c r="X32" s="118">
        <f>Financials!X7/Financials!W7-1</f>
        <v>7.0800699912301202E-3</v>
      </c>
      <c r="Y32" s="118">
        <f>Financials!Y7/Financials!X7-1</f>
        <v>8.1716705845755744E-3</v>
      </c>
      <c r="Z32" s="118">
        <f>Financials!Z7/Financials!Y7-1</f>
        <v>9.5840180782562623E-3</v>
      </c>
      <c r="AA32" s="118">
        <f>Financials!AA7/Financials!Z7-1</f>
        <v>-2.6818918050391827E-2</v>
      </c>
      <c r="AB32" s="118">
        <f>Financials!AB7/Financials!AA7-1</f>
        <v>-1.0061825486746123</v>
      </c>
      <c r="AC32" s="118">
        <f>Financials!AC7/Financials!AB7-1</f>
        <v>-167.20503056656736</v>
      </c>
      <c r="AD32" s="118">
        <f>Financials!AD7/Financials!AC7-1</f>
        <v>8.1266916438766934E-3</v>
      </c>
      <c r="AE32" s="118">
        <f>Financials!AE7/Financials!AD7-1</f>
        <v>9.3361920691477085E-3</v>
      </c>
      <c r="AF32" s="118">
        <f>Financials!AF7/Financials!AE7-1</f>
        <v>8.1122897486685108E-3</v>
      </c>
      <c r="AG32" s="118">
        <f>Financials!AG7/Financials!AF7-1</f>
        <v>8.2388902351939741E-3</v>
      </c>
      <c r="AH32" s="118">
        <f>Financials!AH7/Financials!AG7-1</f>
        <v>2.8358710905311835E-3</v>
      </c>
      <c r="AI32" s="118">
        <f>Financials!AI7/Financials!AH7-1</f>
        <v>8.093318909197178E-3</v>
      </c>
      <c r="AJ32" s="118">
        <f>Financials!AJ7/Financials!AI7-1</f>
        <v>6.1860227370318377E-3</v>
      </c>
      <c r="AK32" s="118">
        <f>Financials!AK7/Financials!AJ7-1</f>
        <v>8.4649298404366746E-3</v>
      </c>
      <c r="AL32" s="118">
        <f>Financials!AL7/Financials!AK7-1</f>
        <v>-1</v>
      </c>
    </row>
    <row r="33" spans="1:38" hidden="1">
      <c r="A33" s="15" t="s">
        <v>206</v>
      </c>
      <c r="B33" s="116" t="s">
        <v>196</v>
      </c>
      <c r="C33" s="118" t="e">
        <f>Financials!C8/Financials!#REF!-1</f>
        <v>#REF!</v>
      </c>
      <c r="D33" s="118">
        <f>Financials!D8/Financials!C8-1</f>
        <v>-0.65449685753430731</v>
      </c>
      <c r="E33" s="118">
        <f>Financials!E8/Financials!D8-1</f>
        <v>9.6945300473438634E-2</v>
      </c>
      <c r="F33" s="118">
        <f>Financials!F8/Financials!E8-1</f>
        <v>2.2908378602271995</v>
      </c>
      <c r="G33" s="118">
        <f>Financials!G8/Financials!F8-1</f>
        <v>-0.5013668897152177</v>
      </c>
      <c r="H33" s="118">
        <f>Financials!H8/Financials!G8-1</f>
        <v>0.10086887404237599</v>
      </c>
      <c r="I33" s="118">
        <f>Financials!I8/Financials!H8-1</f>
        <v>-0.35015024234380776</v>
      </c>
      <c r="J33" s="118">
        <f>Financials!J8/Financials!I8-1</f>
        <v>0.10477831725837161</v>
      </c>
      <c r="K33" s="118">
        <f>Financials!K8/Financials!J8-1</f>
        <v>-1.2088443478304955E-2</v>
      </c>
      <c r="L33" s="118"/>
      <c r="M33" s="118">
        <f>Financials!M8/Financials!K8-1</f>
        <v>-0.38146757270275777</v>
      </c>
      <c r="N33" s="118">
        <f>Financials!N8/Financials!M8-1</f>
        <v>-1.8425640829209611E-2</v>
      </c>
      <c r="O33" s="118">
        <f>Financials!O8/Financials!N8-1</f>
        <v>9.4402960433852101E-2</v>
      </c>
      <c r="P33" s="118">
        <f>Financials!P8/Financials!O8-1</f>
        <v>9.9054199495012485E-2</v>
      </c>
      <c r="Q33" s="118">
        <f>Financials!Q8/Financials!P8-1</f>
        <v>6.4581759753330097</v>
      </c>
      <c r="R33" s="118">
        <f>Financials!R8/Financials!Q8-1</f>
        <v>-0.87050683228437631</v>
      </c>
      <c r="S33" s="118">
        <f>Financials!S8/Financials!R8-1</f>
        <v>-0.18314806959683361</v>
      </c>
      <c r="T33" s="118">
        <f>Financials!T8/Financials!S8-1</f>
        <v>0.26448561790839609</v>
      </c>
      <c r="U33" s="118">
        <f>Financials!U8/Financials!T8-1</f>
        <v>-1.2675330953160313E-2</v>
      </c>
      <c r="V33" s="118">
        <f>Financials!V8/Financials!U8-1</f>
        <v>-0.20273121190537791</v>
      </c>
      <c r="W33" s="118">
        <f>Financials!W8/Financials!V8-1</f>
        <v>0.16338389158520994</v>
      </c>
      <c r="X33" s="118">
        <f>Financials!X8/Financials!W8-1</f>
        <v>0.30515791378535218</v>
      </c>
      <c r="Y33" s="118">
        <f>Financials!Y8/Financials!X8-1</f>
        <v>1.9086741283632032</v>
      </c>
      <c r="Z33" s="118">
        <f>Financials!Z8/Financials!Y8-1</f>
        <v>-0.37940059864891984</v>
      </c>
      <c r="AA33" s="118">
        <f>Financials!AA8/Financials!Z8-1</f>
        <v>-0.57724680559606845</v>
      </c>
      <c r="AB33" s="118">
        <f>Financials!AB8/Financials!AA8-1</f>
        <v>-1.0000000029907696</v>
      </c>
      <c r="AC33" s="118">
        <f>Financials!AC8/Financials!AB8-1</f>
        <v>-729020783.61049819</v>
      </c>
      <c r="AD33" s="118">
        <f>Financials!AD8/Financials!AC8-1</f>
        <v>-0.21439734081656103</v>
      </c>
      <c r="AE33" s="118">
        <f>Financials!AE8/Financials!AD8-1</f>
        <v>-0.13177541193152198</v>
      </c>
      <c r="AF33" s="118">
        <f>Financials!AF8/Financials!AE8-1</f>
        <v>1.2082561905079174</v>
      </c>
      <c r="AG33" s="118">
        <f>Financials!AG8/Financials!AF8-1</f>
        <v>-0.39497220893141483</v>
      </c>
      <c r="AH33" s="118">
        <f>Financials!AH8/Financials!AG8-1</f>
        <v>-0.2306648707090182</v>
      </c>
      <c r="AI33" s="118">
        <f>Financials!AI8/Financials!AH8-1</f>
        <v>0.29637689308972126</v>
      </c>
      <c r="AJ33" s="118">
        <f>Financials!AJ8/Financials!AI8-1</f>
        <v>0.10429573493928679</v>
      </c>
      <c r="AK33" s="118">
        <f>Financials!AK8/Financials!AJ8-1</f>
        <v>-0.14781550766528517</v>
      </c>
      <c r="AL33" s="118">
        <f>Financials!AL8/Financials!AK8-1</f>
        <v>-1</v>
      </c>
    </row>
    <row r="34" spans="1:38" hidden="1">
      <c r="A34" s="10" t="s">
        <v>147</v>
      </c>
      <c r="B34" s="116" t="s">
        <v>196</v>
      </c>
      <c r="C34" s="118" t="e">
        <f>Financials!C9/Financials!#REF!-1</f>
        <v>#REF!</v>
      </c>
      <c r="D34" s="118" t="e">
        <f>Financials!D9/Financials!C9-1</f>
        <v>#DIV/0!</v>
      </c>
      <c r="E34" s="118" t="e">
        <f>Financials!E9/Financials!D9-1</f>
        <v>#DIV/0!</v>
      </c>
      <c r="F34" s="118" t="e">
        <f>Financials!F9/Financials!E9-1</f>
        <v>#DIV/0!</v>
      </c>
      <c r="G34" s="118" t="e">
        <f>Financials!G9/Financials!F9-1</f>
        <v>#DIV/0!</v>
      </c>
      <c r="H34" s="118">
        <f>Financials!H9/Financials!G9-1</f>
        <v>0</v>
      </c>
      <c r="I34" s="118">
        <f>Financials!I9/Financials!H9-1</f>
        <v>-2.7777777775000012E-2</v>
      </c>
      <c r="J34" s="118">
        <f>Financials!J9/Financials!I9-1</f>
        <v>-2.8571428568489821E-2</v>
      </c>
      <c r="K34" s="118">
        <f>Financials!K9/Financials!J9-1</f>
        <v>-2.9411764702768073E-2</v>
      </c>
      <c r="L34" s="118"/>
      <c r="M34" s="118">
        <f>Financials!M9/Financials!K9-1</f>
        <v>-6.0606060599449063E-2</v>
      </c>
      <c r="N34" s="118">
        <f>Financials!N9/Financials!M9-1</f>
        <v>-3.2258064512383E-2</v>
      </c>
      <c r="O34" s="118">
        <f>Financials!O9/Financials!N9-1</f>
        <v>-1.019999973372876E-9</v>
      </c>
      <c r="P34" s="118">
        <f>Financials!P9/Financials!O9-1</f>
        <v>-3.3333332343333244E-2</v>
      </c>
      <c r="Q34" s="118">
        <f>Financials!Q9/Financials!P9-1</f>
        <v>-6.8965517232818185E-2</v>
      </c>
      <c r="R34" s="118">
        <f>Financials!R9/Financials!Q9-1</f>
        <v>-3.7037037065432155E-2</v>
      </c>
      <c r="S34" s="118">
        <f>Financials!S9/Financials!R9-1</f>
        <v>-3.8461538422928876E-2</v>
      </c>
      <c r="T34" s="118">
        <f>Financials!T9/Financials!S9-1</f>
        <v>-3.9999999994240087E-2</v>
      </c>
      <c r="U34" s="118">
        <f>Financials!U9/Financials!T9-1</f>
        <v>-4.166666666041674E-2</v>
      </c>
      <c r="V34" s="118">
        <f>Financials!V9/Financials!U9-1</f>
        <v>-4.3478260862759854E-2</v>
      </c>
      <c r="W34" s="118">
        <f>Financials!W9/Financials!V9-1</f>
        <v>-4.5454545447107475E-2</v>
      </c>
      <c r="X34" s="118">
        <f>Financials!X9/Financials!W9-1</f>
        <v>0</v>
      </c>
      <c r="Y34" s="118">
        <f>Financials!Y9/Financials!X9-1</f>
        <v>-9.5238095221768737E-2</v>
      </c>
      <c r="Z34" s="118">
        <f>Financials!Z9/Financials!Y9-1</f>
        <v>-5.2631578937396006E-2</v>
      </c>
      <c r="AA34" s="118">
        <f>Financials!AA9/Financials!Z9-1</f>
        <v>0.66666666483333326</v>
      </c>
      <c r="AB34" s="118">
        <f>Financials!AB9/Financials!AA9-1</f>
        <v>-1</v>
      </c>
      <c r="AC34" s="118" t="e">
        <f>Financials!AC9/Financials!AB9-1</f>
        <v>#DIV/0!</v>
      </c>
      <c r="AD34" s="118">
        <f>Financials!AD9/Financials!AC9-1</f>
        <v>-5.5555555450000016E-2</v>
      </c>
      <c r="AE34" s="118">
        <f>Financials!AE9/Financials!AD9-1</f>
        <v>-5.8823529399307906E-2</v>
      </c>
      <c r="AF34" s="118">
        <f>Financials!AF9/Financials!AE9-1</f>
        <v>-6.2499999985937582E-2</v>
      </c>
      <c r="AG34" s="118">
        <f>Financials!AG9/Financials!AF9-1</f>
        <v>-6.6666666650666562E-2</v>
      </c>
      <c r="AH34" s="118">
        <f>Financials!AH9/Financials!AG9-1</f>
        <v>0.62857142848693881</v>
      </c>
      <c r="AI34" s="118">
        <f>Financials!AI9/Financials!AH9-1</f>
        <v>1.3684210523822715</v>
      </c>
      <c r="AJ34" s="118">
        <f>Financials!AJ9/Financials!AI9-1</f>
        <v>-2.7777777783333235E-2</v>
      </c>
      <c r="AK34" s="118">
        <f>Financials!AK9/Financials!AJ9-1</f>
        <v>-2.8571428577306213E-2</v>
      </c>
      <c r="AL34" s="118">
        <f>Financials!AL9/Financials!AK9-1</f>
        <v>-1</v>
      </c>
    </row>
    <row r="35" spans="1:38" hidden="1">
      <c r="A35" s="10" t="s">
        <v>207</v>
      </c>
      <c r="B35" s="116" t="s">
        <v>196</v>
      </c>
      <c r="C35" s="118" t="e">
        <f>Financials!C10/Financials!#REF!-1</f>
        <v>#REF!</v>
      </c>
      <c r="D35" s="118">
        <f>Financials!D10/Financials!C10-1</f>
        <v>0.49212483720406075</v>
      </c>
      <c r="E35" s="118">
        <f>Financials!E10/Financials!D10-1</f>
        <v>3.1521443390340353E-2</v>
      </c>
      <c r="F35" s="118">
        <f>Financials!F10/Financials!E10-1</f>
        <v>-0.84944629175107911</v>
      </c>
      <c r="G35" s="118">
        <f>Financials!G10/Financials!F10-1</f>
        <v>-0.76488237292867178</v>
      </c>
      <c r="H35" s="118">
        <f>Financials!H10/Financials!G10-1</f>
        <v>3.0215383786963379</v>
      </c>
      <c r="I35" s="118">
        <f>Financials!I10/Financials!H10-1</f>
        <v>8.1781272639356306E-2</v>
      </c>
      <c r="J35" s="118">
        <f>Financials!J10/Financials!I10-1</f>
        <v>-0.68124081899785849</v>
      </c>
      <c r="K35" s="118">
        <f>Financials!K10/Financials!J10-1</f>
        <v>-3.4120857983881092E-2</v>
      </c>
      <c r="L35" s="118"/>
      <c r="M35" s="118">
        <f>Financials!M10/Financials!K10-1</f>
        <v>-0.23160773348120056</v>
      </c>
      <c r="N35" s="118">
        <f>Financials!N10/Financials!M10-1</f>
        <v>-9.1965196266039939E-2</v>
      </c>
      <c r="O35" s="118">
        <f>Financials!O10/Financials!N10-1</f>
        <v>28.35118444883356</v>
      </c>
      <c r="P35" s="118">
        <f>Financials!P10/Financials!O10-1</f>
        <v>-0.96874130583674123</v>
      </c>
      <c r="Q35" s="118">
        <f>Financials!Q10/Financials!P10-1</f>
        <v>4.269926434130622E-2</v>
      </c>
      <c r="R35" s="118">
        <f>Financials!R10/Financials!Q10-1</f>
        <v>-0.61586547336789954</v>
      </c>
      <c r="S35" s="118">
        <f>Financials!S10/Financials!R10-1</f>
        <v>-1.1109971063917587</v>
      </c>
      <c r="T35" s="118">
        <f>Financials!T10/Financials!S10-1</f>
        <v>-2.9425528356562332</v>
      </c>
      <c r="U35" s="118">
        <f>Financials!U10/Financials!T10-1</f>
        <v>2.605482582258325</v>
      </c>
      <c r="V35" s="118">
        <f>Financials!V10/Financials!U10-1</f>
        <v>1.542397575687442</v>
      </c>
      <c r="W35" s="118">
        <f>Financials!W10/Financials!V10-1</f>
        <v>0.52956596331379147</v>
      </c>
      <c r="X35" s="118">
        <f>Financials!X10/Financials!W10-1</f>
        <v>0.10392728795106354</v>
      </c>
      <c r="Y35" s="118">
        <f>Financials!Y10/Financials!X10-1</f>
        <v>0.22757542091515814</v>
      </c>
      <c r="Z35" s="118">
        <f>Financials!Z10/Financials!Y10-1</f>
        <v>0.17065072842477003</v>
      </c>
      <c r="AA35" s="118">
        <f>Financials!AA10/Financials!Z10-1</f>
        <v>12.490319008348337</v>
      </c>
      <c r="AB35" s="118">
        <f>Financials!AB10/Financials!AA10-1</f>
        <v>-0.76550603995821986</v>
      </c>
      <c r="AC35" s="118">
        <f>Financials!AC10/Financials!AB10-1</f>
        <v>2.4442692395545156</v>
      </c>
      <c r="AD35" s="118">
        <f>Financials!AD10/Financials!AC10-1</f>
        <v>-0.84279719843159806</v>
      </c>
      <c r="AE35" s="118">
        <f>Financials!AE10/Financials!AD10-1</f>
        <v>0.11099857526391665</v>
      </c>
      <c r="AF35" s="118">
        <f>Financials!AF10/Financials!AE10-1</f>
        <v>8.6576004154067077E-2</v>
      </c>
      <c r="AG35" s="118">
        <f>Financials!AG10/Financials!AF10-1</f>
        <v>-0.41990498688296163</v>
      </c>
      <c r="AH35" s="118">
        <f>Financials!AH10/Financials!AG10-1</f>
        <v>-0.2201450095023828</v>
      </c>
      <c r="AI35" s="118">
        <f>Financials!AI10/Financials!AH10-1</f>
        <v>9.9514719976485644E-2</v>
      </c>
      <c r="AJ35" s="118">
        <f>Financials!AJ10/Financials!AI10-1</f>
        <v>1.6309528998246932</v>
      </c>
      <c r="AK35" s="118">
        <f>Financials!AK10/Financials!AJ10-1</f>
        <v>7.5786424333974312E-2</v>
      </c>
      <c r="AL35" s="118">
        <f>Financials!AL10/Financials!AK10-1</f>
        <v>-1</v>
      </c>
    </row>
    <row r="36" spans="1:38" hidden="1">
      <c r="A36" s="10" t="s">
        <v>208</v>
      </c>
      <c r="B36" s="116" t="s">
        <v>196</v>
      </c>
      <c r="C36" s="118" t="e">
        <f>Financials!C11/Financials!#REF!-1</f>
        <v>#REF!</v>
      </c>
      <c r="D36" s="118" t="e">
        <f>Financials!D11/Financials!C11-1</f>
        <v>#DIV/0!</v>
      </c>
      <c r="E36" s="118" t="e">
        <f>Financials!E11/Financials!D11-1</f>
        <v>#DIV/0!</v>
      </c>
      <c r="F36" s="118" t="e">
        <f>Financials!F11/Financials!E11-1</f>
        <v>#DIV/0!</v>
      </c>
      <c r="G36" s="118" t="e">
        <f>Financials!G11/Financials!F11-1</f>
        <v>#DIV/0!</v>
      </c>
      <c r="H36" s="118" t="e">
        <f>Financials!H11/Financials!G11-1</f>
        <v>#DIV/0!</v>
      </c>
      <c r="I36" s="118" t="e">
        <f>Financials!I11/Financials!H11-1</f>
        <v>#DIV/0!</v>
      </c>
      <c r="J36" s="118" t="e">
        <f>Financials!J11/Financials!I11-1</f>
        <v>#DIV/0!</v>
      </c>
      <c r="K36" s="118" t="e">
        <f>Financials!K11/Financials!J11-1</f>
        <v>#DIV/0!</v>
      </c>
      <c r="L36" s="118"/>
      <c r="M36" s="118" t="e">
        <f>Financials!M11/Financials!K11-1</f>
        <v>#DIV/0!</v>
      </c>
      <c r="N36" s="118" t="e">
        <f>Financials!N11/Financials!M11-1</f>
        <v>#DIV/0!</v>
      </c>
      <c r="O36" s="118" t="e">
        <f>Financials!O11/Financials!N11-1</f>
        <v>#DIV/0!</v>
      </c>
      <c r="P36" s="118" t="e">
        <f>Financials!P11/Financials!O11-1</f>
        <v>#DIV/0!</v>
      </c>
      <c r="Q36" s="118" t="e">
        <f>Financials!Q11/Financials!P11-1</f>
        <v>#DIV/0!</v>
      </c>
      <c r="R36" s="118" t="e">
        <f>Financials!R11/Financials!Q11-1</f>
        <v>#DIV/0!</v>
      </c>
      <c r="S36" s="118" t="e">
        <f>Financials!S11/Financials!R11-1</f>
        <v>#DIV/0!</v>
      </c>
      <c r="T36" s="118" t="e">
        <f>Financials!T11/Financials!S11-1</f>
        <v>#DIV/0!</v>
      </c>
      <c r="U36" s="118" t="e">
        <f>Financials!U11/Financials!T11-1</f>
        <v>#DIV/0!</v>
      </c>
      <c r="V36" s="118" t="e">
        <f>Financials!V11/Financials!U11-1</f>
        <v>#DIV/0!</v>
      </c>
      <c r="W36" s="118" t="e">
        <f>Financials!W11/Financials!V11-1</f>
        <v>#DIV/0!</v>
      </c>
      <c r="X36" s="118" t="e">
        <f>Financials!X11/Financials!W11-1</f>
        <v>#DIV/0!</v>
      </c>
      <c r="Y36" s="118" t="e">
        <f>Financials!Y11/Financials!X11-1</f>
        <v>#DIV/0!</v>
      </c>
      <c r="Z36" s="118" t="e">
        <f>Financials!Z11/Financials!Y11-1</f>
        <v>#DIV/0!</v>
      </c>
      <c r="AA36" s="118" t="e">
        <f>Financials!AA11/Financials!Z11-1</f>
        <v>#DIV/0!</v>
      </c>
      <c r="AB36" s="118" t="e">
        <f>Financials!AB11/Financials!AA11-1</f>
        <v>#DIV/0!</v>
      </c>
      <c r="AC36" s="118" t="e">
        <f>Financials!AC11/Financials!AB11-1</f>
        <v>#DIV/0!</v>
      </c>
      <c r="AD36" s="118" t="e">
        <f>Financials!AD11/Financials!AC11-1</f>
        <v>#DIV/0!</v>
      </c>
      <c r="AE36" s="118" t="e">
        <f>Financials!AE11/Financials!AD11-1</f>
        <v>#DIV/0!</v>
      </c>
      <c r="AF36" s="118" t="e">
        <f>Financials!AF11/Financials!AE11-1</f>
        <v>#DIV/0!</v>
      </c>
      <c r="AG36" s="118" t="e">
        <f>Financials!AG11/Financials!AF11-1</f>
        <v>#DIV/0!</v>
      </c>
      <c r="AH36" s="118" t="e">
        <f>Financials!AH11/Financials!AG11-1</f>
        <v>#DIV/0!</v>
      </c>
      <c r="AI36" s="118" t="e">
        <f>Financials!AI11/Financials!AH11-1</f>
        <v>#DIV/0!</v>
      </c>
      <c r="AJ36" s="118" t="e">
        <f>Financials!AJ11/Financials!AI11-1</f>
        <v>#DIV/0!</v>
      </c>
      <c r="AK36" s="118" t="e">
        <f>Financials!AK11/Financials!AJ11-1</f>
        <v>#DIV/0!</v>
      </c>
      <c r="AL36" s="118" t="e">
        <f>Financials!AL11/Financials!AK11-1</f>
        <v>#DIV/0!</v>
      </c>
    </row>
    <row r="37" spans="1:38" hidden="1">
      <c r="A37" s="10" t="s">
        <v>122</v>
      </c>
      <c r="B37" s="116" t="s">
        <v>196</v>
      </c>
      <c r="C37" s="118" t="e">
        <f>Financials!C12/Financials!#REF!-1</f>
        <v>#REF!</v>
      </c>
      <c r="D37" s="118" t="e">
        <f>Financials!D12/Financials!C12-1</f>
        <v>#DIV/0!</v>
      </c>
      <c r="E37" s="118" t="e">
        <f>Financials!E12/Financials!D12-1</f>
        <v>#DIV/0!</v>
      </c>
      <c r="F37" s="118" t="e">
        <f>Financials!F12/Financials!E12-1</f>
        <v>#DIV/0!</v>
      </c>
      <c r="G37" s="118" t="e">
        <f>Financials!G12/Financials!F12-1</f>
        <v>#DIV/0!</v>
      </c>
      <c r="H37" s="118" t="e">
        <f>Financials!H12/Financials!G12-1</f>
        <v>#DIV/0!</v>
      </c>
      <c r="I37" s="118" t="e">
        <f>Financials!I12/Financials!H12-1</f>
        <v>#DIV/0!</v>
      </c>
      <c r="J37" s="118" t="e">
        <f>Financials!J12/Financials!I12-1</f>
        <v>#DIV/0!</v>
      </c>
      <c r="K37" s="118" t="e">
        <f>Financials!K12/Financials!J12-1</f>
        <v>#DIV/0!</v>
      </c>
      <c r="L37" s="118"/>
      <c r="M37" s="118" t="e">
        <f>Financials!M12/Financials!K12-1</f>
        <v>#DIV/0!</v>
      </c>
      <c r="N37" s="118" t="e">
        <f>Financials!N12/Financials!M12-1</f>
        <v>#DIV/0!</v>
      </c>
      <c r="O37" s="118" t="e">
        <f>Financials!O12/Financials!N12-1</f>
        <v>#DIV/0!</v>
      </c>
      <c r="P37" s="118" t="e">
        <f>Financials!P12/Financials!O12-1</f>
        <v>#DIV/0!</v>
      </c>
      <c r="Q37" s="118" t="e">
        <f>Financials!Q12/Financials!P12-1</f>
        <v>#DIV/0!</v>
      </c>
      <c r="R37" s="118" t="e">
        <f>Financials!R12/Financials!Q12-1</f>
        <v>#DIV/0!</v>
      </c>
      <c r="S37" s="118" t="e">
        <f>Financials!S12/Financials!R12-1</f>
        <v>#DIV/0!</v>
      </c>
      <c r="T37" s="118" t="e">
        <f>Financials!T12/Financials!S12-1</f>
        <v>#DIV/0!</v>
      </c>
      <c r="U37" s="118" t="e">
        <f>Financials!U12/Financials!T12-1</f>
        <v>#DIV/0!</v>
      </c>
      <c r="V37" s="118" t="e">
        <f>Financials!V12/Financials!U12-1</f>
        <v>#DIV/0!</v>
      </c>
      <c r="W37" s="118" t="e">
        <f>Financials!W12/Financials!V12-1</f>
        <v>#DIV/0!</v>
      </c>
      <c r="X37" s="118" t="e">
        <f>Financials!X12/Financials!W12-1</f>
        <v>#DIV/0!</v>
      </c>
      <c r="Y37" s="118" t="e">
        <f>Financials!Y12/Financials!X12-1</f>
        <v>#DIV/0!</v>
      </c>
      <c r="Z37" s="118" t="e">
        <f>Financials!Z12/Financials!Y12-1</f>
        <v>#DIV/0!</v>
      </c>
      <c r="AA37" s="118" t="e">
        <f>Financials!AA12/Financials!Z12-1</f>
        <v>#DIV/0!</v>
      </c>
      <c r="AB37" s="118" t="e">
        <f>Financials!AB12/Financials!AA12-1</f>
        <v>#DIV/0!</v>
      </c>
      <c r="AC37" s="118" t="e">
        <f>Financials!AC12/Financials!AB12-1</f>
        <v>#DIV/0!</v>
      </c>
      <c r="AD37" s="118" t="e">
        <f>Financials!AD12/Financials!AC12-1</f>
        <v>#DIV/0!</v>
      </c>
      <c r="AE37" s="118" t="e">
        <f>Financials!AE12/Financials!AD12-1</f>
        <v>#DIV/0!</v>
      </c>
      <c r="AF37" s="118" t="e">
        <f>Financials!AF12/Financials!AE12-1</f>
        <v>#DIV/0!</v>
      </c>
      <c r="AG37" s="118" t="e">
        <f>Financials!AG12/Financials!AF12-1</f>
        <v>#DIV/0!</v>
      </c>
      <c r="AH37" s="118" t="e">
        <f>Financials!AH12/Financials!AG12-1</f>
        <v>#DIV/0!</v>
      </c>
      <c r="AI37" s="118" t="e">
        <f>Financials!AI12/Financials!AH12-1</f>
        <v>#DIV/0!</v>
      </c>
      <c r="AJ37" s="118" t="e">
        <f>Financials!AJ12/Financials!AI12-1</f>
        <v>#DIV/0!</v>
      </c>
      <c r="AK37" s="118" t="e">
        <f>Financials!AK12/Financials!AJ12-1</f>
        <v>#DIV/0!</v>
      </c>
      <c r="AL37" s="118" t="e">
        <f>Financials!AL12/Financials!AK12-1</f>
        <v>#DIV/0!</v>
      </c>
    </row>
    <row r="38" spans="1:38" hidden="1">
      <c r="A38" s="10"/>
      <c r="B38" s="114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hidden="1">
      <c r="A39" s="17" t="s">
        <v>209</v>
      </c>
      <c r="B39" s="1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spans="1:38" hidden="1">
      <c r="A40" s="10" t="s">
        <v>210</v>
      </c>
      <c r="B40" s="116" t="s">
        <v>196</v>
      </c>
      <c r="C40" s="14" t="e">
        <f>Financials!C48/((Financials!C6+Financials!#REF!)/2)</f>
        <v>#REF!</v>
      </c>
      <c r="D40" s="14">
        <f>Financials!D48/((Financials!D6+Financials!C6)/2)</f>
        <v>7.9598451721496992E-5</v>
      </c>
      <c r="E40" s="14">
        <f>Financials!E48/((Financials!E6+Financials!D6)/2)</f>
        <v>7.9586258916817599E-5</v>
      </c>
      <c r="F40" s="14">
        <f>Financials!F48/((Financials!F6+Financials!E6)/2)</f>
        <v>7.7715167325409398E-5</v>
      </c>
      <c r="G40" s="14">
        <f>Financials!G48/((Financials!G6+Financials!F6)/2)</f>
        <v>7.6754433390260803E-5</v>
      </c>
      <c r="H40" s="14">
        <f>Financials!H48/((Financials!H6+Financials!G6)/2)</f>
        <v>7.7021526800730839E-5</v>
      </c>
      <c r="I40" s="14">
        <f>Financials!I48/((Financials!I6+Financials!H6)/2)</f>
        <v>7.6939166785421401E-5</v>
      </c>
      <c r="J40" s="14">
        <f>Financials!J48/((Financials!J6+Financials!I6)/2)</f>
        <v>7.6744755352404589E-5</v>
      </c>
      <c r="K40" s="14">
        <f>Financials!K48/((Financials!K6+Financials!J6)/2)</f>
        <v>7.6223028263943708E-5</v>
      </c>
      <c r="L40" s="14"/>
      <c r="M40" s="14">
        <f>Financials!M48/((Financials!M6+Financials!K6)/2)</f>
        <v>2.8392080754789878E-4</v>
      </c>
      <c r="N40" s="14">
        <f>Financials!N48/((Financials!N6+Financials!M6)/2)</f>
        <v>2.8622532766445902E-4</v>
      </c>
      <c r="O40" s="14">
        <f>Financials!O48/((Financials!O6+Financials!N6)/2)</f>
        <v>8.021531496017284E-2</v>
      </c>
      <c r="P40" s="14">
        <f>Financials!P48/((Financials!P6+Financials!O6)/2)</f>
        <v>0</v>
      </c>
      <c r="Q40" s="14">
        <f>Financials!Q48/((Financials!Q6+Financials!P6)/2)</f>
        <v>1.1623066028264199E-6</v>
      </c>
      <c r="R40" s="14">
        <f>Financials!R48/((Financials!R6+Financials!Q6)/2)</f>
        <v>0</v>
      </c>
      <c r="S40" s="14">
        <f>Financials!S48/((Financials!S6+Financials!R6)/2)</f>
        <v>0</v>
      </c>
      <c r="T40" s="14">
        <f>Financials!T48/((Financials!T6+Financials!S6)/2)</f>
        <v>0</v>
      </c>
      <c r="U40" s="14">
        <f>Financials!U48/((Financials!U6+Financials!T6)/2)</f>
        <v>0</v>
      </c>
      <c r="V40" s="14">
        <f>Financials!V48/((Financials!V6+Financials!U6)/2)</f>
        <v>0</v>
      </c>
      <c r="W40" s="14">
        <f>Financials!W48/((Financials!W6+Financials!V6)/2)</f>
        <v>0</v>
      </c>
      <c r="X40" s="14">
        <f>Financials!X48/((Financials!X6+Financials!W6)/2)</f>
        <v>0</v>
      </c>
      <c r="Y40" s="14">
        <f>Financials!Y48/((Financials!Y6+Financials!X6)/2)</f>
        <v>0</v>
      </c>
      <c r="Z40" s="14">
        <f>Financials!Z48/((Financials!Z6+Financials!Y6)/2)</f>
        <v>0</v>
      </c>
      <c r="AA40" s="14">
        <f>Financials!AA48/((Financials!AA6+Financials!Z6)/2)</f>
        <v>5.8297972173188654E-2</v>
      </c>
      <c r="AB40" s="14">
        <f>Financials!AB48/((Financials!AB6+Financials!AA6)/2)</f>
        <v>4.1048239187215882E-2</v>
      </c>
      <c r="AC40" s="14">
        <f>Financials!AC48/((Financials!AC6+Financials!AB6)/2)</f>
        <v>0.10071703786217578</v>
      </c>
      <c r="AD40" s="14">
        <f>Financials!AD48/((Financials!AD6+Financials!AC6)/2)</f>
        <v>0</v>
      </c>
      <c r="AE40" s="14">
        <f>Financials!AE48/((Financials!AE6+Financials!AD6)/2)</f>
        <v>0</v>
      </c>
      <c r="AF40" s="14">
        <f>Financials!AF48/((Financials!AF6+Financials!AE6)/2)</f>
        <v>0</v>
      </c>
      <c r="AG40" s="14">
        <f>Financials!AG48/((Financials!AG6+Financials!AF6)/2)</f>
        <v>0</v>
      </c>
      <c r="AH40" s="14">
        <f>Financials!AH48/((Financials!AH6+Financials!AG6)/2)</f>
        <v>0</v>
      </c>
      <c r="AI40" s="14">
        <f>Financials!AI48/((Financials!AI6+Financials!AH6)/2)</f>
        <v>0</v>
      </c>
      <c r="AJ40" s="14">
        <f>Financials!AJ48/((Financials!AJ6+Financials!AI6)/2)</f>
        <v>0</v>
      </c>
      <c r="AK40" s="14">
        <f>Financials!AK48/((Financials!AK6+Financials!AJ6)/2)</f>
        <v>0</v>
      </c>
      <c r="AL40" s="14">
        <f>Financials!AL48/((Financials!AL6+Financials!AK6)/2)</f>
        <v>0</v>
      </c>
    </row>
    <row r="41" spans="1:38" hidden="1">
      <c r="A41" s="10" t="s">
        <v>211</v>
      </c>
      <c r="B41" s="116" t="s">
        <v>196</v>
      </c>
      <c r="C41" s="14" t="e">
        <f>Financials!C49/((Financials!C7+Financials!#REF!)/2)</f>
        <v>#REF!</v>
      </c>
      <c r="D41" s="14">
        <f>Financials!D49/((Financials!D7+Financials!C7)/2)</f>
        <v>0</v>
      </c>
      <c r="E41" s="14">
        <f>Financials!E49/((Financials!E7+Financials!D7)/2)</f>
        <v>0</v>
      </c>
      <c r="F41" s="14">
        <f>Financials!F49/((Financials!F7+Financials!E7)/2)</f>
        <v>0</v>
      </c>
      <c r="G41" s="14">
        <f>Financials!G49/((Financials!G7+Financials!F7)/2)</f>
        <v>0</v>
      </c>
      <c r="H41" s="14">
        <f>Financials!H49/((Financials!H7+Financials!G7)/2)</f>
        <v>0</v>
      </c>
      <c r="I41" s="14">
        <f>Financials!I49/((Financials!I7+Financials!H7)/2)</f>
        <v>0</v>
      </c>
      <c r="J41" s="14">
        <f>Financials!J49/((Financials!J7+Financials!I7)/2)</f>
        <v>0</v>
      </c>
      <c r="K41" s="14">
        <f>Financials!K49/((Financials!K7+Financials!J7)/2)</f>
        <v>0</v>
      </c>
      <c r="L41" s="14"/>
      <c r="M41" s="14">
        <f>Financials!M49/((Financials!M7+Financials!K7)/2)</f>
        <v>0</v>
      </c>
      <c r="N41" s="14">
        <f>Financials!N49/((Financials!N7+Financials!M7)/2)</f>
        <v>0</v>
      </c>
      <c r="O41" s="14">
        <f>Financials!O49/((Financials!O7+Financials!N7)/2)</f>
        <v>0</v>
      </c>
      <c r="P41" s="14">
        <f>Financials!P49/((Financials!P7+Financials!O7)/2)</f>
        <v>0</v>
      </c>
      <c r="Q41" s="14">
        <f>Financials!Q49/((Financials!Q7+Financials!P7)/2)</f>
        <v>0</v>
      </c>
      <c r="R41" s="14">
        <f>Financials!R49/((Financials!R7+Financials!Q7)/2)</f>
        <v>0</v>
      </c>
      <c r="S41" s="14">
        <f>Financials!S49/((Financials!S7+Financials!R7)/2)</f>
        <v>0</v>
      </c>
      <c r="T41" s="14">
        <f>Financials!T49/((Financials!T7+Financials!S7)/2)</f>
        <v>0</v>
      </c>
      <c r="U41" s="14">
        <f>Financials!U49/((Financials!U7+Financials!T7)/2)</f>
        <v>0</v>
      </c>
      <c r="V41" s="14">
        <f>Financials!V49/((Financials!V7+Financials!U7)/2)</f>
        <v>0</v>
      </c>
      <c r="W41" s="14">
        <f>Financials!W49/((Financials!W7+Financials!V7)/2)</f>
        <v>0</v>
      </c>
      <c r="X41" s="14">
        <f>Financials!X49/((Financials!X7+Financials!W7)/2)</f>
        <v>0</v>
      </c>
      <c r="Y41" s="14">
        <f>Financials!Y49/((Financials!Y7+Financials!X7)/2)</f>
        <v>0</v>
      </c>
      <c r="Z41" s="14">
        <f>Financials!Z49/((Financials!Z7+Financials!Y7)/2)</f>
        <v>0</v>
      </c>
      <c r="AA41" s="14">
        <f>Financials!AA49/((Financials!AA7+Financials!Z7)/2)</f>
        <v>0</v>
      </c>
      <c r="AB41" s="14">
        <f>Financials!AB49/((Financials!AB7+Financials!AA7)/2)</f>
        <v>0</v>
      </c>
      <c r="AC41" s="14">
        <f>Financials!AC49/((Financials!AC7+Financials!AB7)/2)</f>
        <v>0</v>
      </c>
      <c r="AD41" s="14">
        <f>Financials!AD49/((Financials!AD7+Financials!AC7)/2)</f>
        <v>0</v>
      </c>
      <c r="AE41" s="14">
        <f>Financials!AE49/((Financials!AE7+Financials!AD7)/2)</f>
        <v>0</v>
      </c>
      <c r="AF41" s="14">
        <f>Financials!AF49/((Financials!AF7+Financials!AE7)/2)</f>
        <v>0</v>
      </c>
      <c r="AG41" s="14">
        <f>Financials!AG49/((Financials!AG7+Financials!AF7)/2)</f>
        <v>0</v>
      </c>
      <c r="AH41" s="14">
        <f>Financials!AH49/((Financials!AH7+Financials!AG7)/2)</f>
        <v>0</v>
      </c>
      <c r="AI41" s="14">
        <f>Financials!AI49/((Financials!AI7+Financials!AH7)/2)</f>
        <v>0</v>
      </c>
      <c r="AJ41" s="14">
        <f>Financials!AJ49/((Financials!AJ7+Financials!AI7)/2)</f>
        <v>0</v>
      </c>
      <c r="AK41" s="14">
        <f>Financials!AK49/((Financials!AK7+Financials!AJ7)/2)</f>
        <v>0</v>
      </c>
      <c r="AL41" s="14">
        <f>Financials!AL49/((Financials!AL7+Financials!AK7)/2)</f>
        <v>0</v>
      </c>
    </row>
    <row r="42" spans="1:38" hidden="1">
      <c r="A42" s="10" t="s">
        <v>212</v>
      </c>
      <c r="B42" s="116" t="s">
        <v>196</v>
      </c>
      <c r="C42" s="14" t="e">
        <f>Financials!C50/((Financials!C8+Financials!#REF!)/2)</f>
        <v>#REF!</v>
      </c>
      <c r="D42" s="14">
        <f>Financials!D50/((Financials!D8+Financials!C8)/2)</f>
        <v>0</v>
      </c>
      <c r="E42" s="14">
        <f>Financials!E50/((Financials!E8+Financials!D8)/2)</f>
        <v>0</v>
      </c>
      <c r="F42" s="14">
        <f>Financials!F50/((Financials!F8+Financials!E8)/2)</f>
        <v>0</v>
      </c>
      <c r="G42" s="14">
        <f>Financials!G50/((Financials!G8+Financials!F8)/2)</f>
        <v>0</v>
      </c>
      <c r="H42" s="14">
        <f>Financials!H50/((Financials!H8+Financials!G8)/2)</f>
        <v>0</v>
      </c>
      <c r="I42" s="14">
        <f>Financials!I50/((Financials!I8+Financials!H8)/2)</f>
        <v>0</v>
      </c>
      <c r="J42" s="14">
        <f>Financials!J50/((Financials!J8+Financials!I8)/2)</f>
        <v>0</v>
      </c>
      <c r="K42" s="14">
        <f>Financials!K50/((Financials!K8+Financials!J8)/2)</f>
        <v>0</v>
      </c>
      <c r="L42" s="14"/>
      <c r="M42" s="14">
        <f>Financials!M50/((Financials!M8+Financials!K8)/2)</f>
        <v>0</v>
      </c>
      <c r="N42" s="14">
        <f>Financials!N50/((Financials!N8+Financials!M8)/2)</f>
        <v>0</v>
      </c>
      <c r="O42" s="14">
        <f>Financials!O50/((Financials!O8+Financials!N8)/2)</f>
        <v>0</v>
      </c>
      <c r="P42" s="14">
        <f>Financials!P50/((Financials!P8+Financials!O8)/2)</f>
        <v>0</v>
      </c>
      <c r="Q42" s="14">
        <f>Financials!Q50/((Financials!Q8+Financials!P8)/2)</f>
        <v>0</v>
      </c>
      <c r="R42" s="14">
        <f>Financials!R50/((Financials!R8+Financials!Q8)/2)</f>
        <v>0</v>
      </c>
      <c r="S42" s="14">
        <f>Financials!S50/((Financials!S8+Financials!R8)/2)</f>
        <v>0</v>
      </c>
      <c r="T42" s="14">
        <f>Financials!T50/((Financials!T8+Financials!S8)/2)</f>
        <v>0</v>
      </c>
      <c r="U42" s="14">
        <f>Financials!U50/((Financials!U8+Financials!T8)/2)</f>
        <v>0</v>
      </c>
      <c r="V42" s="14">
        <f>Financials!V50/((Financials!V8+Financials!U8)/2)</f>
        <v>0</v>
      </c>
      <c r="W42" s="14">
        <f>Financials!W50/((Financials!W8+Financials!V8)/2)</f>
        <v>0</v>
      </c>
      <c r="X42" s="14">
        <f>Financials!X50/((Financials!X8+Financials!W8)/2)</f>
        <v>0</v>
      </c>
      <c r="Y42" s="14">
        <f>Financials!Y50/((Financials!Y8+Financials!X8)/2)</f>
        <v>0</v>
      </c>
      <c r="Z42" s="14">
        <f>Financials!Z50/((Financials!Z8+Financials!Y8)/2)</f>
        <v>0</v>
      </c>
      <c r="AA42" s="14">
        <f>Financials!AA50/((Financials!AA8+Financials!Z8)/2)</f>
        <v>0</v>
      </c>
      <c r="AB42" s="14">
        <f>Financials!AB50/((Financials!AB8+Financials!AA8)/2)</f>
        <v>0</v>
      </c>
      <c r="AC42" s="14">
        <f>Financials!AC50/((Financials!AC8+Financials!AB8)/2)</f>
        <v>0</v>
      </c>
      <c r="AD42" s="14">
        <f>Financials!AD50/((Financials!AD8+Financials!AC8)/2)</f>
        <v>0</v>
      </c>
      <c r="AE42" s="14">
        <f>Financials!AE50/((Financials!AE8+Financials!AD8)/2)</f>
        <v>0</v>
      </c>
      <c r="AF42" s="14">
        <f>Financials!AF50/((Financials!AF8+Financials!AE8)/2)</f>
        <v>0</v>
      </c>
      <c r="AG42" s="14">
        <f>Financials!AG50/((Financials!AG8+Financials!AF8)/2)</f>
        <v>0</v>
      </c>
      <c r="AH42" s="14">
        <f>Financials!AH50/((Financials!AH8+Financials!AG8)/2)</f>
        <v>0</v>
      </c>
      <c r="AI42" s="14">
        <f>Financials!AI50/((Financials!AI8+Financials!AH8)/2)</f>
        <v>0</v>
      </c>
      <c r="AJ42" s="14">
        <f>Financials!AJ50/((Financials!AJ8+Financials!AI8)/2)</f>
        <v>0</v>
      </c>
      <c r="AK42" s="14">
        <f>Financials!AK50/((Financials!AK8+Financials!AJ8)/2)</f>
        <v>0</v>
      </c>
      <c r="AL42" s="14">
        <f>Financials!AL50/((Financials!AL8+Financials!AK8)/2)</f>
        <v>0</v>
      </c>
    </row>
    <row r="43" spans="1:38" hidden="1">
      <c r="A43" s="10" t="s">
        <v>213</v>
      </c>
      <c r="B43" s="116" t="s">
        <v>196</v>
      </c>
      <c r="C43" s="14" t="e">
        <f>Financials!C51/((Financials!C9+Financials!#REF!)/2)</f>
        <v>#REF!</v>
      </c>
      <c r="D43" s="14" t="e">
        <f>Financials!D51/((Financials!D9+Financials!C9)/2)</f>
        <v>#REF!</v>
      </c>
      <c r="E43" s="14" t="e">
        <f>Financials!E51/((Financials!E9+Financials!D9)/2)</f>
        <v>#REF!</v>
      </c>
      <c r="F43" s="14" t="e">
        <f>Financials!F51/((Financials!F9+Financials!E9)/2)</f>
        <v>#REF!</v>
      </c>
      <c r="G43" s="14" t="e">
        <f>Financials!G51/((Financials!G9+Financials!F9)/2)</f>
        <v>#REF!</v>
      </c>
      <c r="H43" s="14" t="e">
        <f>Financials!H51/((Financials!H9+Financials!G9)/2)</f>
        <v>#REF!</v>
      </c>
      <c r="I43" s="14" t="e">
        <f>Financials!I51/((Financials!I9+Financials!H9)/2)</f>
        <v>#REF!</v>
      </c>
      <c r="J43" s="14" t="e">
        <f>Financials!J51/((Financials!J9+Financials!I9)/2)</f>
        <v>#REF!</v>
      </c>
      <c r="K43" s="14" t="e">
        <f>Financials!K51/((Financials!K9+Financials!J9)/2)</f>
        <v>#REF!</v>
      </c>
      <c r="L43" s="14"/>
      <c r="M43" s="14" t="e">
        <f>Financials!M51/((Financials!M9+Financials!K9)/2)</f>
        <v>#REF!</v>
      </c>
      <c r="N43" s="14" t="e">
        <f>Financials!N51/((Financials!N9+Financials!M9)/2)</f>
        <v>#REF!</v>
      </c>
      <c r="O43" s="14" t="e">
        <f>Financials!O51/((Financials!O9+Financials!N9)/2)</f>
        <v>#REF!</v>
      </c>
      <c r="P43" s="14" t="e">
        <f>Financials!P51/((Financials!P9+Financials!O9)/2)</f>
        <v>#REF!</v>
      </c>
      <c r="Q43" s="14" t="e">
        <f>Financials!Q51/((Financials!Q9+Financials!P9)/2)</f>
        <v>#REF!</v>
      </c>
      <c r="R43" s="14" t="e">
        <f>Financials!R51/((Financials!R9+Financials!Q9)/2)</f>
        <v>#REF!</v>
      </c>
      <c r="S43" s="14" t="e">
        <f>Financials!S51/((Financials!S9+Financials!R9)/2)</f>
        <v>#REF!</v>
      </c>
      <c r="T43" s="14" t="e">
        <f>Financials!T51/((Financials!T9+Financials!S9)/2)</f>
        <v>#REF!</v>
      </c>
      <c r="U43" s="14" t="e">
        <f>Financials!U51/((Financials!U9+Financials!T9)/2)</f>
        <v>#REF!</v>
      </c>
      <c r="V43" s="14" t="e">
        <f>Financials!V51/((Financials!V9+Financials!U9)/2)</f>
        <v>#REF!</v>
      </c>
      <c r="W43" s="14" t="e">
        <f>Financials!W51/((Financials!W9+Financials!V9)/2)</f>
        <v>#REF!</v>
      </c>
      <c r="X43" s="14" t="e">
        <f>Financials!X51/((Financials!X9+Financials!W9)/2)</f>
        <v>#REF!</v>
      </c>
      <c r="Y43" s="14" t="e">
        <f>Financials!Y51/((Financials!Y9+Financials!X9)/2)</f>
        <v>#REF!</v>
      </c>
      <c r="Z43" s="14" t="e">
        <f>Financials!Z51/((Financials!Z9+Financials!Y9)/2)</f>
        <v>#REF!</v>
      </c>
      <c r="AA43" s="14" t="e">
        <f>Financials!AA51/((Financials!AA9+Financials!Z9)/2)</f>
        <v>#REF!</v>
      </c>
      <c r="AB43" s="14" t="e">
        <f>Financials!AB51/((Financials!AB9+Financials!AA9)/2)</f>
        <v>#REF!</v>
      </c>
      <c r="AC43" s="14" t="e">
        <f>Financials!AC51/((Financials!AC9+Financials!AB9)/2)</f>
        <v>#REF!</v>
      </c>
      <c r="AD43" s="14" t="e">
        <f>Financials!AD51/((Financials!AD9+Financials!AC9)/2)</f>
        <v>#REF!</v>
      </c>
      <c r="AE43" s="14" t="e">
        <f>Financials!AE51/((Financials!AE9+Financials!AD9)/2)</f>
        <v>#REF!</v>
      </c>
      <c r="AF43" s="14" t="e">
        <f>Financials!AF51/((Financials!AF9+Financials!AE9)/2)</f>
        <v>#REF!</v>
      </c>
      <c r="AG43" s="14" t="e">
        <f>Financials!AG51/((Financials!AG9+Financials!AF9)/2)</f>
        <v>#REF!</v>
      </c>
      <c r="AH43" s="14" t="e">
        <f>Financials!AH51/((Financials!AH9+Financials!AG9)/2)</f>
        <v>#REF!</v>
      </c>
      <c r="AI43" s="14" t="e">
        <f>Financials!AI51/((Financials!AI9+Financials!AH9)/2)</f>
        <v>#REF!</v>
      </c>
      <c r="AJ43" s="14" t="e">
        <f>Financials!AJ51/((Financials!AJ9+Financials!AI9)/2)</f>
        <v>#REF!</v>
      </c>
      <c r="AK43" s="14" t="e">
        <f>Financials!AK51/((Financials!AK9+Financials!AJ9)/2)</f>
        <v>#REF!</v>
      </c>
      <c r="AL43" s="14" t="e">
        <f>Financials!AL51/((Financials!AL9+Financials!AK9)/2)</f>
        <v>#REF!</v>
      </c>
    </row>
    <row r="44" spans="1:38" hidden="1">
      <c r="A44" s="10" t="s">
        <v>214</v>
      </c>
      <c r="B44" s="116" t="s">
        <v>196</v>
      </c>
      <c r="C44" s="14" t="e">
        <f>Financials!C52/((Financials!C10+Financials!#REF!)/2)</f>
        <v>#REF!</v>
      </c>
      <c r="D44" s="14">
        <f>Financials!D52/((Financials!D10+Financials!C10)/2)</f>
        <v>1.0451099549935549E-2</v>
      </c>
      <c r="E44" s="14">
        <f>Financials!E52/((Financials!E10+Financials!D10)/2)</f>
        <v>2.1578656080248004E-2</v>
      </c>
      <c r="F44" s="14">
        <f>Financials!F52/((Financials!F10+Financials!E10)/2)</f>
        <v>4.9729993720913919E-2</v>
      </c>
      <c r="G44" s="14">
        <f>Financials!G52/((Financials!G10+Financials!F10)/2)</f>
        <v>0.46052964589994333</v>
      </c>
      <c r="H44" s="14">
        <f>Financials!H52/((Financials!H10+Financials!G10)/2)</f>
        <v>0.50184094323839334</v>
      </c>
      <c r="I44" s="14">
        <f>Financials!I52/((Financials!I10+Financials!H10)/2)</f>
        <v>0.3574444091108549</v>
      </c>
      <c r="J44" s="14">
        <f>Financials!J52/((Financials!J10+Financials!I10)/2)</f>
        <v>0.81545611409247643</v>
      </c>
      <c r="K44" s="14">
        <f>Financials!K52/((Financials!K10+Financials!J10)/2)</f>
        <v>2.0446544969155203</v>
      </c>
      <c r="L44" s="14"/>
      <c r="M44" s="14">
        <f>Financials!M52/((Financials!M10+Financials!K10)/2)</f>
        <v>2.7190341907531108</v>
      </c>
      <c r="N44" s="14">
        <f>Financials!N52/((Financials!N10+Financials!M10)/2)</f>
        <v>3.5044768762057918</v>
      </c>
      <c r="O44" s="14">
        <f>Financials!O52/((Financials!O10+Financials!N10)/2)</f>
        <v>0.18017044292038253</v>
      </c>
      <c r="P44" s="14">
        <f>Financials!P52/((Financials!P10+Financials!O10)/2)</f>
        <v>2.3973321102327486E-2</v>
      </c>
      <c r="Q44" s="14">
        <f>Financials!Q52/((Financials!Q10+Financials!P10)/2)</f>
        <v>1.1034379708891533</v>
      </c>
      <c r="R44" s="14">
        <f>Financials!R52/((Financials!R10+Financials!Q10)/2)</f>
        <v>2.3858861570220724</v>
      </c>
      <c r="S44" s="14">
        <f>Financials!S52/((Financials!S10+Financials!R10)/2)</f>
        <v>11.236069618471594</v>
      </c>
      <c r="T44" s="14">
        <f>Financials!T52/((Financials!T10+Financials!S10)/2)</f>
        <v>103.94351845840376</v>
      </c>
      <c r="U44" s="14">
        <f>Financials!U52/((Financials!U10+Financials!T10)/2)</f>
        <v>14.171965786776644</v>
      </c>
      <c r="V44" s="14">
        <f>Financials!V52/((Financials!V10+Financials!U10)/2)</f>
        <v>5.272029144831512</v>
      </c>
      <c r="W44" s="14">
        <f>Financials!W52/((Financials!W10+Financials!V10)/2)</f>
        <v>3.3112182123451617</v>
      </c>
      <c r="X44" s="14">
        <f>Financials!X52/((Financials!X10+Financials!W10)/2)</f>
        <v>3.8094855663352543</v>
      </c>
      <c r="Y44" s="14">
        <f>Financials!Y52/((Financials!Y10+Financials!X10)/2)</f>
        <v>4.0512901555331489</v>
      </c>
      <c r="Z44" s="14">
        <f>Financials!Z52/((Financials!Z10+Financials!Y10)/2)</f>
        <v>3.7913250181438207</v>
      </c>
      <c r="AA44" s="14">
        <f>Financials!AA52/((Financials!AA10+Financials!Z10)/2)</f>
        <v>0.34356988905234753</v>
      </c>
      <c r="AB44" s="14">
        <f>Financials!AB52/((Financials!AB10+Financials!AA10)/2)</f>
        <v>-0.11262961937441399</v>
      </c>
      <c r="AC44" s="14">
        <f>Financials!AC52/((Financials!AC10+Financials!AB10)/2)</f>
        <v>0.40584274158770278</v>
      </c>
      <c r="AD44" s="14">
        <f>Financials!AD52/((Financials!AD10+Financials!AC10)/2)</f>
        <v>5.5601156009884668E-2</v>
      </c>
      <c r="AE44" s="14">
        <f>Financials!AE52/((Financials!AE10+Financials!AD10)/2)</f>
        <v>0.22919218157554136</v>
      </c>
      <c r="AF44" s="14">
        <f>Financials!AF52/((Financials!AF10+Financials!AE10)/2)</f>
        <v>0.41522278042873573</v>
      </c>
      <c r="AG44" s="14">
        <f>Financials!AG52/((Financials!AG10+Financials!AF10)/2)</f>
        <v>0.58939818539765787</v>
      </c>
      <c r="AH44" s="14">
        <f>Financials!AH52/((Financials!AH10+Financials!AG10)/2)</f>
        <v>1.3343569337667858</v>
      </c>
      <c r="AI44" s="14">
        <f>Financials!AI52/((Financials!AI10+Financials!AH10)/2)</f>
        <v>1.2691080452007906</v>
      </c>
      <c r="AJ44" s="14">
        <f>Financials!AJ52/((Financials!AJ10+Financials!AI10)/2)</f>
        <v>0.73448881219654405</v>
      </c>
      <c r="AK44" s="14">
        <f>Financials!AK52/((Financials!AK10+Financials!AJ10)/2)</f>
        <v>0.53220034170701869</v>
      </c>
      <c r="AL44" s="14">
        <f>Financials!AL52/((Financials!AL10+Financials!AK10)/2)</f>
        <v>1.1937277122739773</v>
      </c>
    </row>
    <row r="45" spans="1:38" hidden="1">
      <c r="A45" s="17"/>
      <c r="B45" s="114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>
      <c r="A46" s="17" t="s">
        <v>215</v>
      </c>
      <c r="B46" s="11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>
      <c r="A47" s="10" t="s">
        <v>216</v>
      </c>
      <c r="B47" s="113">
        <v>0.15</v>
      </c>
      <c r="C47" s="14">
        <f>SFP!B4/(SFP!B29+SFP!B31-SFP!B37)</f>
        <v>5.2678335404853546E-2</v>
      </c>
      <c r="D47" s="14">
        <f>SFP!C4/(SFP!C29+SFP!C31-SFP!C37)</f>
        <v>4.943153960655769E-2</v>
      </c>
      <c r="E47" s="14">
        <f>SFP!D4/(SFP!D29+SFP!D31-SFP!D37)</f>
        <v>5.7427858758866621E-2</v>
      </c>
      <c r="F47" s="14">
        <f>SFP!E4/(SFP!E29+SFP!E31-SFP!E37)</f>
        <v>2.7943439720225775E-2</v>
      </c>
      <c r="G47" s="14">
        <f>SFP!F4/(SFP!F29+SFP!F31-SFP!F37)</f>
        <v>0.10230266355368249</v>
      </c>
      <c r="H47" s="14">
        <f>SFP!G4/(SFP!G29+SFP!G31-SFP!G37)</f>
        <v>0.16515139788165153</v>
      </c>
      <c r="I47" s="14">
        <f>SFP!H4/(SFP!H29+SFP!H31-SFP!H37)</f>
        <v>0.10248193692651131</v>
      </c>
      <c r="J47" s="14">
        <f>SFP!I4/(SFP!I29+SFP!I31-SFP!I37)</f>
        <v>0.14982032992614219</v>
      </c>
      <c r="K47" s="14">
        <f>SFP!J4/(SFP!J29+SFP!J31-SFP!J37)</f>
        <v>9.7579543884868933E-2</v>
      </c>
      <c r="L47" s="14"/>
      <c r="M47" s="14">
        <f>SFP!L4/(SFP!L29+SFP!L31-SFP!L37)</f>
        <v>0.15163253682823222</v>
      </c>
      <c r="N47" s="14">
        <f>SFP!M4/(SFP!M29+SFP!M31-SFP!M37)</f>
        <v>0.16022177491454886</v>
      </c>
      <c r="O47" s="14">
        <f>SFP!N4/(SFP!N29+SFP!N31-SFP!N37)</f>
        <v>0.15403297146058811</v>
      </c>
      <c r="P47" s="14">
        <f>SFP!O4/(SFP!O29+SFP!O31-SFP!O37)</f>
        <v>0.11159313774934217</v>
      </c>
      <c r="Q47" s="14">
        <f>SFP!P4/(SFP!P29+SFP!P31-SFP!P37)</f>
        <v>0.13606139404182543</v>
      </c>
      <c r="R47" s="14">
        <f>SFP!Q4/(SFP!Q29+SFP!Q31-SFP!Q37)</f>
        <v>3.7504209250881645E-2</v>
      </c>
      <c r="S47" s="14">
        <f>SFP!R4/(SFP!R29+SFP!R31-SFP!R37)</f>
        <v>8.4233869212893692E-2</v>
      </c>
      <c r="T47" s="14">
        <f>SFP!S4/(SFP!S29+SFP!S31-SFP!S37)</f>
        <v>0.10172856239496003</v>
      </c>
      <c r="U47" s="14">
        <f>SFP!T4/(SFP!T29+SFP!T31-SFP!T37)</f>
        <v>9.808643516951486E-2</v>
      </c>
      <c r="V47" s="14">
        <f>SFP!U4/(SFP!U29+SFP!U31-SFP!U37)</f>
        <v>7.3964066116304392E-2</v>
      </c>
      <c r="W47" s="14">
        <f>SFP!V4/(SFP!V29+SFP!V31-SFP!V37)</f>
        <v>0.12809915369267003</v>
      </c>
      <c r="X47" s="14">
        <f>SFP!W4/(SFP!W29+SFP!W31-SFP!W37)</f>
        <v>8.5319724287014648E-2</v>
      </c>
      <c r="Y47" s="14">
        <f>SFP!X4/(SFP!X29+SFP!X31-SFP!X37)</f>
        <v>7.0055210673903121E-2</v>
      </c>
      <c r="Z47" s="14">
        <f>SFP!Y4/(SFP!Y29+SFP!Y31-SFP!Y37)</f>
        <v>0.10629452982643796</v>
      </c>
      <c r="AA47" s="14">
        <f>SFP!Z4/(SFP!Z29+SFP!Z31-SFP!Z37)</f>
        <v>0.15562619869603095</v>
      </c>
      <c r="AB47" s="14">
        <f>SFP!AA4/(SFP!AA29+SFP!AA31-SFP!AA37)</f>
        <v>8.4677985109388999E-9</v>
      </c>
      <c r="AC47" s="288">
        <f>SFP!AB4/(SFP!AB29+SFP!AB31-SFP!AB37)</f>
        <v>0.10836494786285293</v>
      </c>
      <c r="AD47" s="288">
        <f>SFP!AC4/(SFP!AC29+SFP!AC31-SFP!AC37)</f>
        <v>9.2925640792010961E-2</v>
      </c>
      <c r="AE47" s="288">
        <f>SFP!AD4/(SFP!AD29+SFP!AD31-SFP!AD37)</f>
        <v>1.596950105687598E-2</v>
      </c>
      <c r="AF47" s="288">
        <f>SFP!AE4/(SFP!AE29+SFP!AE31-SFP!AE37)</f>
        <v>4.4126648989552084E-2</v>
      </c>
      <c r="AG47" s="288">
        <f>SFP!AF4/(SFP!AF29+SFP!AF31-SFP!AF37)</f>
        <v>-3.563300869275237E-2</v>
      </c>
      <c r="AH47" s="288">
        <f>SFP!AG4/(SFP!AG29+SFP!AG31-SFP!AG37)</f>
        <v>-3.7786439974133605E-2</v>
      </c>
      <c r="AI47" s="288">
        <f>SFP!AH4/(SFP!AH29+SFP!AH31-SFP!AH37)</f>
        <v>8.6633336264477764E-2</v>
      </c>
      <c r="AJ47" s="288">
        <f>SFP!AI4/(SFP!AI29+SFP!AI31-SFP!AI37)</f>
        <v>3.7769385686061564E-2</v>
      </c>
      <c r="AK47" s="288">
        <f>SFP!AJ4/(SFP!AJ29+SFP!AJ31-SFP!AJ37)</f>
        <v>3.8784870360846949E-2</v>
      </c>
      <c r="AL47" s="288" t="e">
        <f>SFP!AK4/(SFP!AK29+SFP!AK31-SFP!AK37)</f>
        <v>#DIV/0!</v>
      </c>
    </row>
    <row r="48" spans="1:38">
      <c r="A48" s="10" t="s">
        <v>217</v>
      </c>
      <c r="B48" s="114"/>
      <c r="C48" s="21">
        <f>SFP!B4/(SFP!B30+SFP!B31-SFP!B37)</f>
        <v>5.0960490326410098E-2</v>
      </c>
      <c r="D48" s="21">
        <f>SFP!C4/(SFP!C30+SFP!C31-SFP!C37)</f>
        <v>4.8758864519792486E-2</v>
      </c>
      <c r="E48" s="21">
        <f>SFP!D4/(SFP!D30+SFP!D31-SFP!D37)</f>
        <v>5.6602599237638322E-2</v>
      </c>
      <c r="F48" s="21">
        <f>SFP!E4/(SFP!E30+SFP!E31-SFP!E37)</f>
        <v>2.6801457686525188E-2</v>
      </c>
      <c r="G48" s="21">
        <f>SFP!F4/(SFP!F30+SFP!F31-SFP!F37)</f>
        <v>9.9970976570832704E-2</v>
      </c>
      <c r="H48" s="21">
        <f>SFP!G4/(SFP!G30+SFP!G31-SFP!G37)</f>
        <v>0.16108421837615239</v>
      </c>
      <c r="I48" s="21">
        <f>SFP!H4/(SFP!H30+SFP!H31-SFP!H37)</f>
        <v>0.10070734124060335</v>
      </c>
      <c r="J48" s="21">
        <f>SFP!I4/(SFP!I30+SFP!I31-SFP!I37)</f>
        <v>0.1470650684838338</v>
      </c>
      <c r="K48" s="21">
        <f>SFP!J4/(SFP!J30+SFP!J31-SFP!J37)</f>
        <v>9.5827668911085309E-2</v>
      </c>
      <c r="L48" s="21"/>
      <c r="M48" s="21">
        <f>SFP!L4/(SFP!L30+SFP!L31-SFP!L37)</f>
        <v>0.14972247931859312</v>
      </c>
      <c r="N48" s="21">
        <f>SFP!M4/(SFP!M30+SFP!M31-SFP!M37)</f>
        <v>0.15831521748665359</v>
      </c>
      <c r="O48" s="21">
        <f>SFP!N4/(SFP!N30+SFP!N31-SFP!N37)</f>
        <v>0.15222284776796238</v>
      </c>
      <c r="P48" s="21">
        <f>SFP!O4/(SFP!O30+SFP!O31-SFP!O37)</f>
        <v>0.11001230160824289</v>
      </c>
      <c r="Q48" s="21">
        <f>SFP!P4/(SFP!P30+SFP!P31-SFP!P37)</f>
        <v>0.12577878739549817</v>
      </c>
      <c r="R48" s="21">
        <f>SFP!Q4/(SFP!Q30+SFP!Q31-SFP!Q37)</f>
        <v>3.6980209108956004E-2</v>
      </c>
      <c r="S48" s="21">
        <f>SFP!R4/(SFP!R30+SFP!R31-SFP!R37)</f>
        <v>8.322958708207065E-2</v>
      </c>
      <c r="T48" s="21">
        <f>SFP!S4/(SFP!S30+SFP!S31-SFP!S37)</f>
        <v>0.10025315468283356</v>
      </c>
      <c r="U48" s="21">
        <f>SFP!T4/(SFP!T30+SFP!T31-SFP!T37)</f>
        <v>9.6704411815591723E-2</v>
      </c>
      <c r="V48" s="21">
        <f>SFP!U4/(SFP!U30+SFP!U31-SFP!U37)</f>
        <v>7.2999096936155777E-2</v>
      </c>
      <c r="W48" s="21">
        <f>SFP!V4/(SFP!V30+SFP!V31-SFP!V37)</f>
        <v>0.12619439514823055</v>
      </c>
      <c r="X48" s="21">
        <f>SFP!W4/(SFP!W30+SFP!W31-SFP!W37)</f>
        <v>8.3821231005508562E-2</v>
      </c>
      <c r="Y48" s="21">
        <f>SFP!X4/(SFP!X30+SFP!X31-SFP!X37)</f>
        <v>6.7310060979891131E-2</v>
      </c>
      <c r="Z48" s="21">
        <f>SFP!Y4/(SFP!Y30+SFP!Y31-SFP!Y37)</f>
        <v>0.10350642884701294</v>
      </c>
      <c r="AA48" s="21">
        <f>SFP!Z4/(SFP!Z30+SFP!Z31-SFP!Z37)</f>
        <v>0.15377871803428492</v>
      </c>
      <c r="AB48" s="21">
        <f>SFP!AA4/(SFP!AA30+SFP!AA31-SFP!AA37)</f>
        <v>8.4674868594890763E-9</v>
      </c>
      <c r="AC48" s="21">
        <f>SFP!AB4/(SFP!AB30+SFP!AB31-SFP!AB37)</f>
        <v>0.10582859809584597</v>
      </c>
      <c r="AD48" s="21">
        <f>SFP!AC4/(SFP!AC30+SFP!AC31-SFP!AC37)</f>
        <v>9.1084116888746E-2</v>
      </c>
      <c r="AE48" s="21">
        <f>SFP!AD4/(SFP!AD30+SFP!AD31-SFP!AD37)</f>
        <v>1.5677113230688718E-2</v>
      </c>
      <c r="AF48" s="21">
        <f>SFP!AE4/(SFP!AE30+SFP!AE31-SFP!AE37)</f>
        <v>4.2650606354904363E-2</v>
      </c>
      <c r="AG48" s="21">
        <f>SFP!AF4/(SFP!AF30+SFP!AF31-SFP!AF37)</f>
        <v>-3.4820842080826836E-2</v>
      </c>
      <c r="AH48" s="21">
        <f>SFP!AG4/(SFP!AG30+SFP!AG31-SFP!AG37)</f>
        <v>-3.7095349212269542E-2</v>
      </c>
      <c r="AI48" s="21">
        <f>SFP!AH4/(SFP!AH30+SFP!AH31-SFP!AH37)</f>
        <v>8.4665214931703717E-2</v>
      </c>
      <c r="AJ48" s="21">
        <f>SFP!AI4/(SFP!AI30+SFP!AI31-SFP!AI37)</f>
        <v>3.6849197559424847E-2</v>
      </c>
      <c r="AK48" s="21">
        <f>SFP!AJ4/(SFP!AJ30+SFP!AJ31-SFP!AJ37)</f>
        <v>3.7981465100178052E-2</v>
      </c>
      <c r="AL48" s="21" t="e">
        <f>SFP!AK4/(SFP!AK30+SFP!AK31-SFP!AK37)</f>
        <v>#DIV/0!</v>
      </c>
    </row>
    <row r="49" spans="1:29" hidden="1">
      <c r="A49" s="17" t="s">
        <v>218</v>
      </c>
      <c r="B49" s="11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3.9" hidden="1" thickBot="1">
      <c r="A50" s="22" t="s">
        <v>219</v>
      </c>
      <c r="B50" s="112">
        <v>1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3.9" hidden="1" thickBot="1">
      <c r="A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idden="1">
      <c r="A52" s="77" t="s">
        <v>220</v>
      </c>
      <c r="B52" s="78"/>
      <c r="C52" s="79" t="e">
        <f>SCI!B5/SFP!#REF!</f>
        <v>#REF!</v>
      </c>
      <c r="D52" s="79" t="e">
        <f>SCI!C5/SFP!#REF!</f>
        <v>#REF!</v>
      </c>
      <c r="E52" s="79" t="e">
        <f>SCI!D5/SFP!#REF!</f>
        <v>#REF!</v>
      </c>
      <c r="F52" s="79" t="e">
        <f>SCI!E5/SFP!#REF!</f>
        <v>#REF!</v>
      </c>
      <c r="G52" s="79">
        <f>SCI!F5/SFP!B14</f>
        <v>5.5173993984229945E-2</v>
      </c>
      <c r="H52" s="79">
        <f>SCI!G5/SFP!C14</f>
        <v>6.3939364442640159E-2</v>
      </c>
      <c r="I52" s="79">
        <f>SCI!H5/SFP!D14</f>
        <v>7.3601371025148368E-2</v>
      </c>
      <c r="J52" s="79">
        <f>SCI!I5/SFP!E14</f>
        <v>8.4653020887321878E-2</v>
      </c>
      <c r="K52" s="79">
        <f>SCI!J5/SFP!F14</f>
        <v>9.4705486281387571E-2</v>
      </c>
      <c r="L52" s="79"/>
      <c r="M52" s="79">
        <f>SCI!K5/SFP!G14</f>
        <v>0</v>
      </c>
      <c r="N52" s="79">
        <f>SCI!L5/SFP!H14</f>
        <v>0.1157221369057905</v>
      </c>
      <c r="O52" s="79">
        <f>SCI!M5/SFP!I14</f>
        <v>0.12496542978056244</v>
      </c>
      <c r="P52" s="79">
        <f>SCI!N5/SFP!J14</f>
        <v>0.200407046536862</v>
      </c>
      <c r="Q52" s="79" t="e">
        <f>SCI!O5/SFP!K14</f>
        <v>#DIV/0!</v>
      </c>
      <c r="R52" s="79">
        <f>SCI!P5/SFP!L14</f>
        <v>1.9840495825488524E-2</v>
      </c>
      <c r="S52" s="79">
        <f>SCI!Q5/SFP!M14</f>
        <v>4.4852948630102051E-2</v>
      </c>
      <c r="T52" s="79">
        <f>SCI!R5/SFP!N14</f>
        <v>5.6403608405003428E-2</v>
      </c>
      <c r="U52" s="79">
        <f>SCI!S5/SFP!O14</f>
        <v>6.5352386739510826E-2</v>
      </c>
      <c r="V52" s="79">
        <f>SCI!T5/SFP!P14</f>
        <v>7.529179108697294E-2</v>
      </c>
      <c r="W52" s="79">
        <f>SCI!U5/SFP!Q14</f>
        <v>8.693290223106423E-2</v>
      </c>
      <c r="X52" s="79">
        <f>SCI!V5/SFP!R14</f>
        <v>9.7319607162239086E-2</v>
      </c>
      <c r="Y52" s="79">
        <f>SCI!W5/SFP!S14</f>
        <v>0.10788969589731283</v>
      </c>
      <c r="Z52" s="79">
        <f>SCI!X5/SFP!T14</f>
        <v>0.11797842039057649</v>
      </c>
      <c r="AA52" s="79">
        <f>SCI!Y5/SFP!U14</f>
        <v>0.13221435670513726</v>
      </c>
      <c r="AB52" s="79">
        <f>SCI!Z5/SFP!V14</f>
        <v>0.16392540881308088</v>
      </c>
      <c r="AC52" s="79">
        <f>SCI!AA5/SFP!W14</f>
        <v>3.2913461741637513E-2</v>
      </c>
    </row>
    <row r="53" spans="1:29" hidden="1">
      <c r="A53" s="74"/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</row>
    <row r="54" spans="1:29" hidden="1">
      <c r="A54" s="85" t="s">
        <v>221</v>
      </c>
      <c r="B54" s="73"/>
      <c r="C54" s="75" t="e">
        <f>SCI!B33/((SFP!#REF!+SFP!#REF!)/2)</f>
        <v>#REF!</v>
      </c>
      <c r="D54" s="75" t="e">
        <f>SCI!C33/((SFP!#REF!+SFP!#REF!)/2)</f>
        <v>#REF!</v>
      </c>
      <c r="E54" s="75" t="e">
        <f>SCI!D33/((SFP!#REF!+SFP!#REF!)/2)</f>
        <v>#REF!</v>
      </c>
      <c r="F54" s="75" t="e">
        <f>SCI!E33/((SFP!#REF!+SFP!#REF!)/2)</f>
        <v>#REF!</v>
      </c>
      <c r="G54" s="75" t="e">
        <f>SCI!F33/((SFP!#REF!+SFP!B26)/2)</f>
        <v>#REF!</v>
      </c>
      <c r="H54" s="75" t="e">
        <f>SCI!G33/((SFP!#REF!+SFP!C26)/2)</f>
        <v>#REF!</v>
      </c>
      <c r="I54" s="75" t="e">
        <f>SCI!H33/((SFP!#REF!+SFP!D26)/2)</f>
        <v>#REF!</v>
      </c>
      <c r="J54" s="75" t="e">
        <f>SCI!I33/((SFP!#REF!+SFP!E26)/2)</f>
        <v>#REF!</v>
      </c>
      <c r="K54" s="75" t="e">
        <f>SCI!J33/((SFP!#REF!+SFP!F26)/2)</f>
        <v>#REF!</v>
      </c>
      <c r="L54" s="75"/>
      <c r="M54" s="75" t="e">
        <f>SCI!K33/((SFP!#REF!+SFP!G26)/2)</f>
        <v>#REF!</v>
      </c>
      <c r="N54" s="75" t="e">
        <f>SCI!L33/((SFP!#REF!+SFP!H26)/2)</f>
        <v>#REF!</v>
      </c>
      <c r="O54" s="75" t="e">
        <f>SCI!M33/((SFP!#REF!+SFP!I26)/2)</f>
        <v>#REF!</v>
      </c>
      <c r="P54" s="75" t="e">
        <f>SCI!N33/((SFP!#REF!+SFP!J26)/2)</f>
        <v>#REF!</v>
      </c>
      <c r="Q54" s="75" t="e">
        <f>SCI!O33/((SFP!#REF!+SFP!K26)/2)</f>
        <v>#REF!</v>
      </c>
      <c r="R54" s="75" t="e">
        <f>SCI!P33/((SFP!#REF!+SFP!L26)/2)</f>
        <v>#REF!</v>
      </c>
      <c r="S54" s="75" t="e">
        <f>SCI!Q33/((SFP!#REF!+SFP!M26)/2)</f>
        <v>#REF!</v>
      </c>
      <c r="T54" s="75" t="e">
        <f>SCI!R33/((SFP!#REF!+SFP!N26)/2)</f>
        <v>#REF!</v>
      </c>
      <c r="U54" s="75" t="e">
        <f>SCI!S33/((SFP!#REF!+SFP!O26)/2)</f>
        <v>#REF!</v>
      </c>
      <c r="V54" s="75" t="e">
        <f>SCI!T33/((SFP!#REF!+SFP!P26)/2)</f>
        <v>#REF!</v>
      </c>
      <c r="W54" s="75" t="e">
        <f>SCI!U33/((SFP!#REF!+SFP!Q26)/2)</f>
        <v>#REF!</v>
      </c>
      <c r="X54" s="75" t="e">
        <f>SCI!V33/((SFP!#REF!+SFP!R26)/2)</f>
        <v>#REF!</v>
      </c>
      <c r="Y54" s="75" t="e">
        <f>SCI!W33/((SFP!#REF!+SFP!S26)/2)</f>
        <v>#REF!</v>
      </c>
      <c r="Z54" s="75" t="e">
        <f>SCI!X33/((SFP!#REF!+SFP!T26)/2)</f>
        <v>#REF!</v>
      </c>
      <c r="AA54" s="75" t="e">
        <f>SCI!Y33/((SFP!#REF!+SFP!U26)/2)</f>
        <v>#REF!</v>
      </c>
      <c r="AB54" s="75" t="e">
        <f>SCI!Z33/((SFP!#REF!+SFP!V26)/2)</f>
        <v>#REF!</v>
      </c>
      <c r="AC54" s="75" t="e">
        <f>SCI!AA33/((SFP!#REF!+SFP!W26)/2)</f>
        <v>#REF!</v>
      </c>
    </row>
    <row r="55" spans="1:29" hidden="1">
      <c r="A55" s="74" t="s">
        <v>222</v>
      </c>
      <c r="B55" s="73"/>
      <c r="C55" s="76">
        <f>SCI!B23/SCI!B19</f>
        <v>0.32960388422192471</v>
      </c>
      <c r="D55" s="76">
        <f>SCI!C23/SCI!C19</f>
        <v>0.3278792036885067</v>
      </c>
      <c r="E55" s="76">
        <f>SCI!D23/SCI!D19</f>
        <v>0.34205166556678734</v>
      </c>
      <c r="F55" s="76">
        <f>SCI!E23/SCI!E19</f>
        <v>0.29343796348783452</v>
      </c>
      <c r="G55" s="76">
        <f>SCI!F23/SCI!F19</f>
        <v>0.31470926483995987</v>
      </c>
      <c r="H55" s="76">
        <f>SCI!G23/SCI!G19</f>
        <v>0.30926456548972625</v>
      </c>
      <c r="I55" s="76">
        <f>SCI!H23/SCI!H19</f>
        <v>0.34470604052296361</v>
      </c>
      <c r="J55" s="76">
        <f>SCI!I23/SCI!I19</f>
        <v>0.37670141797569473</v>
      </c>
      <c r="K55" s="76">
        <f>SCI!J23/SCI!J19</f>
        <v>0.39900946410190552</v>
      </c>
      <c r="L55" s="76"/>
      <c r="M55" s="76" t="e">
        <f>SCI!K23/SCI!K19</f>
        <v>#DIV/0!</v>
      </c>
      <c r="N55" s="76">
        <f>SCI!L23/SCI!L19</f>
        <v>0.44670852943812639</v>
      </c>
      <c r="O55" s="76">
        <f>SCI!M23/SCI!M19</f>
        <v>0.4752978654923557</v>
      </c>
      <c r="P55" s="76">
        <f>SCI!N23/SCI!N19</f>
        <v>0.69569633190760261</v>
      </c>
      <c r="Q55" s="76">
        <f>SCI!O23/SCI!O19</f>
        <v>0.3161874160852447</v>
      </c>
      <c r="R55" s="76">
        <f>SCI!P23/SCI!P19</f>
        <v>0.61703143950065775</v>
      </c>
      <c r="S55" s="76">
        <f>SCI!Q23/SCI!Q19</f>
        <v>0.53251522619159197</v>
      </c>
      <c r="T55" s="76">
        <f>SCI!R23/SCI!R19</f>
        <v>0.4722208732556808</v>
      </c>
      <c r="U55" s="76">
        <f>SCI!S23/SCI!S19</f>
        <v>0.41205531636852177</v>
      </c>
      <c r="V55" s="76">
        <f>SCI!T23/SCI!T19</f>
        <v>0.44543478298337019</v>
      </c>
      <c r="W55" s="76">
        <f>SCI!U23/SCI!U19</f>
        <v>0.42368234385969256</v>
      </c>
      <c r="X55" s="76">
        <f>SCI!V23/SCI!V19</f>
        <v>0.44866799256113166</v>
      </c>
      <c r="Y55" s="76">
        <f>SCI!W23/SCI!W19</f>
        <v>0.48324694573672933</v>
      </c>
      <c r="Z55" s="76">
        <f>SCI!X23/SCI!X19</f>
        <v>0.49482162804330121</v>
      </c>
      <c r="AA55" s="76">
        <f>SCI!Y23/SCI!Y19</f>
        <v>0.49130899994342209</v>
      </c>
      <c r="AB55" s="76">
        <f>SCI!Z23/SCI!Z19</f>
        <v>0.89472856544347634</v>
      </c>
      <c r="AC55" s="76">
        <f>SCI!AA23/SCI!AA19</f>
        <v>24.783439296125831</v>
      </c>
    </row>
    <row r="56" spans="1:29" hidden="1">
      <c r="A56" s="83" t="s">
        <v>223</v>
      </c>
      <c r="B56" s="84"/>
      <c r="C56" s="75" t="e">
        <f>SCI!B23/SFP!#REF!</f>
        <v>#REF!</v>
      </c>
      <c r="D56" s="75" t="e">
        <f>SCI!C23/SFP!#REF!</f>
        <v>#REF!</v>
      </c>
      <c r="E56" s="75" t="e">
        <f>SCI!D23/SFP!#REF!</f>
        <v>#REF!</v>
      </c>
      <c r="F56" s="75" t="e">
        <f>SCI!E23/SFP!#REF!</f>
        <v>#REF!</v>
      </c>
      <c r="G56" s="75">
        <f>SCI!F23/SFP!B26</f>
        <v>1.3684227558668837E-2</v>
      </c>
      <c r="H56" s="75">
        <f>SCI!G23/SFP!C26</f>
        <v>1.5325797511237057E-2</v>
      </c>
      <c r="I56" s="75">
        <f>SCI!H23/SFP!D26</f>
        <v>1.9189755543815416E-2</v>
      </c>
      <c r="J56" s="75">
        <f>SCI!I23/SFP!E26</f>
        <v>2.4406287499811958E-2</v>
      </c>
      <c r="K56" s="75">
        <f>SCI!J23/SFP!F26</f>
        <v>2.7375723625098616E-2</v>
      </c>
      <c r="L56" s="75"/>
      <c r="M56" s="75">
        <f>SCI!K23/SFP!G26</f>
        <v>0</v>
      </c>
      <c r="N56" s="75">
        <f>SCI!L23/SFP!H26</f>
        <v>3.395224430467042E-2</v>
      </c>
      <c r="O56" s="75">
        <f>SCI!M23/SFP!I26</f>
        <v>3.9138935020766145E-2</v>
      </c>
      <c r="P56" s="75">
        <f>SCI!N23/SFP!J26</f>
        <v>3.2690868320760555E-2</v>
      </c>
      <c r="Q56" s="75" t="e">
        <f>SCI!O23/SFP!K26</f>
        <v>#DIV/0!</v>
      </c>
      <c r="R56" s="75">
        <f>SCI!P23/SFP!L26</f>
        <v>7.4579391339707393E-3</v>
      </c>
      <c r="S56" s="75">
        <f>SCI!Q23/SFP!M26</f>
        <v>1.5325599126751905E-2</v>
      </c>
      <c r="T56" s="75">
        <f>SCI!R23/SFP!N26</f>
        <v>1.6044316246898786E-2</v>
      </c>
      <c r="U56" s="75">
        <f>SCI!S23/SFP!O26</f>
        <v>2.6603724270819265E-2</v>
      </c>
      <c r="V56" s="75">
        <f>SCI!T23/SFP!P26</f>
        <v>2.3779056928580265E-2</v>
      </c>
      <c r="W56" s="75">
        <f>SCI!U23/SFP!Q26</f>
        <v>2.633559603299147E-2</v>
      </c>
      <c r="X56" s="75">
        <f>SCI!V23/SFP!R26</f>
        <v>3.0528790916051322E-2</v>
      </c>
      <c r="Y56" s="75">
        <f>SCI!W23/SFP!S26</f>
        <v>3.6128026617924011E-2</v>
      </c>
      <c r="Z56" s="75">
        <f>SCI!X23/SFP!T26</f>
        <v>4.0353785907891251E-2</v>
      </c>
      <c r="AA56" s="75">
        <f>SCI!Y23/SFP!U26</f>
        <v>4.4406824902066912E-2</v>
      </c>
      <c r="AB56" s="75">
        <f>SCI!Z23/SFP!V26</f>
        <v>4.1275023314185512E-2</v>
      </c>
      <c r="AC56" s="75">
        <f>SCI!AA23/SFP!W26</f>
        <v>-9.3652058080657564E-3</v>
      </c>
    </row>
    <row r="57" spans="1:29" hidden="1">
      <c r="A57" s="90" t="s">
        <v>224</v>
      </c>
      <c r="B57" s="91"/>
      <c r="C57" s="92">
        <f>(Financials!C36+Financials!C29)/Financials!C5</f>
        <v>3.9912056489706936E-2</v>
      </c>
      <c r="D57" s="92">
        <f>(Financials!D36+Financials!D29)/Financials!D5</f>
        <v>3.8341157122511377E-2</v>
      </c>
      <c r="E57" s="92">
        <f>(Financials!E36+Financials!E29)/Financials!E5</f>
        <v>4.4287731374583333E-2</v>
      </c>
      <c r="F57" s="92">
        <f>(Financials!F36+Financials!F29)/Financials!F5</f>
        <v>2.0717043933333467E-2</v>
      </c>
      <c r="G57" s="92">
        <f>(Financials!G36+Financials!G29)/Financials!G5</f>
        <v>7.1979090708419069E-2</v>
      </c>
      <c r="H57" s="92">
        <f>(Financials!H36+Financials!H29)/Financials!H5</f>
        <v>0.11504367595374304</v>
      </c>
      <c r="I57" s="92">
        <f>(Financials!I36+Financials!I29)/Financials!I5</f>
        <v>7.2439613995651728E-2</v>
      </c>
      <c r="J57" s="92">
        <f>(Financials!J36+Financials!J29)/Financials!J5</f>
        <v>0.10564346561855331</v>
      </c>
      <c r="K57" s="92">
        <f>(Financials!K36+Financials!K29)/Financials!K5</f>
        <v>6.892907433362977E-2</v>
      </c>
      <c r="L57" s="92"/>
      <c r="M57" s="92">
        <f>(Financials!M36+Financials!M29)/Financials!M5</f>
        <v>0.10771005150063233</v>
      </c>
      <c r="N57" s="92">
        <f>(Financials!N36+Financials!N29)/Financials!N5</f>
        <v>0.11425239463833388</v>
      </c>
      <c r="O57" s="92">
        <f>(Financials!O36+Financials!O29)/Financials!O5</f>
        <v>0.11540468609697387</v>
      </c>
      <c r="P57" s="92">
        <f>(Financials!P36+Financials!P29)/Financials!P5</f>
        <v>0.10882482536290178</v>
      </c>
      <c r="Q57" s="92">
        <f>(Financials!Q36+Financials!Q29)/Financials!Q5</f>
        <v>9.6690519757035007E-2</v>
      </c>
      <c r="R57" s="92">
        <f>(Financials!R36+Financials!R29)/Financials!R5</f>
        <v>2.7874902226019967E-2</v>
      </c>
      <c r="S57" s="92">
        <f>(Financials!S36+Financials!S29)/Financials!S5</f>
        <v>6.2570110746919691E-2</v>
      </c>
      <c r="T57" s="92">
        <f>(Financials!T36+Financials!T29)/Financials!T5</f>
        <v>7.481849465364486E-2</v>
      </c>
      <c r="U57" s="92">
        <f>(Financials!U36+Financials!U29)/Financials!U5</f>
        <v>7.2209073146535033E-2</v>
      </c>
      <c r="V57" s="92">
        <f>(Financials!V36+Financials!V29)/Financials!V5</f>
        <v>5.21888460671125E-2</v>
      </c>
      <c r="W57" s="92">
        <f>(Financials!W36+Financials!W29)/Financials!W5</f>
        <v>9.0487039197587688E-2</v>
      </c>
      <c r="X57" s="92">
        <f>(Financials!X36+Financials!X29)/Financials!X5</f>
        <v>6.0190644194644649E-2</v>
      </c>
      <c r="Y57" s="92">
        <f>(Financials!Y36+Financials!Y29)/Financials!Y5</f>
        <v>4.8782182531465629E-2</v>
      </c>
      <c r="Z57" s="92">
        <f>(Financials!Z36+Financials!Z29)/Financials!Z5</f>
        <v>7.4715309111109227E-2</v>
      </c>
      <c r="AA57" s="92">
        <f>(Financials!AA36+Financials!AA29)/Financials!AA5</f>
        <v>0.17630524343891255</v>
      </c>
      <c r="AB57" s="92">
        <f>(Financials!AB36+Financials!AB29)/Financials!AB5</f>
        <v>-3.2457523173295275</v>
      </c>
      <c r="AC57" s="92">
        <f>(Financials!AC36+Financials!AC29)/Financials!AC5</f>
        <v>0.13853826472840808</v>
      </c>
    </row>
    <row r="58" spans="1:29" ht="26.45" hidden="1">
      <c r="A58" s="93" t="s">
        <v>225</v>
      </c>
      <c r="B58" s="73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</row>
    <row r="59" spans="1:29" ht="13.9" hidden="1" thickBot="1">
      <c r="A59" s="80" t="s">
        <v>226</v>
      </c>
      <c r="B59" s="81"/>
      <c r="C59" s="82">
        <f>Financials!C32/Financials!C5</f>
        <v>0.54310459414031509</v>
      </c>
      <c r="D59" s="82">
        <f>Financials!D32/Financials!D5</f>
        <v>0.54894320094469062</v>
      </c>
      <c r="E59" s="82">
        <f>Financials!E32/Financials!E5</f>
        <v>0.54388335881636951</v>
      </c>
      <c r="F59" s="82">
        <f>Financials!F32/Financials!F5</f>
        <v>0.55547326922147344</v>
      </c>
      <c r="G59" s="82">
        <f>Financials!G32/Financials!G5</f>
        <v>0.52983978724163716</v>
      </c>
      <c r="H59" s="82">
        <f>Financials!H32/Financials!H5</f>
        <v>0.51692832136853029</v>
      </c>
      <c r="I59" s="82">
        <f>Financials!I32/Financials!I5</f>
        <v>0.52545164129253596</v>
      </c>
      <c r="J59" s="82">
        <f>Financials!J32/Financials!J5</f>
        <v>0.53196175952798608</v>
      </c>
      <c r="K59" s="82">
        <f>Financials!K32/Financials!K5</f>
        <v>0.53469115644606924</v>
      </c>
      <c r="L59" s="82"/>
      <c r="M59" s="82">
        <f>Financials!M32/Financials!M5</f>
        <v>0.53540869257398027</v>
      </c>
      <c r="N59" s="82">
        <f>Financials!N32/Financials!N5</f>
        <v>0.53248665153968056</v>
      </c>
      <c r="O59" s="82">
        <f>Financials!O32/Financials!O5</f>
        <v>0.51038432993760319</v>
      </c>
      <c r="P59" s="82">
        <f>Financials!P32/Financials!P5</f>
        <v>0.73537116603842068</v>
      </c>
      <c r="Q59" s="82">
        <f>Financials!Q32/Financials!Q5</f>
        <v>0.53661681934092109</v>
      </c>
      <c r="R59" s="82">
        <f>Financials!R32/Financials!R5</f>
        <v>0.54561898572712275</v>
      </c>
      <c r="S59" s="82">
        <f>Financials!S32/Financials!S5</f>
        <v>0.54136758469577095</v>
      </c>
      <c r="T59" s="82">
        <f>Financials!T32/Financials!T5</f>
        <v>0.53639176170252612</v>
      </c>
      <c r="U59" s="82">
        <f>Financials!U32/Financials!U5</f>
        <v>0.53832522427675122</v>
      </c>
      <c r="V59" s="82">
        <f>Financials!V32/Financials!V5</f>
        <v>0.5304711862800604</v>
      </c>
      <c r="W59" s="82">
        <f>Financials!W32/Financials!W5</f>
        <v>0.52909408901983712</v>
      </c>
      <c r="X59" s="82">
        <f>Financials!X32/Financials!X5</f>
        <v>0.5300044999440835</v>
      </c>
      <c r="Y59" s="82">
        <f>Financials!Y32/Financials!Y5</f>
        <v>0.5467809347151249</v>
      </c>
      <c r="Z59" s="82">
        <f>Financials!Z32/Financials!Z5</f>
        <v>0.5499470878470285</v>
      </c>
      <c r="AA59" s="82">
        <f>Financials!AA32/Financials!AA5</f>
        <v>0.51646938645092166</v>
      </c>
      <c r="AB59" s="82">
        <f>Financials!AB32/Financials!AB5</f>
        <v>0.17454454112992471</v>
      </c>
      <c r="AC59" s="82">
        <f>Financials!AC32/Financials!AC5</f>
        <v>0.54735656059016324</v>
      </c>
    </row>
    <row r="79" spans="2:2">
      <c r="B79" s="1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6"/>
  <sheetViews>
    <sheetView topLeftCell="B79" workbookViewId="0">
      <selection activeCell="D95" sqref="D95:F96"/>
    </sheetView>
  </sheetViews>
  <sheetFormatPr defaultColWidth="8.85546875" defaultRowHeight="13.15"/>
  <cols>
    <col min="1" max="1" width="4.5703125" style="126" customWidth="1"/>
    <col min="2" max="2" width="32.5703125" style="126" customWidth="1"/>
    <col min="3" max="3" width="7.7109375" style="126" customWidth="1"/>
    <col min="4" max="4" width="21.28515625" style="126" customWidth="1"/>
    <col min="5" max="5" width="12.5703125" style="126" customWidth="1"/>
    <col min="6" max="6" width="22.42578125" style="126" customWidth="1"/>
    <col min="7" max="8" width="35.140625" style="126" customWidth="1"/>
    <col min="9" max="16384" width="8.85546875" style="126"/>
  </cols>
  <sheetData>
    <row r="1" spans="1:8" ht="13.9">
      <c r="A1" s="124"/>
      <c r="B1" s="125" t="s">
        <v>227</v>
      </c>
      <c r="C1" s="124"/>
      <c r="D1" s="124"/>
      <c r="E1" s="124"/>
      <c r="F1" s="124"/>
    </row>
    <row r="2" spans="1:8" ht="14.25" customHeight="1">
      <c r="A2" s="127"/>
      <c r="B2" s="318" t="s">
        <v>228</v>
      </c>
      <c r="C2" s="318"/>
      <c r="D2" s="318"/>
      <c r="E2" s="318"/>
      <c r="F2" s="318"/>
    </row>
    <row r="3" spans="1:8" ht="13.9">
      <c r="A3" s="127"/>
      <c r="B3" s="128" t="s">
        <v>229</v>
      </c>
      <c r="C3" s="127"/>
      <c r="E3" s="127"/>
      <c r="F3" s="129" t="s">
        <v>230</v>
      </c>
    </row>
    <row r="4" spans="1:8" ht="13.9">
      <c r="A4" s="127"/>
      <c r="B4" s="128" t="s">
        <v>231</v>
      </c>
      <c r="C4" s="127"/>
      <c r="D4" s="127"/>
      <c r="E4" s="127"/>
      <c r="F4" s="130">
        <v>2016</v>
      </c>
    </row>
    <row r="5" spans="1:8" ht="13.9">
      <c r="A5" s="127"/>
      <c r="B5" s="128" t="s">
        <v>232</v>
      </c>
      <c r="C5" s="127"/>
      <c r="D5" s="127"/>
      <c r="E5" s="131"/>
      <c r="F5" s="132" t="s">
        <v>233</v>
      </c>
    </row>
    <row r="6" spans="1:8" ht="13.9">
      <c r="A6" s="127"/>
      <c r="B6" s="128" t="s">
        <v>234</v>
      </c>
      <c r="C6" s="127"/>
      <c r="D6" s="127"/>
      <c r="E6" s="131"/>
      <c r="F6" s="132" t="s">
        <v>235</v>
      </c>
    </row>
    <row r="7" spans="1:8" ht="14.25" customHeight="1">
      <c r="A7" s="127"/>
      <c r="B7" s="319" t="s">
        <v>236</v>
      </c>
      <c r="C7" s="319"/>
      <c r="D7" s="319"/>
      <c r="E7" s="319"/>
      <c r="F7" s="320"/>
    </row>
    <row r="8" spans="1:8" ht="13.9">
      <c r="A8" s="127"/>
      <c r="B8" s="127"/>
      <c r="C8" s="128" t="s">
        <v>237</v>
      </c>
      <c r="D8" s="128" t="s">
        <v>238</v>
      </c>
      <c r="E8" s="128" t="s">
        <v>239</v>
      </c>
      <c r="F8" s="128" t="s">
        <v>240</v>
      </c>
    </row>
    <row r="9" spans="1:8" ht="27.6">
      <c r="A9" s="127" t="s">
        <v>241</v>
      </c>
      <c r="B9" s="128" t="s">
        <v>242</v>
      </c>
      <c r="C9" s="128" t="s">
        <v>243</v>
      </c>
      <c r="D9" s="128" t="s">
        <v>244</v>
      </c>
      <c r="E9" s="128" t="s">
        <v>245</v>
      </c>
      <c r="F9" s="128" t="s">
        <v>246</v>
      </c>
    </row>
    <row r="10" spans="1:8" ht="13.9">
      <c r="A10" s="127">
        <v>1</v>
      </c>
      <c r="B10" s="127" t="s">
        <v>247</v>
      </c>
      <c r="C10" s="169">
        <v>7828</v>
      </c>
      <c r="D10" s="169">
        <v>407964215.23000002</v>
      </c>
      <c r="E10" s="134">
        <v>0.01</v>
      </c>
      <c r="F10" s="127">
        <f>D10*E10</f>
        <v>4079642.1523000002</v>
      </c>
    </row>
    <row r="11" spans="1:8" ht="13.9">
      <c r="A11" s="127">
        <v>2</v>
      </c>
      <c r="B11" s="127" t="s">
        <v>248</v>
      </c>
      <c r="C11" s="169">
        <v>857</v>
      </c>
      <c r="D11" s="169">
        <v>106098569.37</v>
      </c>
      <c r="E11" s="134">
        <v>0.05</v>
      </c>
      <c r="F11" s="127">
        <f>D11*E11</f>
        <v>5304928.4685000004</v>
      </c>
    </row>
    <row r="12" spans="1:8" ht="13.9">
      <c r="A12" s="127">
        <v>3</v>
      </c>
      <c r="B12" s="127" t="s">
        <v>249</v>
      </c>
      <c r="C12" s="169">
        <v>353</v>
      </c>
      <c r="D12" s="169">
        <v>40541696.395999998</v>
      </c>
      <c r="E12" s="134">
        <v>0.25</v>
      </c>
      <c r="F12" s="127">
        <f>D12*E12</f>
        <v>10135424.098999999</v>
      </c>
      <c r="H12" s="143"/>
    </row>
    <row r="13" spans="1:8" ht="13.9">
      <c r="A13" s="127">
        <v>4</v>
      </c>
      <c r="B13" s="127" t="s">
        <v>250</v>
      </c>
      <c r="C13" s="169">
        <v>146</v>
      </c>
      <c r="D13" s="169">
        <v>16738133.16</v>
      </c>
      <c r="E13" s="134">
        <v>0.5</v>
      </c>
      <c r="F13" s="127">
        <f>D13*E13</f>
        <v>8369066.5800000001</v>
      </c>
      <c r="H13" s="143"/>
    </row>
    <row r="14" spans="1:8" ht="13.9">
      <c r="A14" s="127">
        <v>5</v>
      </c>
      <c r="B14" s="127" t="s">
        <v>251</v>
      </c>
      <c r="C14" s="169">
        <v>95</v>
      </c>
      <c r="D14" s="169">
        <v>19768434.41</v>
      </c>
      <c r="E14" s="134">
        <v>1</v>
      </c>
      <c r="F14" s="127">
        <f>D14*E14</f>
        <v>19768434.41</v>
      </c>
      <c r="G14" s="126">
        <f>SUM(D12:D14)</f>
        <v>77048263.965999991</v>
      </c>
    </row>
    <row r="15" spans="1:8" ht="13.9">
      <c r="A15" s="127"/>
      <c r="B15" s="128" t="s">
        <v>252</v>
      </c>
      <c r="C15" s="135">
        <f>SUM(C10:C14)</f>
        <v>9279</v>
      </c>
      <c r="D15" s="135">
        <f>SUM(D10:D14)</f>
        <v>591111048.56599998</v>
      </c>
      <c r="E15" s="136"/>
      <c r="F15" s="135">
        <f>SUM(F10:F14)</f>
        <v>47657495.709800005</v>
      </c>
    </row>
    <row r="16" spans="1:8" ht="13.9">
      <c r="A16" s="127"/>
      <c r="B16" s="127" t="s">
        <v>253</v>
      </c>
      <c r="C16" s="133"/>
      <c r="D16" s="133"/>
      <c r="E16" s="133"/>
      <c r="F16" s="133"/>
    </row>
    <row r="17" spans="1:6" ht="13.9">
      <c r="A17" s="127">
        <v>1</v>
      </c>
      <c r="B17" s="127" t="s">
        <v>247</v>
      </c>
      <c r="C17" s="133">
        <v>0</v>
      </c>
      <c r="D17" s="133">
        <v>0</v>
      </c>
      <c r="E17" s="134">
        <v>0.01</v>
      </c>
      <c r="F17" s="127">
        <f>D17*E17</f>
        <v>0</v>
      </c>
    </row>
    <row r="18" spans="1:6" ht="13.9">
      <c r="A18" s="127">
        <v>2</v>
      </c>
      <c r="B18" s="127" t="s">
        <v>248</v>
      </c>
      <c r="C18" s="133">
        <v>0</v>
      </c>
      <c r="D18" s="133"/>
      <c r="E18" s="134">
        <v>0.05</v>
      </c>
      <c r="F18" s="127">
        <f>D18*E18</f>
        <v>0</v>
      </c>
    </row>
    <row r="19" spans="1:6" ht="13.9">
      <c r="A19" s="127">
        <v>3</v>
      </c>
      <c r="B19" s="127" t="s">
        <v>249</v>
      </c>
      <c r="C19" s="133"/>
      <c r="D19" s="133"/>
      <c r="E19" s="134">
        <v>0.25</v>
      </c>
      <c r="F19" s="127">
        <f>D19*E19</f>
        <v>0</v>
      </c>
    </row>
    <row r="20" spans="1:6" ht="13.9">
      <c r="A20" s="127">
        <v>4</v>
      </c>
      <c r="B20" s="127" t="s">
        <v>250</v>
      </c>
      <c r="C20" s="133">
        <v>0</v>
      </c>
      <c r="D20" s="133">
        <v>0</v>
      </c>
      <c r="E20" s="134">
        <v>0.5</v>
      </c>
      <c r="F20" s="127">
        <f>D20*E20</f>
        <v>0</v>
      </c>
    </row>
    <row r="21" spans="1:6" ht="13.9">
      <c r="A21" s="127">
        <v>5</v>
      </c>
      <c r="B21" s="127" t="s">
        <v>251</v>
      </c>
      <c r="C21" s="133">
        <v>0</v>
      </c>
      <c r="D21" s="133">
        <v>0</v>
      </c>
      <c r="E21" s="134">
        <v>1</v>
      </c>
      <c r="F21" s="127">
        <f>D21*E21</f>
        <v>0</v>
      </c>
    </row>
    <row r="22" spans="1:6" ht="13.9">
      <c r="A22" s="127"/>
      <c r="B22" s="128" t="s">
        <v>252</v>
      </c>
      <c r="C22" s="135">
        <f>SUM(C16:C21)</f>
        <v>0</v>
      </c>
      <c r="D22" s="135">
        <f>SUM(D16:D21)</f>
        <v>0</v>
      </c>
      <c r="E22" s="128"/>
      <c r="F22" s="135">
        <f>SUM(F16:F21)</f>
        <v>0</v>
      </c>
    </row>
    <row r="23" spans="1:6" ht="13.9">
      <c r="A23" s="127"/>
      <c r="B23" s="128" t="s">
        <v>254</v>
      </c>
      <c r="C23" s="135">
        <f>C15+C22</f>
        <v>9279</v>
      </c>
      <c r="D23" s="135">
        <f>D15+D22</f>
        <v>591111048.56599998</v>
      </c>
      <c r="E23" s="128"/>
      <c r="F23" s="135">
        <f>F15+F22</f>
        <v>47657495.709800005</v>
      </c>
    </row>
    <row r="24" spans="1:6" ht="13.9">
      <c r="A24" s="131"/>
      <c r="B24" s="137"/>
      <c r="C24" s="137"/>
      <c r="D24" s="137"/>
      <c r="E24" s="137"/>
      <c r="F24" s="138"/>
    </row>
    <row r="25" spans="1:6" ht="15" customHeight="1">
      <c r="A25" s="321" t="s">
        <v>255</v>
      </c>
      <c r="B25" s="321"/>
      <c r="C25" s="321"/>
      <c r="D25" s="321"/>
      <c r="E25" s="321"/>
      <c r="F25" s="321"/>
    </row>
    <row r="26" spans="1:6" ht="15" customHeight="1">
      <c r="A26" s="139"/>
      <c r="B26" s="139"/>
      <c r="C26" s="139"/>
      <c r="D26" s="139"/>
      <c r="E26" s="139"/>
      <c r="F26" s="139"/>
    </row>
    <row r="27" spans="1:6" ht="13.9">
      <c r="A27" s="125"/>
      <c r="B27" s="140"/>
      <c r="C27" s="141"/>
      <c r="D27" s="142"/>
      <c r="E27" s="142"/>
      <c r="F27" s="142"/>
    </row>
    <row r="28" spans="1:6" ht="15.75" customHeight="1">
      <c r="A28" s="124"/>
      <c r="B28" s="125" t="s">
        <v>227</v>
      </c>
      <c r="C28" s="124"/>
      <c r="D28" s="124"/>
      <c r="E28" s="124"/>
      <c r="F28" s="124"/>
    </row>
    <row r="29" spans="1:6" ht="24" customHeight="1">
      <c r="A29" s="127"/>
      <c r="B29" s="318" t="s">
        <v>228</v>
      </c>
      <c r="C29" s="318"/>
      <c r="D29" s="318"/>
      <c r="E29" s="318"/>
      <c r="F29" s="318"/>
    </row>
    <row r="30" spans="1:6" ht="13.9">
      <c r="A30" s="127"/>
      <c r="B30" s="128" t="s">
        <v>229</v>
      </c>
      <c r="C30" s="127"/>
      <c r="E30" s="127"/>
      <c r="F30" s="129" t="s">
        <v>230</v>
      </c>
    </row>
    <row r="31" spans="1:6" ht="20.25" customHeight="1">
      <c r="A31" s="127"/>
      <c r="B31" s="128" t="s">
        <v>231</v>
      </c>
      <c r="C31" s="127"/>
      <c r="D31" s="127"/>
      <c r="E31" s="127"/>
      <c r="F31" s="130">
        <v>2016</v>
      </c>
    </row>
    <row r="32" spans="1:6" ht="13.9">
      <c r="A32" s="127"/>
      <c r="B32" s="128" t="s">
        <v>232</v>
      </c>
      <c r="C32" s="127"/>
      <c r="D32" s="127"/>
      <c r="E32" s="131"/>
      <c r="F32" s="132" t="s">
        <v>233</v>
      </c>
    </row>
    <row r="33" spans="1:7" ht="13.9">
      <c r="A33" s="127"/>
      <c r="B33" s="128" t="s">
        <v>234</v>
      </c>
      <c r="C33" s="127"/>
      <c r="D33" s="127"/>
      <c r="E33" s="131"/>
      <c r="F33" s="132" t="s">
        <v>256</v>
      </c>
    </row>
    <row r="34" spans="1:7" ht="13.9">
      <c r="A34" s="127"/>
      <c r="B34" s="319" t="s">
        <v>236</v>
      </c>
      <c r="C34" s="319"/>
      <c r="D34" s="319"/>
      <c r="E34" s="319"/>
      <c r="F34" s="320"/>
    </row>
    <row r="35" spans="1:7" ht="13.9">
      <c r="A35" s="127"/>
      <c r="B35" s="127"/>
      <c r="C35" s="128" t="s">
        <v>237</v>
      </c>
      <c r="D35" s="128" t="s">
        <v>238</v>
      </c>
      <c r="E35" s="128" t="s">
        <v>239</v>
      </c>
      <c r="F35" s="128" t="s">
        <v>240</v>
      </c>
    </row>
    <row r="36" spans="1:7" ht="27.6">
      <c r="A36" s="127" t="s">
        <v>241</v>
      </c>
      <c r="B36" s="128" t="s">
        <v>242</v>
      </c>
      <c r="C36" s="128" t="s">
        <v>243</v>
      </c>
      <c r="D36" s="128" t="s">
        <v>244</v>
      </c>
      <c r="E36" s="128" t="s">
        <v>245</v>
      </c>
      <c r="F36" s="128" t="s">
        <v>246</v>
      </c>
    </row>
    <row r="37" spans="1:7" ht="13.9">
      <c r="A37" s="127">
        <v>1</v>
      </c>
      <c r="B37" s="127" t="s">
        <v>247</v>
      </c>
      <c r="C37" s="169">
        <v>7269</v>
      </c>
      <c r="D37" s="169">
        <v>395795312.26999998</v>
      </c>
      <c r="E37" s="134">
        <v>0.01</v>
      </c>
      <c r="F37" s="127">
        <f>D37*E37</f>
        <v>3957953.1226999997</v>
      </c>
    </row>
    <row r="38" spans="1:7" ht="13.9">
      <c r="A38" s="127">
        <v>2</v>
      </c>
      <c r="B38" s="127" t="s">
        <v>248</v>
      </c>
      <c r="C38" s="169">
        <v>1041</v>
      </c>
      <c r="D38" s="169">
        <v>97770528.760000005</v>
      </c>
      <c r="E38" s="134">
        <v>0.05</v>
      </c>
      <c r="F38" s="127">
        <f>D38*E38</f>
        <v>4888526.4380000001</v>
      </c>
    </row>
    <row r="39" spans="1:7" ht="13.9">
      <c r="A39" s="127">
        <v>3</v>
      </c>
      <c r="B39" s="127" t="s">
        <v>249</v>
      </c>
      <c r="C39" s="169">
        <v>772</v>
      </c>
      <c r="D39" s="169">
        <v>51701231.890000001</v>
      </c>
      <c r="E39" s="134">
        <v>0.25</v>
      </c>
      <c r="F39" s="127">
        <f>D39*E39</f>
        <v>12925307.9725</v>
      </c>
    </row>
    <row r="40" spans="1:7" ht="13.9">
      <c r="A40" s="127">
        <v>4</v>
      </c>
      <c r="B40" s="127" t="s">
        <v>250</v>
      </c>
      <c r="C40" s="169">
        <v>377</v>
      </c>
      <c r="D40" s="169">
        <v>28331435.5</v>
      </c>
      <c r="E40" s="134">
        <v>0.5</v>
      </c>
      <c r="F40" s="127">
        <f>D40*E40</f>
        <v>14165717.75</v>
      </c>
    </row>
    <row r="41" spans="1:7" ht="13.9">
      <c r="A41" s="127">
        <v>5</v>
      </c>
      <c r="B41" s="127" t="s">
        <v>251</v>
      </c>
      <c r="C41" s="169">
        <v>639</v>
      </c>
      <c r="D41" s="169">
        <v>26413437.559999999</v>
      </c>
      <c r="E41" s="134">
        <v>1</v>
      </c>
      <c r="F41" s="127">
        <f>D41*E41</f>
        <v>26413437.559999999</v>
      </c>
      <c r="G41" s="126">
        <f>SUM(D39:D41)</f>
        <v>106446104.95</v>
      </c>
    </row>
    <row r="42" spans="1:7" ht="13.9">
      <c r="A42" s="127"/>
      <c r="B42" s="128" t="s">
        <v>252</v>
      </c>
      <c r="C42" s="135">
        <f>SUM(C37:C41)</f>
        <v>10098</v>
      </c>
      <c r="D42" s="135">
        <f>SUM(D37:D41)</f>
        <v>600011945.9799999</v>
      </c>
      <c r="E42" s="136"/>
      <c r="F42" s="135">
        <f>SUM(F37:F41)</f>
        <v>62350942.843199998</v>
      </c>
    </row>
    <row r="43" spans="1:7" ht="13.9">
      <c r="A43" s="127"/>
      <c r="B43" s="127" t="s">
        <v>253</v>
      </c>
      <c r="C43" s="133"/>
      <c r="D43" s="133"/>
      <c r="E43" s="133"/>
      <c r="F43" s="133"/>
    </row>
    <row r="44" spans="1:7" ht="13.9">
      <c r="A44" s="127">
        <v>1</v>
      </c>
      <c r="B44" s="127" t="s">
        <v>247</v>
      </c>
      <c r="C44" s="133">
        <v>0</v>
      </c>
      <c r="D44" s="133">
        <v>0</v>
      </c>
      <c r="E44" s="134">
        <v>0.01</v>
      </c>
      <c r="F44" s="127">
        <f>D44*E44</f>
        <v>0</v>
      </c>
    </row>
    <row r="45" spans="1:7" ht="13.9">
      <c r="A45" s="127">
        <v>2</v>
      </c>
      <c r="B45" s="127" t="s">
        <v>248</v>
      </c>
      <c r="C45" s="133">
        <v>0</v>
      </c>
      <c r="D45" s="133"/>
      <c r="E45" s="134">
        <v>0.05</v>
      </c>
      <c r="F45" s="127">
        <f>D45*E45</f>
        <v>0</v>
      </c>
    </row>
    <row r="46" spans="1:7" ht="13.9">
      <c r="A46" s="127">
        <v>3</v>
      </c>
      <c r="B46" s="127" t="s">
        <v>249</v>
      </c>
      <c r="C46" s="133"/>
      <c r="D46" s="133"/>
      <c r="E46" s="134">
        <v>0.25</v>
      </c>
      <c r="F46" s="127">
        <f>D46*E46</f>
        <v>0</v>
      </c>
      <c r="G46" s="126">
        <f>SUM(D39:D41)</f>
        <v>106446104.95</v>
      </c>
    </row>
    <row r="47" spans="1:7" ht="13.9">
      <c r="A47" s="127">
        <v>4</v>
      </c>
      <c r="B47" s="127" t="s">
        <v>250</v>
      </c>
      <c r="C47" s="133">
        <v>0</v>
      </c>
      <c r="D47" s="133">
        <v>0</v>
      </c>
      <c r="E47" s="134">
        <v>0.5</v>
      </c>
      <c r="F47" s="127">
        <f>D47*E47</f>
        <v>0</v>
      </c>
      <c r="G47" s="143">
        <f>G46/D42</f>
        <v>0.17740664275632298</v>
      </c>
    </row>
    <row r="48" spans="1:7" ht="13.9">
      <c r="A48" s="127">
        <v>5</v>
      </c>
      <c r="B48" s="127" t="s">
        <v>251</v>
      </c>
      <c r="C48" s="133">
        <v>0</v>
      </c>
      <c r="D48" s="133">
        <v>0</v>
      </c>
      <c r="E48" s="134">
        <v>1</v>
      </c>
      <c r="F48" s="127">
        <f>D48*E48</f>
        <v>0</v>
      </c>
    </row>
    <row r="49" spans="1:6" ht="13.9">
      <c r="A49" s="127"/>
      <c r="B49" s="128" t="s">
        <v>252</v>
      </c>
      <c r="C49" s="135">
        <f>SUM(C43:C48)</f>
        <v>0</v>
      </c>
      <c r="D49" s="135">
        <f>SUM(D43:D48)</f>
        <v>0</v>
      </c>
      <c r="E49" s="128"/>
      <c r="F49" s="135">
        <f>SUM(F43:F48)</f>
        <v>0</v>
      </c>
    </row>
    <row r="50" spans="1:6" ht="13.9">
      <c r="A50" s="127"/>
      <c r="B50" s="128" t="s">
        <v>254</v>
      </c>
      <c r="C50" s="135">
        <f>C42+C49</f>
        <v>10098</v>
      </c>
      <c r="D50" s="135">
        <f>D42+D49</f>
        <v>600011945.9799999</v>
      </c>
      <c r="E50" s="128"/>
      <c r="F50" s="135">
        <f>F42+F49</f>
        <v>62350942.843199998</v>
      </c>
    </row>
    <row r="51" spans="1:6" ht="13.9">
      <c r="A51" s="131"/>
      <c r="B51" s="137"/>
      <c r="C51" s="137"/>
      <c r="D51" s="137"/>
      <c r="E51" s="137"/>
      <c r="F51" s="138"/>
    </row>
    <row r="52" spans="1:6" ht="13.9">
      <c r="A52" s="321" t="s">
        <v>255</v>
      </c>
      <c r="B52" s="321"/>
      <c r="C52" s="321"/>
      <c r="D52" s="321"/>
      <c r="E52" s="321"/>
      <c r="F52" s="321"/>
    </row>
    <row r="54" spans="1:6" ht="13.9">
      <c r="B54" s="125" t="s">
        <v>227</v>
      </c>
      <c r="C54" s="124"/>
      <c r="D54" s="124"/>
      <c r="E54" s="124"/>
      <c r="F54" s="124"/>
    </row>
    <row r="55" spans="1:6" ht="13.9">
      <c r="B55" s="318" t="s">
        <v>228</v>
      </c>
      <c r="C55" s="318"/>
      <c r="D55" s="318"/>
      <c r="E55" s="318"/>
      <c r="F55" s="318"/>
    </row>
    <row r="56" spans="1:6" ht="13.9">
      <c r="B56" s="128" t="s">
        <v>229</v>
      </c>
      <c r="C56" s="127"/>
      <c r="E56" s="127"/>
      <c r="F56" s="129" t="s">
        <v>230</v>
      </c>
    </row>
    <row r="57" spans="1:6" ht="13.9">
      <c r="B57" s="128" t="s">
        <v>231</v>
      </c>
      <c r="C57" s="127"/>
      <c r="D57" s="127"/>
      <c r="E57" s="127"/>
      <c r="F57" s="130">
        <v>2018</v>
      </c>
    </row>
    <row r="58" spans="1:6" ht="13.9">
      <c r="B58" s="128" t="s">
        <v>232</v>
      </c>
      <c r="C58" s="127"/>
      <c r="D58" s="127"/>
      <c r="E58" s="131"/>
      <c r="F58" s="132" t="s">
        <v>233</v>
      </c>
    </row>
    <row r="59" spans="1:6" ht="13.9">
      <c r="B59" s="128" t="s">
        <v>234</v>
      </c>
      <c r="C59" s="127"/>
      <c r="D59" s="127"/>
      <c r="E59" s="131"/>
      <c r="F59" s="132" t="s">
        <v>257</v>
      </c>
    </row>
    <row r="60" spans="1:6" ht="13.9">
      <c r="B60" s="319" t="s">
        <v>236</v>
      </c>
      <c r="C60" s="319"/>
      <c r="D60" s="319"/>
      <c r="E60" s="319"/>
      <c r="F60" s="320"/>
    </row>
    <row r="61" spans="1:6" ht="13.9">
      <c r="B61" s="127"/>
      <c r="C61" s="128" t="s">
        <v>237</v>
      </c>
      <c r="D61" s="128" t="s">
        <v>238</v>
      </c>
      <c r="E61" s="128" t="s">
        <v>239</v>
      </c>
      <c r="F61" s="128" t="s">
        <v>240</v>
      </c>
    </row>
    <row r="62" spans="1:6" ht="27.6">
      <c r="B62" s="128" t="s">
        <v>242</v>
      </c>
      <c r="C62" s="128" t="s">
        <v>243</v>
      </c>
      <c r="D62" s="128" t="s">
        <v>244</v>
      </c>
      <c r="E62" s="128" t="s">
        <v>245</v>
      </c>
      <c r="F62" s="128" t="s">
        <v>246</v>
      </c>
    </row>
    <row r="63" spans="1:6" ht="13.9">
      <c r="B63" s="127" t="s">
        <v>247</v>
      </c>
      <c r="C63" s="133">
        <v>6517</v>
      </c>
      <c r="D63" s="133">
        <v>374773193.30000001</v>
      </c>
      <c r="E63" s="134">
        <v>0.01</v>
      </c>
      <c r="F63" s="127">
        <f>D63*E63</f>
        <v>3747731.9330000002</v>
      </c>
    </row>
    <row r="64" spans="1:6" ht="13.9">
      <c r="B64" s="127" t="s">
        <v>248</v>
      </c>
      <c r="C64" s="133">
        <v>1404</v>
      </c>
      <c r="D64" s="133">
        <v>151338373.81</v>
      </c>
      <c r="E64" s="134">
        <v>0.05</v>
      </c>
      <c r="F64" s="127">
        <f>D64*E64</f>
        <v>7566918.6905000005</v>
      </c>
    </row>
    <row r="65" spans="2:6" ht="13.9">
      <c r="B65" s="127" t="s">
        <v>249</v>
      </c>
      <c r="C65" s="133">
        <v>685</v>
      </c>
      <c r="D65" s="133">
        <v>60509700.520000003</v>
      </c>
      <c r="E65" s="134">
        <v>0.25</v>
      </c>
      <c r="F65" s="127">
        <f>D65*E65</f>
        <v>15127425.130000001</v>
      </c>
    </row>
    <row r="66" spans="2:6" ht="13.9">
      <c r="B66" s="127" t="s">
        <v>250</v>
      </c>
      <c r="C66" s="133">
        <v>335</v>
      </c>
      <c r="D66" s="133">
        <v>25541759.989999998</v>
      </c>
      <c r="E66" s="134">
        <v>0.5</v>
      </c>
      <c r="F66" s="127">
        <f>D66*E66</f>
        <v>12770879.994999999</v>
      </c>
    </row>
    <row r="67" spans="2:6" ht="13.9">
      <c r="B67" s="127" t="s">
        <v>251</v>
      </c>
      <c r="C67" s="133">
        <v>543</v>
      </c>
      <c r="D67" s="133">
        <v>22647916.43</v>
      </c>
      <c r="E67" s="134">
        <v>1</v>
      </c>
      <c r="F67" s="127">
        <f>D67*E67</f>
        <v>22647916.43</v>
      </c>
    </row>
    <row r="68" spans="2:6" ht="13.9">
      <c r="B68" s="128" t="s">
        <v>252</v>
      </c>
      <c r="C68" s="135">
        <f>SUM(C63:C67)</f>
        <v>9484</v>
      </c>
      <c r="D68" s="135">
        <f>SUM(D63:D67)</f>
        <v>634810944.04999995</v>
      </c>
      <c r="E68" s="136"/>
      <c r="F68" s="135">
        <f>SUM(F63:F67)</f>
        <v>61860872.178499997</v>
      </c>
    </row>
    <row r="69" spans="2:6" ht="13.9">
      <c r="B69" s="127" t="s">
        <v>253</v>
      </c>
      <c r="C69" s="133"/>
      <c r="D69" s="133"/>
      <c r="E69" s="133"/>
      <c r="F69" s="133"/>
    </row>
    <row r="70" spans="2:6" ht="13.9">
      <c r="B70" s="127" t="s">
        <v>247</v>
      </c>
      <c r="C70" s="133">
        <v>0</v>
      </c>
      <c r="D70" s="133">
        <v>0</v>
      </c>
      <c r="E70" s="134">
        <v>0.01</v>
      </c>
      <c r="F70" s="127">
        <f>D70*E70</f>
        <v>0</v>
      </c>
    </row>
    <row r="71" spans="2:6" ht="13.9">
      <c r="B71" s="127" t="s">
        <v>248</v>
      </c>
      <c r="C71" s="133">
        <v>0</v>
      </c>
      <c r="D71" s="133"/>
      <c r="E71" s="134">
        <v>0.05</v>
      </c>
      <c r="F71" s="127">
        <f>D71*E71</f>
        <v>0</v>
      </c>
    </row>
    <row r="72" spans="2:6" ht="13.9">
      <c r="B72" s="127" t="s">
        <v>249</v>
      </c>
      <c r="C72" s="133"/>
      <c r="D72" s="133"/>
      <c r="E72" s="134">
        <v>0.25</v>
      </c>
      <c r="F72" s="127">
        <f>D72*E72</f>
        <v>0</v>
      </c>
    </row>
    <row r="73" spans="2:6" ht="13.9">
      <c r="B73" s="127" t="s">
        <v>250</v>
      </c>
      <c r="C73" s="133">
        <v>0</v>
      </c>
      <c r="D73" s="133">
        <v>0</v>
      </c>
      <c r="E73" s="134">
        <v>0.5</v>
      </c>
      <c r="F73" s="127">
        <f>D73*E73</f>
        <v>0</v>
      </c>
    </row>
    <row r="74" spans="2:6" ht="13.9">
      <c r="B74" s="127" t="s">
        <v>251</v>
      </c>
      <c r="C74" s="133">
        <v>0</v>
      </c>
      <c r="D74" s="133">
        <v>0</v>
      </c>
      <c r="E74" s="134">
        <v>1</v>
      </c>
      <c r="F74" s="127">
        <f>D74*E74</f>
        <v>0</v>
      </c>
    </row>
    <row r="75" spans="2:6" ht="13.9">
      <c r="B75" s="128" t="s">
        <v>252</v>
      </c>
      <c r="C75" s="135">
        <f>SUM(C69:C74)</f>
        <v>0</v>
      </c>
      <c r="D75" s="135">
        <f>SUM(D69:D74)</f>
        <v>0</v>
      </c>
      <c r="E75" s="128"/>
      <c r="F75" s="135">
        <f>SUM(F69:F74)</f>
        <v>0</v>
      </c>
    </row>
    <row r="76" spans="2:6" ht="13.9">
      <c r="B76" s="128" t="s">
        <v>254</v>
      </c>
      <c r="C76" s="135">
        <f>C68+C75</f>
        <v>9484</v>
      </c>
      <c r="D76" s="135">
        <f>D68+D75</f>
        <v>634810944.04999995</v>
      </c>
      <c r="E76" s="128"/>
      <c r="F76" s="135">
        <f>F68+F75</f>
        <v>61860872.178499997</v>
      </c>
    </row>
    <row r="79" spans="2:6">
      <c r="D79" s="236" t="s">
        <v>258</v>
      </c>
    </row>
    <row r="80" spans="2:6" ht="13.9">
      <c r="B80" s="127"/>
      <c r="C80" s="128" t="s">
        <v>237</v>
      </c>
      <c r="D80" s="128" t="s">
        <v>238</v>
      </c>
      <c r="E80" s="128" t="s">
        <v>239</v>
      </c>
      <c r="F80" s="128" t="s">
        <v>240</v>
      </c>
    </row>
    <row r="81" spans="2:6" ht="27.6">
      <c r="B81" s="128" t="s">
        <v>242</v>
      </c>
      <c r="C81" s="128" t="s">
        <v>243</v>
      </c>
      <c r="D81" s="128" t="s">
        <v>244</v>
      </c>
      <c r="E81" s="128" t="s">
        <v>245</v>
      </c>
      <c r="F81" s="128" t="s">
        <v>246</v>
      </c>
    </row>
    <row r="82" spans="2:6" ht="13.9">
      <c r="B82" s="127" t="s">
        <v>247</v>
      </c>
      <c r="C82" s="133"/>
      <c r="D82" s="233">
        <v>3423909321</v>
      </c>
      <c r="E82" s="134">
        <v>0.01</v>
      </c>
      <c r="F82" s="127">
        <f>D82*E82</f>
        <v>34239093.210000001</v>
      </c>
    </row>
    <row r="83" spans="2:6" ht="13.9">
      <c r="B83" s="127" t="s">
        <v>248</v>
      </c>
      <c r="C83" s="133"/>
      <c r="D83" s="233">
        <v>226552704</v>
      </c>
      <c r="E83" s="134">
        <v>0.05</v>
      </c>
      <c r="F83" s="127">
        <f>D83*E83</f>
        <v>11327635.200000001</v>
      </c>
    </row>
    <row r="84" spans="2:6" ht="13.9">
      <c r="B84" s="127" t="s">
        <v>249</v>
      </c>
      <c r="C84" s="133"/>
      <c r="D84" s="233">
        <v>162502879</v>
      </c>
      <c r="E84" s="134">
        <v>0.25</v>
      </c>
      <c r="F84" s="127">
        <f>D84*E84</f>
        <v>40625719.75</v>
      </c>
    </row>
    <row r="85" spans="2:6" ht="13.9">
      <c r="B85" s="127" t="s">
        <v>250</v>
      </c>
      <c r="C85" s="133"/>
      <c r="D85" s="233">
        <v>19518299</v>
      </c>
      <c r="E85" s="134">
        <v>0.5</v>
      </c>
      <c r="F85" s="127">
        <f>D85*E85</f>
        <v>9759149.5</v>
      </c>
    </row>
    <row r="86" spans="2:6" ht="13.9">
      <c r="B86" s="127" t="s">
        <v>251</v>
      </c>
      <c r="C86" s="133"/>
      <c r="D86" s="233">
        <v>151715259</v>
      </c>
      <c r="E86" s="134">
        <v>1</v>
      </c>
      <c r="F86" s="127">
        <f>D86*E86</f>
        <v>151715259</v>
      </c>
    </row>
    <row r="87" spans="2:6" ht="13.9">
      <c r="B87" s="128" t="s">
        <v>252</v>
      </c>
      <c r="C87" s="135">
        <f>SUM(C82:C86)</f>
        <v>0</v>
      </c>
      <c r="D87" s="237">
        <f>SUM(D82:D86)</f>
        <v>3984198462</v>
      </c>
      <c r="E87" s="238"/>
      <c r="F87" s="237">
        <f>SUM(F82:F86)</f>
        <v>247666856.66</v>
      </c>
    </row>
    <row r="88" spans="2:6" ht="13.9">
      <c r="B88" s="127" t="s">
        <v>253</v>
      </c>
      <c r="C88" s="133"/>
      <c r="D88" s="133"/>
      <c r="E88" s="133"/>
      <c r="F88" s="133"/>
    </row>
    <row r="89" spans="2:6" ht="13.9">
      <c r="B89" s="127" t="s">
        <v>247</v>
      </c>
      <c r="C89" s="133">
        <v>0</v>
      </c>
      <c r="D89" s="133">
        <v>0</v>
      </c>
      <c r="E89" s="134">
        <v>0.01</v>
      </c>
      <c r="F89" s="127">
        <f>D89*E89</f>
        <v>0</v>
      </c>
    </row>
    <row r="90" spans="2:6" ht="13.9">
      <c r="B90" s="127" t="s">
        <v>248</v>
      </c>
      <c r="C90" s="133">
        <v>0</v>
      </c>
      <c r="D90" s="133"/>
      <c r="E90" s="134">
        <v>0.05</v>
      </c>
      <c r="F90" s="127">
        <f>D90*E90</f>
        <v>0</v>
      </c>
    </row>
    <row r="91" spans="2:6" ht="13.9">
      <c r="B91" s="127" t="s">
        <v>249</v>
      </c>
      <c r="C91" s="133"/>
      <c r="D91" s="133"/>
      <c r="E91" s="134">
        <v>0.25</v>
      </c>
      <c r="F91" s="127">
        <f>D91*E91</f>
        <v>0</v>
      </c>
    </row>
    <row r="92" spans="2:6" ht="13.9">
      <c r="B92" s="127" t="s">
        <v>250</v>
      </c>
      <c r="C92" s="133">
        <v>0</v>
      </c>
      <c r="D92" s="133">
        <v>0</v>
      </c>
      <c r="E92" s="134">
        <v>0.5</v>
      </c>
      <c r="F92" s="127">
        <f>D92*E92</f>
        <v>0</v>
      </c>
    </row>
    <row r="93" spans="2:6" ht="13.9">
      <c r="B93" s="127" t="s">
        <v>251</v>
      </c>
      <c r="C93" s="133">
        <v>0</v>
      </c>
      <c r="D93" s="133">
        <v>0</v>
      </c>
      <c r="E93" s="134">
        <v>1</v>
      </c>
      <c r="F93" s="127">
        <f>D93*E93</f>
        <v>0</v>
      </c>
    </row>
    <row r="94" spans="2:6" ht="13.9">
      <c r="B94" s="128" t="s">
        <v>252</v>
      </c>
      <c r="C94" s="135">
        <f>SUM(C88:C93)</f>
        <v>0</v>
      </c>
      <c r="D94" s="135">
        <f>SUM(D88:D93)</f>
        <v>0</v>
      </c>
      <c r="E94" s="128"/>
      <c r="F94" s="135">
        <f>SUM(F88:F93)</f>
        <v>0</v>
      </c>
    </row>
    <row r="95" spans="2:6" ht="13.9">
      <c r="B95" s="128" t="s">
        <v>254</v>
      </c>
      <c r="C95" s="135">
        <f>C87+C94</f>
        <v>0</v>
      </c>
      <c r="D95" s="237">
        <f>D87+D94</f>
        <v>3984198462</v>
      </c>
      <c r="E95" s="238"/>
      <c r="F95" s="237">
        <f>F87+F94</f>
        <v>247666856.66</v>
      </c>
    </row>
    <row r="96" spans="2:6">
      <c r="D96" s="239"/>
      <c r="E96" s="239"/>
      <c r="F96" s="239"/>
    </row>
  </sheetData>
  <mergeCells count="8">
    <mergeCell ref="B55:F55"/>
    <mergeCell ref="B60:F60"/>
    <mergeCell ref="B34:F34"/>
    <mergeCell ref="A52:F52"/>
    <mergeCell ref="B2:F2"/>
    <mergeCell ref="B7:F7"/>
    <mergeCell ref="A25:F25"/>
    <mergeCell ref="B29:F2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J62"/>
  <sheetViews>
    <sheetView workbookViewId="0">
      <selection activeCell="A5" sqref="A5:H5"/>
    </sheetView>
  </sheetViews>
  <sheetFormatPr defaultRowHeight="14.45"/>
  <cols>
    <col min="1" max="1" width="47.42578125" style="170" customWidth="1"/>
    <col min="2" max="2" width="9.5703125" style="186" bestFit="1" customWidth="1"/>
    <col min="3" max="3" width="18.7109375" style="170" bestFit="1" customWidth="1"/>
    <col min="4" max="4" width="19" style="170" customWidth="1"/>
    <col min="5" max="6" width="18.7109375" style="170" bestFit="1" customWidth="1"/>
    <col min="7" max="7" width="18.7109375" style="187" bestFit="1" customWidth="1"/>
    <col min="8" max="8" width="25" style="170" customWidth="1"/>
    <col min="9" max="244" width="9.140625" style="170" customWidth="1"/>
  </cols>
  <sheetData>
    <row r="1" spans="1:244" ht="16.149999999999999" thickBot="1">
      <c r="A1" s="322" t="s">
        <v>259</v>
      </c>
      <c r="B1" s="322"/>
      <c r="C1" s="322"/>
      <c r="D1" s="322"/>
      <c r="E1" s="322"/>
      <c r="F1" s="322"/>
      <c r="G1" s="322"/>
      <c r="H1" s="322"/>
    </row>
    <row r="2" spans="1:244" ht="16.149999999999999" thickBot="1">
      <c r="A2" s="322" t="s">
        <v>260</v>
      </c>
      <c r="B2" s="322"/>
      <c r="C2" s="322"/>
      <c r="D2" s="322"/>
      <c r="E2" s="322"/>
      <c r="F2" s="322"/>
      <c r="G2" s="322"/>
      <c r="H2" s="322"/>
    </row>
    <row r="3" spans="1:244" ht="16.149999999999999" thickBot="1">
      <c r="A3" s="195"/>
      <c r="B3" s="329" t="s">
        <v>261</v>
      </c>
      <c r="C3" s="196" t="s">
        <v>262</v>
      </c>
      <c r="D3" s="322" t="s">
        <v>263</v>
      </c>
      <c r="E3" s="322"/>
      <c r="F3" s="322"/>
      <c r="G3" s="322"/>
      <c r="H3" s="328" t="s">
        <v>264</v>
      </c>
    </row>
    <row r="4" spans="1:244" ht="16.149999999999999" thickBot="1">
      <c r="A4" s="197"/>
      <c r="B4" s="329"/>
      <c r="C4" s="198">
        <v>2017</v>
      </c>
      <c r="D4" s="199">
        <v>43177</v>
      </c>
      <c r="E4" s="200">
        <v>43269</v>
      </c>
      <c r="F4" s="199" t="s">
        <v>265</v>
      </c>
      <c r="G4" s="200">
        <v>43361</v>
      </c>
      <c r="H4" s="328"/>
    </row>
    <row r="5" spans="1:244" ht="16.149999999999999" thickBot="1">
      <c r="A5" s="323" t="s">
        <v>266</v>
      </c>
      <c r="B5" s="323"/>
      <c r="C5" s="323"/>
      <c r="D5" s="323"/>
      <c r="E5" s="323"/>
      <c r="F5" s="323"/>
      <c r="G5" s="323"/>
      <c r="H5" s="323"/>
    </row>
    <row r="6" spans="1:244" ht="16.149999999999999" thickBot="1">
      <c r="A6" s="201" t="s">
        <v>267</v>
      </c>
      <c r="B6" s="202" t="s">
        <v>268</v>
      </c>
      <c r="C6" s="203" t="e">
        <f t="shared" ref="C6:H6" si="0">C33</f>
        <v>#REF!</v>
      </c>
      <c r="D6" s="203">
        <f t="shared" si="0"/>
        <v>732993433.11000013</v>
      </c>
      <c r="E6" s="203">
        <f t="shared" si="0"/>
        <v>793733145.88999999</v>
      </c>
      <c r="F6" s="203">
        <f t="shared" si="0"/>
        <v>220991783.40000001</v>
      </c>
      <c r="G6" s="203">
        <f t="shared" si="0"/>
        <v>822433820.99000001</v>
      </c>
      <c r="H6" s="203">
        <f t="shared" si="0"/>
        <v>68610901181</v>
      </c>
    </row>
    <row r="7" spans="1:244" ht="16.149999999999999" thickBot="1">
      <c r="A7" s="201" t="s">
        <v>269</v>
      </c>
      <c r="B7" s="204" t="s">
        <v>270</v>
      </c>
      <c r="C7" s="205" t="e">
        <f t="shared" ref="C7:H7" si="1">C33/C29</f>
        <v>#REF!</v>
      </c>
      <c r="D7" s="205">
        <f t="shared" si="1"/>
        <v>0.67362859860825208</v>
      </c>
      <c r="E7" s="205">
        <f t="shared" si="1"/>
        <v>0.75393010059852361</v>
      </c>
      <c r="F7" s="205">
        <f t="shared" si="1"/>
        <v>0.20503176925501718</v>
      </c>
      <c r="G7" s="205">
        <f t="shared" si="1"/>
        <v>0.75356327264993572</v>
      </c>
      <c r="H7" s="205">
        <f t="shared" si="1"/>
        <v>0.14576061198523357</v>
      </c>
    </row>
    <row r="8" spans="1:244" ht="16.149999999999999" thickBot="1">
      <c r="A8" s="201" t="s">
        <v>182</v>
      </c>
      <c r="B8" s="204" t="s">
        <v>271</v>
      </c>
      <c r="C8" s="206" t="e">
        <f t="shared" ref="C8:H8" si="2">C34/C29</f>
        <v>#REF!</v>
      </c>
      <c r="D8" s="206">
        <f t="shared" si="2"/>
        <v>0.26909141477555415</v>
      </c>
      <c r="E8" s="206">
        <f t="shared" si="2"/>
        <v>0.33557168916220703</v>
      </c>
      <c r="F8" s="205">
        <f t="shared" si="2"/>
        <v>9.5871935727169386E-2</v>
      </c>
      <c r="G8" s="205">
        <f t="shared" si="2"/>
        <v>0.35023712213281127</v>
      </c>
      <c r="H8" s="205">
        <f t="shared" si="2"/>
        <v>8.0885761199199546E-2</v>
      </c>
    </row>
    <row r="9" spans="1:244" ht="16.149999999999999" thickBot="1">
      <c r="A9" s="324" t="s">
        <v>272</v>
      </c>
      <c r="B9" s="324"/>
      <c r="C9" s="324"/>
      <c r="D9" s="324"/>
      <c r="E9" s="324"/>
      <c r="F9" s="324"/>
      <c r="G9" s="324"/>
      <c r="H9" s="324"/>
    </row>
    <row r="10" spans="1:244" ht="16.149999999999999" thickBot="1">
      <c r="A10" s="201" t="s">
        <v>273</v>
      </c>
      <c r="B10" s="202" t="s">
        <v>274</v>
      </c>
      <c r="C10" s="206">
        <f t="shared" ref="C10:H10" si="3">C35/C32</f>
        <v>0.15518114589779766</v>
      </c>
      <c r="D10" s="206">
        <f t="shared" si="3"/>
        <v>0</v>
      </c>
      <c r="E10" s="206">
        <f t="shared" si="3"/>
        <v>0.17740664275040952</v>
      </c>
      <c r="F10" s="206">
        <f t="shared" si="3"/>
        <v>0.2492447457549378</v>
      </c>
      <c r="G10" s="206">
        <f t="shared" si="3"/>
        <v>0</v>
      </c>
      <c r="H10" s="206">
        <f t="shared" si="3"/>
        <v>7.3088911237603985E-2</v>
      </c>
    </row>
    <row r="11" spans="1:244" ht="16.149999999999999" thickBot="1">
      <c r="A11" s="201" t="s">
        <v>153</v>
      </c>
      <c r="B11" s="202" t="s">
        <v>275</v>
      </c>
      <c r="C11" s="205">
        <f t="shared" ref="C11:H11" si="4">C36/C29</f>
        <v>0.19600848328944206</v>
      </c>
      <c r="D11" s="205">
        <f t="shared" si="4"/>
        <v>0.22705784262851145</v>
      </c>
      <c r="E11" s="205">
        <f t="shared" si="4"/>
        <v>0.18079153539768342</v>
      </c>
      <c r="F11" s="205">
        <f t="shared" si="4"/>
        <v>0.20917825038317842</v>
      </c>
      <c r="G11" s="205">
        <f t="shared" si="4"/>
        <v>0.2181451387584529</v>
      </c>
      <c r="H11" s="205">
        <f t="shared" si="4"/>
        <v>0.12029808094226868</v>
      </c>
    </row>
    <row r="12" spans="1:244" ht="16.149999999999999" thickBot="1">
      <c r="A12" s="201" t="s">
        <v>276</v>
      </c>
      <c r="B12" s="202" t="s">
        <v>274</v>
      </c>
      <c r="C12" s="207">
        <f t="shared" ref="C12:H12" si="5">C38/C31</f>
        <v>0.18442582700914728</v>
      </c>
      <c r="D12" s="207">
        <f t="shared" si="5"/>
        <v>0.18912769848095415</v>
      </c>
      <c r="E12" s="207">
        <f t="shared" si="5"/>
        <v>0.18474351045486706</v>
      </c>
      <c r="F12" s="207">
        <f t="shared" si="5"/>
        <v>0.18393759636151527</v>
      </c>
      <c r="G12" s="207">
        <f t="shared" si="5"/>
        <v>0.18073694677359925</v>
      </c>
      <c r="H12" s="207">
        <f t="shared" si="5"/>
        <v>4.1108342997492324E-2</v>
      </c>
    </row>
    <row r="13" spans="1:244" ht="16.149999999999999" thickBot="1">
      <c r="A13" s="208" t="s">
        <v>277</v>
      </c>
      <c r="B13" s="202" t="s">
        <v>278</v>
      </c>
      <c r="C13" s="209" t="e">
        <f t="shared" ref="C13:H13" si="6">C38/C33</f>
        <v>#REF!</v>
      </c>
      <c r="D13" s="209">
        <f t="shared" si="6"/>
        <v>0.20488613569538283</v>
      </c>
      <c r="E13" s="209">
        <f t="shared" si="6"/>
        <v>0.1892074090362012</v>
      </c>
      <c r="F13" s="209">
        <f t="shared" si="6"/>
        <v>0.67957364789518238</v>
      </c>
      <c r="G13" s="209">
        <f t="shared" si="6"/>
        <v>0.18260459160011375</v>
      </c>
      <c r="H13" s="209">
        <f t="shared" si="6"/>
        <v>0.19682259256987619</v>
      </c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  <c r="DA13" s="172"/>
      <c r="DB13" s="172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72"/>
      <c r="DY13" s="172"/>
      <c r="DZ13" s="172"/>
      <c r="EA13" s="172"/>
      <c r="EB13" s="172"/>
      <c r="EC13" s="172"/>
      <c r="ED13" s="172"/>
      <c r="EE13" s="172"/>
      <c r="EF13" s="172"/>
      <c r="EG13" s="172"/>
      <c r="EH13" s="172"/>
      <c r="EI13" s="172"/>
      <c r="EJ13" s="172"/>
      <c r="EK13" s="172"/>
      <c r="EL13" s="172"/>
      <c r="EM13" s="172"/>
      <c r="EN13" s="172"/>
      <c r="EO13" s="172"/>
      <c r="EP13" s="172"/>
      <c r="EQ13" s="172"/>
      <c r="ER13" s="172"/>
      <c r="ES13" s="172"/>
      <c r="ET13" s="172"/>
      <c r="EU13" s="172"/>
      <c r="EV13" s="172"/>
      <c r="EW13" s="172"/>
      <c r="EX13" s="172"/>
      <c r="EY13" s="172"/>
      <c r="EZ13" s="172"/>
      <c r="FA13" s="172"/>
      <c r="FB13" s="172"/>
      <c r="FC13" s="172"/>
      <c r="FD13" s="172"/>
      <c r="FE13" s="172"/>
      <c r="FF13" s="172"/>
      <c r="FG13" s="172"/>
      <c r="FH13" s="172"/>
      <c r="FI13" s="172"/>
      <c r="FJ13" s="172"/>
      <c r="FK13" s="172"/>
      <c r="FL13" s="172"/>
      <c r="FM13" s="172"/>
      <c r="FN13" s="172"/>
      <c r="FO13" s="172"/>
      <c r="FP13" s="172"/>
      <c r="FQ13" s="172"/>
      <c r="FR13" s="172"/>
      <c r="FS13" s="172"/>
      <c r="FT13" s="172"/>
      <c r="FU13" s="172"/>
      <c r="FV13" s="172"/>
      <c r="FW13" s="172"/>
      <c r="FX13" s="172"/>
      <c r="FY13" s="172"/>
      <c r="FZ13" s="172"/>
      <c r="GA13" s="172"/>
      <c r="GB13" s="172"/>
      <c r="GC13" s="172"/>
      <c r="GD13" s="172"/>
      <c r="GE13" s="172"/>
      <c r="GF13" s="172"/>
      <c r="GG13" s="172"/>
      <c r="GH13" s="172"/>
      <c r="GI13" s="172"/>
      <c r="GJ13" s="172"/>
      <c r="GK13" s="172"/>
      <c r="GL13" s="172"/>
      <c r="GM13" s="172"/>
      <c r="GN13" s="172"/>
      <c r="GO13" s="172"/>
      <c r="GP13" s="172"/>
      <c r="GQ13" s="172"/>
      <c r="GR13" s="172"/>
      <c r="GS13" s="172"/>
      <c r="GT13" s="172"/>
      <c r="GU13" s="172"/>
      <c r="GV13" s="172"/>
      <c r="GW13" s="172"/>
      <c r="GX13" s="172"/>
      <c r="GY13" s="172"/>
      <c r="GZ13" s="172"/>
      <c r="HA13" s="172"/>
      <c r="HB13" s="172"/>
      <c r="HC13" s="172"/>
      <c r="HD13" s="172"/>
      <c r="HE13" s="172"/>
      <c r="HF13" s="172"/>
      <c r="HG13" s="172"/>
      <c r="HH13" s="172"/>
      <c r="HI13" s="172"/>
      <c r="HJ13" s="172"/>
      <c r="HK13" s="172"/>
      <c r="HL13" s="172"/>
      <c r="HM13" s="172"/>
      <c r="HN13" s="172"/>
      <c r="HO13" s="172"/>
      <c r="HP13" s="172"/>
      <c r="HQ13" s="172"/>
      <c r="HR13" s="172"/>
      <c r="HS13" s="172"/>
      <c r="HT13" s="172"/>
      <c r="HU13" s="172"/>
      <c r="HV13" s="172"/>
      <c r="HW13" s="172"/>
      <c r="HX13" s="172"/>
      <c r="HY13" s="172"/>
      <c r="HZ13" s="172"/>
      <c r="IA13" s="172"/>
      <c r="IB13" s="172"/>
      <c r="IC13" s="172"/>
      <c r="ID13" s="172"/>
      <c r="IE13" s="172"/>
      <c r="IF13" s="172"/>
      <c r="IG13" s="172"/>
      <c r="IH13" s="172"/>
      <c r="II13" s="172"/>
      <c r="IJ13" s="172"/>
    </row>
    <row r="14" spans="1:244" ht="16.149999999999999" thickBot="1">
      <c r="A14" s="324" t="s">
        <v>279</v>
      </c>
      <c r="B14" s="324"/>
      <c r="C14" s="324"/>
      <c r="D14" s="324"/>
      <c r="E14" s="324"/>
      <c r="F14" s="324"/>
      <c r="G14" s="324"/>
      <c r="H14" s="324"/>
    </row>
    <row r="15" spans="1:244" ht="16.149999999999999" thickBot="1">
      <c r="A15" s="201" t="s">
        <v>280</v>
      </c>
      <c r="B15" s="202"/>
      <c r="C15" s="206">
        <f t="shared" ref="C15:H15" si="7">C44/C32</f>
        <v>0.22818322933695895</v>
      </c>
      <c r="D15" s="206">
        <f t="shared" si="7"/>
        <v>7.7318821800497275E-2</v>
      </c>
      <c r="E15" s="206">
        <f t="shared" si="7"/>
        <v>0.15889457545900262</v>
      </c>
      <c r="F15" s="206">
        <f t="shared" si="7"/>
        <v>0.18194977078768423</v>
      </c>
      <c r="G15" s="206">
        <f t="shared" si="7"/>
        <v>0.22085733230522253</v>
      </c>
      <c r="H15" s="206">
        <f t="shared" si="7"/>
        <v>9.4781906052829532E-2</v>
      </c>
    </row>
    <row r="16" spans="1:244" ht="16.149999999999999" thickBot="1">
      <c r="A16" s="201" t="s">
        <v>281</v>
      </c>
      <c r="B16" s="202"/>
      <c r="C16" s="206">
        <f t="shared" ref="C16:H16" si="8">C47/C43</f>
        <v>0.91386989776125105</v>
      </c>
      <c r="D16" s="206">
        <f t="shared" si="8"/>
        <v>0.70485126931562381</v>
      </c>
      <c r="E16" s="206">
        <f t="shared" si="8"/>
        <v>0.76136421267991261</v>
      </c>
      <c r="F16" s="206">
        <f t="shared" si="8"/>
        <v>0.7886934253223068</v>
      </c>
      <c r="G16" s="206">
        <f t="shared" si="8"/>
        <v>0.68993115109818048</v>
      </c>
      <c r="H16" s="206">
        <f t="shared" si="8"/>
        <v>0.71962331750759123</v>
      </c>
    </row>
    <row r="17" spans="1:8" ht="16.149999999999999" thickBot="1">
      <c r="A17" s="201" t="s">
        <v>282</v>
      </c>
      <c r="B17" s="202"/>
      <c r="C17" s="209">
        <f t="shared" ref="C17:H17" si="9">C48/C30</f>
        <v>3.7911830240231099E-3</v>
      </c>
      <c r="D17" s="209">
        <f t="shared" si="9"/>
        <v>9.7610883831332953E-3</v>
      </c>
      <c r="E17" s="209">
        <f t="shared" si="9"/>
        <v>1.6868344374676332E-2</v>
      </c>
      <c r="F17" s="209">
        <f t="shared" si="9"/>
        <v>2.2524417179354741E-2</v>
      </c>
      <c r="G17" s="209">
        <f t="shared" si="9"/>
        <v>3.3879707439332385E-2</v>
      </c>
      <c r="H17" s="209">
        <f t="shared" si="9"/>
        <v>2.5371289803958308E-2</v>
      </c>
    </row>
    <row r="18" spans="1:8" ht="16.149999999999999" thickBot="1">
      <c r="A18" s="208" t="s">
        <v>283</v>
      </c>
      <c r="B18" s="210"/>
      <c r="C18" s="209">
        <f t="shared" ref="C18:H18" si="10">C46/C43</f>
        <v>0.72583970189591662</v>
      </c>
      <c r="D18" s="209">
        <f t="shared" si="10"/>
        <v>0.69047377778884245</v>
      </c>
      <c r="E18" s="209">
        <f t="shared" si="10"/>
        <v>0.73917344538707963</v>
      </c>
      <c r="F18" s="209">
        <f t="shared" si="10"/>
        <v>0.70969988567700759</v>
      </c>
      <c r="G18" s="209">
        <f t="shared" si="10"/>
        <v>0.66759027715370423</v>
      </c>
      <c r="H18" s="209">
        <f t="shared" si="10"/>
        <v>0.34015828355599936</v>
      </c>
    </row>
    <row r="19" spans="1:8" ht="16.149999999999999" thickBot="1">
      <c r="A19" s="324" t="s">
        <v>284</v>
      </c>
      <c r="B19" s="324"/>
      <c r="C19" s="324"/>
      <c r="D19" s="324"/>
      <c r="E19" s="324"/>
      <c r="F19" s="324"/>
      <c r="G19" s="324"/>
      <c r="H19" s="324"/>
    </row>
    <row r="20" spans="1:8" ht="16.149999999999999" thickBot="1">
      <c r="A20" s="201" t="s">
        <v>285</v>
      </c>
      <c r="B20" s="211" t="s">
        <v>286</v>
      </c>
      <c r="C20" s="205">
        <f t="shared" ref="C20:H20" si="11">C40/C41</f>
        <v>1.6100338658390443</v>
      </c>
      <c r="D20" s="205">
        <f t="shared" si="11"/>
        <v>1.8231655518563794</v>
      </c>
      <c r="E20" s="205">
        <f t="shared" si="11"/>
        <v>2.8116034068226874</v>
      </c>
      <c r="F20" s="205">
        <f t="shared" si="11"/>
        <v>2.4337010632514304</v>
      </c>
      <c r="G20" s="205">
        <f t="shared" si="11"/>
        <v>1.8877413011089239</v>
      </c>
      <c r="H20" s="205">
        <f t="shared" si="11"/>
        <v>0.48530882402420372</v>
      </c>
    </row>
    <row r="21" spans="1:8" ht="16.149999999999999" thickBot="1">
      <c r="A21" s="201" t="s">
        <v>287</v>
      </c>
      <c r="B21" s="202" t="s">
        <v>288</v>
      </c>
      <c r="C21" s="205">
        <f t="shared" ref="C21:H21" si="12">C42/C29</f>
        <v>0</v>
      </c>
      <c r="D21" s="205">
        <f t="shared" si="12"/>
        <v>0</v>
      </c>
      <c r="E21" s="205">
        <f t="shared" si="12"/>
        <v>0</v>
      </c>
      <c r="F21" s="205">
        <f t="shared" si="12"/>
        <v>0</v>
      </c>
      <c r="G21" s="205">
        <f t="shared" si="12"/>
        <v>0</v>
      </c>
      <c r="H21" s="205">
        <f t="shared" si="12"/>
        <v>9.6313501746984817E-2</v>
      </c>
    </row>
    <row r="22" spans="1:8" ht="16.149999999999999" thickBot="1">
      <c r="A22" s="201" t="s">
        <v>289</v>
      </c>
      <c r="B22" s="202"/>
      <c r="C22" s="205">
        <f t="shared" ref="C22:H22" si="13">C40/C29</f>
        <v>0.14699390606500493</v>
      </c>
      <c r="D22" s="205">
        <f t="shared" si="13"/>
        <v>0.1514020343385466</v>
      </c>
      <c r="E22" s="205">
        <f t="shared" si="13"/>
        <v>0.15884369634643433</v>
      </c>
      <c r="F22" s="205">
        <f t="shared" si="13"/>
        <v>0.14013085089236815</v>
      </c>
      <c r="G22" s="205">
        <f t="shared" si="13"/>
        <v>0.11447686187038371</v>
      </c>
      <c r="H22" s="205">
        <f t="shared" si="13"/>
        <v>8.991079592194974E-2</v>
      </c>
    </row>
    <row r="23" spans="1:8" ht="16.149999999999999" thickBot="1">
      <c r="A23" s="334" t="s">
        <v>290</v>
      </c>
      <c r="B23" s="334"/>
      <c r="C23" s="334"/>
      <c r="D23" s="334"/>
      <c r="E23" s="334"/>
      <c r="F23" s="334"/>
      <c r="G23" s="334"/>
      <c r="H23" s="334"/>
    </row>
    <row r="24" spans="1:8" ht="16.149999999999999" thickBot="1">
      <c r="A24" s="212" t="s">
        <v>291</v>
      </c>
      <c r="B24" s="210" t="s">
        <v>292</v>
      </c>
      <c r="C24" s="209">
        <f t="shared" ref="C24:H24" si="14">C32/C29</f>
        <v>0.55689683818471536</v>
      </c>
      <c r="D24" s="209">
        <f t="shared" si="14"/>
        <v>0.52756552208585084</v>
      </c>
      <c r="E24" s="209">
        <f t="shared" si="14"/>
        <v>0.56992336675176147</v>
      </c>
      <c r="F24" s="209">
        <f t="shared" si="14"/>
        <v>0.56614221554419608</v>
      </c>
      <c r="G24" s="209">
        <f t="shared" si="14"/>
        <v>0.58165192173006663</v>
      </c>
      <c r="H24" s="209">
        <f t="shared" si="14"/>
        <v>0.76593828136691322</v>
      </c>
    </row>
    <row r="25" spans="1:8" ht="16.149999999999999" thickBot="1">
      <c r="A25" s="212" t="s">
        <v>293</v>
      </c>
      <c r="B25" s="213" t="s">
        <v>294</v>
      </c>
      <c r="C25" s="209">
        <f t="shared" ref="C25:H25" si="15">C32/C31</f>
        <v>0.7480301583347696</v>
      </c>
      <c r="D25" s="209">
        <f t="shared" si="15"/>
        <v>0.72293367473630799</v>
      </c>
      <c r="E25" s="209">
        <f t="shared" si="15"/>
        <v>0.7381020875169485</v>
      </c>
      <c r="F25" s="209">
        <f t="shared" si="15"/>
        <v>0.74737464145586485</v>
      </c>
      <c r="G25" s="209">
        <f t="shared" si="15"/>
        <v>0.76397419838846847</v>
      </c>
      <c r="H25" s="209">
        <f t="shared" si="15"/>
        <v>1.0975103293715103</v>
      </c>
    </row>
    <row r="26" spans="1:8" ht="16.149999999999999" thickBot="1">
      <c r="A26" s="212" t="s">
        <v>295</v>
      </c>
      <c r="B26" s="213"/>
      <c r="C26" s="209">
        <f t="shared" ref="C26:H26" si="16">C39/C31</f>
        <v>0.20252188187343026</v>
      </c>
      <c r="D26" s="209">
        <f t="shared" si="16"/>
        <v>0.19891937271099799</v>
      </c>
      <c r="E26" s="209">
        <f t="shared" si="16"/>
        <v>0.18933826192993686</v>
      </c>
      <c r="F26" s="209">
        <f t="shared" si="16"/>
        <v>0.18889198607494748</v>
      </c>
      <c r="G26" s="209">
        <f t="shared" si="16"/>
        <v>0.18635655287011849</v>
      </c>
      <c r="H26" s="209">
        <f t="shared" si="16"/>
        <v>6.3036124757479176E-2</v>
      </c>
    </row>
    <row r="27" spans="1:8" ht="16.149999999999999" thickBot="1">
      <c r="A27" s="212" t="s">
        <v>296</v>
      </c>
      <c r="B27" s="214"/>
      <c r="C27" s="209">
        <f t="shared" ref="C27:H27" si="17">C45/C43</f>
        <v>0.18406516230700354</v>
      </c>
      <c r="D27" s="209">
        <f t="shared" si="17"/>
        <v>0</v>
      </c>
      <c r="E27" s="209">
        <f t="shared" si="17"/>
        <v>0</v>
      </c>
      <c r="F27" s="209">
        <f t="shared" si="17"/>
        <v>1.8601714865089975E-3</v>
      </c>
      <c r="G27" s="209">
        <f t="shared" si="17"/>
        <v>0</v>
      </c>
      <c r="H27" s="209">
        <f t="shared" si="17"/>
        <v>0.30223695740805928</v>
      </c>
    </row>
    <row r="28" spans="1:8" ht="16.149999999999999" thickBot="1">
      <c r="A28" s="324" t="s">
        <v>297</v>
      </c>
      <c r="B28" s="324"/>
      <c r="C28" s="324"/>
      <c r="D28" s="324"/>
      <c r="E28" s="324"/>
      <c r="F28" s="324"/>
      <c r="G28" s="324"/>
      <c r="H28" s="324"/>
    </row>
    <row r="29" spans="1:8" ht="16.149999999999999" thickBot="1">
      <c r="A29" s="215" t="s">
        <v>54</v>
      </c>
      <c r="B29" s="216"/>
      <c r="C29" s="217">
        <v>1041432343</v>
      </c>
      <c r="D29" s="217">
        <v>1088126951</v>
      </c>
      <c r="E29" s="217">
        <v>1052794079</v>
      </c>
      <c r="F29" s="217">
        <v>1077841664.26</v>
      </c>
      <c r="G29" s="217">
        <v>1091393186</v>
      </c>
      <c r="H29" s="218">
        <v>470709475259</v>
      </c>
    </row>
    <row r="30" spans="1:8" ht="16.149999999999999" thickBot="1">
      <c r="A30" s="215" t="s">
        <v>298</v>
      </c>
      <c r="B30" s="216"/>
      <c r="C30" s="217">
        <v>1041569867.5</v>
      </c>
      <c r="D30" s="217">
        <v>1054331590.5</v>
      </c>
      <c r="E30" s="217">
        <v>1023665177</v>
      </c>
      <c r="F30" s="217">
        <v>1059611078.5</v>
      </c>
      <c r="G30" s="217">
        <v>1046817819</v>
      </c>
      <c r="H30" s="218">
        <v>445555825332</v>
      </c>
    </row>
    <row r="31" spans="1:8" ht="16.149999999999999" thickBot="1">
      <c r="A31" s="215" t="s">
        <v>123</v>
      </c>
      <c r="B31" s="216"/>
      <c r="C31" s="218">
        <v>775330209</v>
      </c>
      <c r="D31" s="218">
        <v>794067676</v>
      </c>
      <c r="E31" s="218">
        <v>812911867</v>
      </c>
      <c r="F31" s="218">
        <v>816473605.01999998</v>
      </c>
      <c r="G31" s="218">
        <v>830932439</v>
      </c>
      <c r="H31" s="218">
        <v>328502062217</v>
      </c>
    </row>
    <row r="32" spans="1:8" ht="16.149999999999999" thickBot="1">
      <c r="A32" s="215" t="s">
        <v>299</v>
      </c>
      <c r="B32" s="216"/>
      <c r="C32" s="218">
        <v>579970379</v>
      </c>
      <c r="D32" s="218">
        <v>574058263</v>
      </c>
      <c r="E32" s="218">
        <v>600011946</v>
      </c>
      <c r="F32" s="218">
        <v>610211667.80999994</v>
      </c>
      <c r="G32" s="218">
        <v>634810944</v>
      </c>
      <c r="H32" s="218">
        <v>360534406503</v>
      </c>
    </row>
    <row r="33" spans="1:8" ht="16.149999999999999" thickBot="1">
      <c r="A33" s="215" t="s">
        <v>129</v>
      </c>
      <c r="B33" s="216"/>
      <c r="C33" s="217" t="e">
        <f>SFP!#REF!+SFP!#REF!+SFP!#REF!+(0.5*SFP!#REF!)+SFP!#REF!+SFP!#REF!</f>
        <v>#REF!</v>
      </c>
      <c r="D33" s="217">
        <f>Financials!D59</f>
        <v>732993433.11000013</v>
      </c>
      <c r="E33" s="217">
        <f>Financials!G59</f>
        <v>793733145.88999999</v>
      </c>
      <c r="F33" s="217">
        <v>220991783.40000001</v>
      </c>
      <c r="G33" s="217">
        <f>Financials!J59</f>
        <v>822433820.99000001</v>
      </c>
      <c r="H33" s="218">
        <v>68610901181</v>
      </c>
    </row>
    <row r="34" spans="1:8" ht="16.149999999999999" thickBot="1">
      <c r="A34" s="215" t="s">
        <v>300</v>
      </c>
      <c r="B34" s="216"/>
      <c r="C34" s="217" t="e">
        <f>C33-SFP!#REF!</f>
        <v>#REF!</v>
      </c>
      <c r="D34" s="217">
        <f>D33-SFP!C39</f>
        <v>292805620.70000011</v>
      </c>
      <c r="E34" s="217">
        <f>E33-SFP!F39</f>
        <v>353287887.43000001</v>
      </c>
      <c r="F34" s="217">
        <v>103334766.76000001</v>
      </c>
      <c r="G34" s="217">
        <f>G33-SFP!D39</f>
        <v>382246408.57999998</v>
      </c>
      <c r="H34" s="218">
        <v>38073694210</v>
      </c>
    </row>
    <row r="35" spans="1:8" ht="16.149999999999999" thickBot="1">
      <c r="A35" s="215" t="s">
        <v>301</v>
      </c>
      <c r="B35" s="216"/>
      <c r="C35" s="218">
        <v>90000468</v>
      </c>
      <c r="D35" s="218">
        <f>Financials!D34</f>
        <v>0</v>
      </c>
      <c r="E35" s="218">
        <v>106446104.95</v>
      </c>
      <c r="F35" s="218">
        <v>152092052</v>
      </c>
      <c r="G35" s="218">
        <f>Financials!J34</f>
        <v>0</v>
      </c>
      <c r="H35" s="218">
        <v>26351067235</v>
      </c>
    </row>
    <row r="36" spans="1:8" ht="16.149999999999999" thickBot="1">
      <c r="A36" s="215" t="s">
        <v>153</v>
      </c>
      <c r="B36" s="216"/>
      <c r="C36" s="218">
        <v>204129574</v>
      </c>
      <c r="D36" s="218">
        <v>247067758</v>
      </c>
      <c r="E36" s="218">
        <v>190336258</v>
      </c>
      <c r="F36" s="218">
        <v>225461033.52000001</v>
      </c>
      <c r="G36" s="218">
        <v>238082118</v>
      </c>
      <c r="H36" s="218">
        <v>56625446555</v>
      </c>
    </row>
    <row r="37" spans="1:8" ht="16.149999999999999" thickBot="1">
      <c r="A37" s="215" t="s">
        <v>154</v>
      </c>
      <c r="B37" s="216"/>
      <c r="C37" s="217">
        <v>64759978</v>
      </c>
      <c r="D37" s="217">
        <v>64759978</v>
      </c>
      <c r="E37" s="217">
        <v>67783475</v>
      </c>
      <c r="F37" s="217">
        <v>75924160.11999999</v>
      </c>
      <c r="G37" s="217">
        <v>91766559</v>
      </c>
      <c r="H37" s="218">
        <v>17662274541</v>
      </c>
    </row>
    <row r="38" spans="1:8" ht="16.149999999999999" thickBot="1">
      <c r="A38" s="215" t="s">
        <v>302</v>
      </c>
      <c r="B38" s="216"/>
      <c r="C38" s="217">
        <v>142990915</v>
      </c>
      <c r="D38" s="217">
        <v>150180192</v>
      </c>
      <c r="E38" s="217">
        <v>150180192</v>
      </c>
      <c r="F38" s="217">
        <v>150180192.40000001</v>
      </c>
      <c r="G38" s="217">
        <v>150180192</v>
      </c>
      <c r="H38" s="218">
        <v>13504175449</v>
      </c>
    </row>
    <row r="39" spans="1:8" ht="16.149999999999999" thickBot="1">
      <c r="A39" s="215" t="s">
        <v>36</v>
      </c>
      <c r="B39" s="216"/>
      <c r="C39" s="217">
        <v>157021333</v>
      </c>
      <c r="D39" s="217">
        <v>157955444</v>
      </c>
      <c r="E39" s="217">
        <v>153915320</v>
      </c>
      <c r="F39" s="217">
        <v>154225320.83000001</v>
      </c>
      <c r="G39" s="217">
        <v>154849705</v>
      </c>
      <c r="H39" s="218">
        <v>20707496977</v>
      </c>
    </row>
    <row r="40" spans="1:8" ht="16.149999999999999" thickBot="1">
      <c r="A40" s="215" t="s">
        <v>167</v>
      </c>
      <c r="B40" s="216"/>
      <c r="C40" s="217">
        <v>153084208</v>
      </c>
      <c r="D40" s="217">
        <v>164744634</v>
      </c>
      <c r="E40" s="217">
        <v>167229703</v>
      </c>
      <c r="F40" s="217">
        <v>151038869.53999999</v>
      </c>
      <c r="G40" s="217">
        <v>124939267</v>
      </c>
      <c r="H40" s="218">
        <v>42321863568.540001</v>
      </c>
    </row>
    <row r="41" spans="1:8" ht="16.149999999999999" thickBot="1">
      <c r="A41" s="215" t="s">
        <v>303</v>
      </c>
      <c r="B41" s="216"/>
      <c r="C41" s="217">
        <v>95081359</v>
      </c>
      <c r="D41" s="217">
        <v>90361862</v>
      </c>
      <c r="E41" s="217">
        <v>59478411</v>
      </c>
      <c r="F41" s="217">
        <v>62061389.469999939</v>
      </c>
      <c r="G41" s="217">
        <v>66184528</v>
      </c>
      <c r="H41" s="218">
        <v>87206045869.113007</v>
      </c>
    </row>
    <row r="42" spans="1:8" ht="16.149999999999999" thickBot="1">
      <c r="A42" s="215" t="s">
        <v>304</v>
      </c>
      <c r="B42" s="216"/>
      <c r="C42" s="217">
        <v>0</v>
      </c>
      <c r="D42" s="217">
        <v>0</v>
      </c>
      <c r="E42" s="217">
        <v>0</v>
      </c>
      <c r="F42" s="217">
        <v>0</v>
      </c>
      <c r="G42" s="217">
        <v>0</v>
      </c>
      <c r="H42" s="218">
        <v>45335677867.68</v>
      </c>
    </row>
    <row r="43" spans="1:8" ht="16.149999999999999" thickBot="1">
      <c r="A43" s="215" t="s">
        <v>305</v>
      </c>
      <c r="B43" s="216"/>
      <c r="C43" s="217">
        <v>162985758</v>
      </c>
      <c r="D43" s="217">
        <v>45032969.68</v>
      </c>
      <c r="E43" s="217">
        <v>97502294.150000006</v>
      </c>
      <c r="F43" s="217">
        <v>112950209.98</v>
      </c>
      <c r="G43" s="217">
        <v>143406477.65000001</v>
      </c>
      <c r="H43" s="218">
        <v>55189309613.68</v>
      </c>
    </row>
    <row r="44" spans="1:8" ht="16.149999999999999" thickBot="1">
      <c r="A44" s="215" t="s">
        <v>306</v>
      </c>
      <c r="B44" s="216"/>
      <c r="C44" s="217">
        <v>132339514</v>
      </c>
      <c r="D44" s="217">
        <v>44385508.539999999</v>
      </c>
      <c r="E44" s="217">
        <v>95338643.430000007</v>
      </c>
      <c r="F44" s="217">
        <v>111027873.09</v>
      </c>
      <c r="G44" s="217">
        <v>140202651.61000001</v>
      </c>
      <c r="H44" s="218">
        <v>34172138245.98</v>
      </c>
    </row>
    <row r="45" spans="1:8" ht="16.149999999999999" thickBot="1">
      <c r="A45" s="215" t="s">
        <v>307</v>
      </c>
      <c r="B45" s="216"/>
      <c r="C45" s="217">
        <v>30000000</v>
      </c>
      <c r="D45" s="217">
        <v>0</v>
      </c>
      <c r="E45" s="217">
        <v>0</v>
      </c>
      <c r="F45" s="217">
        <v>210106.76</v>
      </c>
      <c r="G45" s="217">
        <v>0</v>
      </c>
      <c r="H45" s="218">
        <v>16680249019.09</v>
      </c>
    </row>
    <row r="46" spans="1:8" ht="16.149999999999999" thickBot="1">
      <c r="A46" s="215" t="s">
        <v>103</v>
      </c>
      <c r="B46" s="216"/>
      <c r="C46" s="217">
        <v>118301534</v>
      </c>
      <c r="D46" s="217">
        <v>31094084.699999999</v>
      </c>
      <c r="E46" s="217">
        <v>72071106.700000003</v>
      </c>
      <c r="F46" s="217">
        <v>80160751.109999999</v>
      </c>
      <c r="G46" s="217">
        <v>95736770.159999996</v>
      </c>
      <c r="H46" s="218">
        <v>18773100828.830002</v>
      </c>
    </row>
    <row r="47" spans="1:8" ht="16.149999999999999" thickBot="1">
      <c r="A47" s="215" t="s">
        <v>308</v>
      </c>
      <c r="B47" s="216"/>
      <c r="C47" s="217">
        <v>148947778</v>
      </c>
      <c r="D47" s="217">
        <v>31741545.84</v>
      </c>
      <c r="E47" s="217">
        <v>74234757.420000002</v>
      </c>
      <c r="F47" s="217">
        <v>89083088</v>
      </c>
      <c r="G47" s="217">
        <v>98940596.200000003</v>
      </c>
      <c r="H47" s="218">
        <v>39715514075.150002</v>
      </c>
    </row>
    <row r="48" spans="1:8" ht="16.149999999999999" thickBot="1">
      <c r="A48" s="215" t="s">
        <v>309</v>
      </c>
      <c r="B48" s="216"/>
      <c r="C48" s="217">
        <v>3948782</v>
      </c>
      <c r="D48" s="217">
        <v>10291423.84</v>
      </c>
      <c r="E48" s="217">
        <v>17267536.73</v>
      </c>
      <c r="F48" s="217">
        <v>23867121.980000004</v>
      </c>
      <c r="G48" s="217">
        <v>35465881.450000003</v>
      </c>
      <c r="H48" s="218">
        <v>11304325968.34</v>
      </c>
    </row>
    <row r="49" spans="1:8" ht="16.149999999999999" thickBot="1">
      <c r="A49" s="330" t="s">
        <v>310</v>
      </c>
      <c r="B49" s="330"/>
      <c r="C49" s="330"/>
      <c r="D49" s="330"/>
      <c r="E49" s="330"/>
      <c r="F49" s="330"/>
      <c r="G49" s="330"/>
      <c r="H49" s="330"/>
    </row>
    <row r="50" spans="1:8" ht="16.149999999999999" thickBot="1">
      <c r="A50" s="219" t="s">
        <v>311</v>
      </c>
      <c r="B50" s="220"/>
      <c r="C50" s="221"/>
      <c r="D50" s="221"/>
      <c r="E50" s="221"/>
      <c r="F50" s="221"/>
      <c r="G50" s="222"/>
      <c r="H50" s="221"/>
    </row>
    <row r="51" spans="1:8" ht="16.149999999999999" thickBot="1">
      <c r="A51" s="219" t="s">
        <v>312</v>
      </c>
      <c r="B51" s="220"/>
      <c r="C51" s="221"/>
      <c r="D51" s="221"/>
      <c r="E51" s="221"/>
      <c r="F51" s="221"/>
      <c r="G51" s="222"/>
      <c r="H51" s="221"/>
    </row>
    <row r="52" spans="1:8" ht="16.149999999999999" thickBot="1">
      <c r="A52" s="219" t="s">
        <v>313</v>
      </c>
      <c r="B52" s="220"/>
      <c r="C52" s="221"/>
      <c r="D52" s="221"/>
      <c r="E52" s="221"/>
      <c r="F52" s="221"/>
      <c r="G52" s="222"/>
      <c r="H52" s="221"/>
    </row>
    <row r="53" spans="1:8" ht="16.149999999999999" thickBot="1">
      <c r="A53" s="223" t="s">
        <v>314</v>
      </c>
      <c r="B53" s="221"/>
      <c r="C53" s="221"/>
      <c r="D53" s="221"/>
      <c r="E53" s="221"/>
      <c r="F53" s="221"/>
      <c r="G53" s="221"/>
      <c r="H53" s="221"/>
    </row>
    <row r="54" spans="1:8">
      <c r="A54" s="193" t="s">
        <v>315</v>
      </c>
      <c r="B54" s="194"/>
      <c r="C54" s="331"/>
      <c r="D54" s="332"/>
      <c r="E54" s="332"/>
      <c r="F54" s="332"/>
      <c r="G54" s="332"/>
      <c r="H54" s="333"/>
    </row>
    <row r="55" spans="1:8">
      <c r="A55" s="176"/>
      <c r="B55" s="173"/>
      <c r="C55" s="177"/>
      <c r="D55" s="177"/>
      <c r="E55" s="178"/>
      <c r="F55" s="178"/>
      <c r="G55" s="191"/>
      <c r="H55" s="174"/>
    </row>
    <row r="56" spans="1:8">
      <c r="A56" s="179" t="s">
        <v>316</v>
      </c>
      <c r="B56" s="180"/>
      <c r="C56" s="325"/>
      <c r="D56" s="326"/>
      <c r="E56" s="326"/>
      <c r="F56" s="326"/>
      <c r="G56" s="326"/>
      <c r="H56" s="174"/>
    </row>
    <row r="57" spans="1:8">
      <c r="A57" s="171"/>
      <c r="B57" s="173"/>
      <c r="C57" s="174"/>
      <c r="D57" s="174"/>
      <c r="E57" s="174"/>
      <c r="F57" s="175"/>
      <c r="G57" s="190"/>
      <c r="H57" s="174"/>
    </row>
    <row r="58" spans="1:8">
      <c r="A58" s="176" t="s">
        <v>317</v>
      </c>
      <c r="B58" s="173"/>
      <c r="C58" s="325"/>
      <c r="D58" s="326"/>
      <c r="E58" s="326"/>
      <c r="F58" s="326"/>
      <c r="G58" s="326"/>
      <c r="H58" s="327"/>
    </row>
    <row r="59" spans="1:8" ht="15" thickBot="1">
      <c r="A59" s="181"/>
      <c r="B59" s="182"/>
      <c r="C59" s="183"/>
      <c r="D59" s="183"/>
      <c r="E59" s="183"/>
      <c r="F59" s="184"/>
      <c r="G59" s="192"/>
      <c r="H59" s="174"/>
    </row>
    <row r="60" spans="1:8">
      <c r="A60" s="185" t="s">
        <v>318</v>
      </c>
    </row>
    <row r="61" spans="1:8">
      <c r="A61" s="172"/>
    </row>
    <row r="62" spans="1:8">
      <c r="A62" s="172"/>
    </row>
  </sheetData>
  <mergeCells count="15">
    <mergeCell ref="C58:H58"/>
    <mergeCell ref="C56:G56"/>
    <mergeCell ref="H3:H4"/>
    <mergeCell ref="B3:B4"/>
    <mergeCell ref="A49:H49"/>
    <mergeCell ref="C54:H54"/>
    <mergeCell ref="A1:H1"/>
    <mergeCell ref="D3:G3"/>
    <mergeCell ref="A2:H2"/>
    <mergeCell ref="A5:H5"/>
    <mergeCell ref="A28:H28"/>
    <mergeCell ref="A23:H23"/>
    <mergeCell ref="A19:H19"/>
    <mergeCell ref="A14:H14"/>
    <mergeCell ref="A9:H9"/>
  </mergeCells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67"/>
  <sheetViews>
    <sheetView workbookViewId="0">
      <selection activeCell="D8" sqref="D8"/>
    </sheetView>
  </sheetViews>
  <sheetFormatPr defaultRowHeight="14.45"/>
  <cols>
    <col min="1" max="1" width="20.42578125" bestFit="1" customWidth="1"/>
    <col min="4" max="4" width="17.28515625" bestFit="1" customWidth="1"/>
  </cols>
  <sheetData>
    <row r="2" spans="1:4">
      <c r="A2" s="156" t="s">
        <v>319</v>
      </c>
      <c r="D2" s="95"/>
    </row>
    <row r="3" spans="1:4">
      <c r="A3" s="157" t="s">
        <v>320</v>
      </c>
      <c r="D3" s="165" t="s">
        <v>321</v>
      </c>
    </row>
    <row r="4" spans="1:4">
      <c r="A4" s="158">
        <f>SUM(A5:A6)</f>
        <v>151038869.53999999</v>
      </c>
      <c r="D4" s="122">
        <f>D5+D9</f>
        <v>112950209.98</v>
      </c>
    </row>
    <row r="5" spans="1:4">
      <c r="A5" s="189">
        <v>4845494.5599999996</v>
      </c>
      <c r="D5" s="122">
        <f>SUM(D6:D7)</f>
        <v>82211671.540000007</v>
      </c>
    </row>
    <row r="6" spans="1:4">
      <c r="A6" s="159">
        <v>146193374.97999999</v>
      </c>
      <c r="D6" s="120">
        <v>68900449.700000003</v>
      </c>
    </row>
    <row r="7" spans="1:4">
      <c r="A7" s="119"/>
      <c r="D7" s="120">
        <v>13311221.84</v>
      </c>
    </row>
    <row r="8" spans="1:4">
      <c r="A8" s="160">
        <v>87068294.040000007</v>
      </c>
      <c r="D8" s="121"/>
    </row>
    <row r="9" spans="1:4">
      <c r="A9" s="119"/>
      <c r="D9" s="122">
        <f>SUM(D10:D13)</f>
        <v>30738538.439999998</v>
      </c>
    </row>
    <row r="10" spans="1:4">
      <c r="A10" s="158">
        <f>SUM(A11:A14)</f>
        <v>154225320.83000001</v>
      </c>
      <c r="D10" s="121"/>
    </row>
    <row r="11" spans="1:4">
      <c r="A11" s="119"/>
      <c r="D11" s="120">
        <v>6596616.21</v>
      </c>
    </row>
    <row r="12" spans="1:4">
      <c r="A12" s="119"/>
      <c r="D12" s="120">
        <v>9977330.7999999989</v>
      </c>
    </row>
    <row r="13" spans="1:4">
      <c r="A13" s="102">
        <v>4045128.4299999997</v>
      </c>
      <c r="D13" s="120">
        <v>14164591.43</v>
      </c>
    </row>
    <row r="14" spans="1:4">
      <c r="A14" s="102">
        <v>150180192.40000001</v>
      </c>
      <c r="D14" s="121"/>
    </row>
    <row r="15" spans="1:4">
      <c r="A15" s="119"/>
      <c r="D15" s="122">
        <f>D16+D17+D18+D19+D21+D22</f>
        <v>1922336.8900000001</v>
      </c>
    </row>
    <row r="16" spans="1:4">
      <c r="A16" s="158">
        <f>A17-A18</f>
        <v>547116440.37000012</v>
      </c>
      <c r="D16" s="120">
        <v>210106.76</v>
      </c>
    </row>
    <row r="17" spans="1:4">
      <c r="A17" s="102">
        <v>606815588.06000006</v>
      </c>
      <c r="D17" s="121">
        <v>230221.13</v>
      </c>
    </row>
    <row r="18" spans="1:4">
      <c r="A18" s="102">
        <v>59699147.689999998</v>
      </c>
      <c r="D18" s="121"/>
    </row>
    <row r="19" spans="1:4">
      <c r="A19" s="119"/>
      <c r="D19" s="120">
        <v>1166669</v>
      </c>
    </row>
    <row r="20" spans="1:4">
      <c r="A20" s="158">
        <f>SUM(A21:A23)</f>
        <v>0</v>
      </c>
      <c r="D20" s="120">
        <v>852788.38</v>
      </c>
    </row>
    <row r="21" spans="1:4">
      <c r="A21" s="119"/>
      <c r="D21" s="120">
        <v>315340</v>
      </c>
    </row>
    <row r="22" spans="1:4">
      <c r="A22" s="119"/>
      <c r="D22" s="121"/>
    </row>
    <row r="23" spans="1:4">
      <c r="A23" s="119"/>
      <c r="D23" s="121"/>
    </row>
    <row r="24" spans="1:4">
      <c r="A24" s="119"/>
      <c r="D24" s="122">
        <f>D4-D15</f>
        <v>111027873.09</v>
      </c>
    </row>
    <row r="25" spans="1:4">
      <c r="A25" s="158">
        <f>SUM(A26:A30)</f>
        <v>138392739.47999999</v>
      </c>
      <c r="D25" s="121"/>
    </row>
    <row r="26" spans="1:4">
      <c r="A26" s="119"/>
      <c r="D26" s="122">
        <f>D27-D28</f>
        <v>7000000</v>
      </c>
    </row>
    <row r="27" spans="1:4">
      <c r="A27" s="102">
        <v>75924160.11999999</v>
      </c>
      <c r="D27" s="166">
        <v>7000000</v>
      </c>
    </row>
    <row r="28" spans="1:4">
      <c r="A28" s="102">
        <v>47992405.620000005</v>
      </c>
      <c r="D28" s="121"/>
    </row>
    <row r="29" spans="1:4">
      <c r="A29" s="102">
        <v>14476173.740000002</v>
      </c>
      <c r="D29" s="121"/>
    </row>
    <row r="30" spans="1:4">
      <c r="A30" s="119"/>
      <c r="D30" s="148">
        <f>SUM(D31:D35)</f>
        <v>80160751.109999999</v>
      </c>
    </row>
    <row r="31" spans="1:4">
      <c r="A31" s="119"/>
      <c r="D31" s="120">
        <v>31647160</v>
      </c>
    </row>
    <row r="32" spans="1:4">
      <c r="A32" s="158">
        <f>SUM(A4,A8,A10,A16,A20,A25)</f>
        <v>1077841664.26</v>
      </c>
      <c r="D32" s="120">
        <v>13968033.300000001</v>
      </c>
    </row>
    <row r="33" spans="1:4">
      <c r="A33" s="119"/>
      <c r="D33" s="120">
        <v>4684294.05</v>
      </c>
    </row>
    <row r="34" spans="1:4">
      <c r="A34" s="119"/>
      <c r="D34" s="120"/>
    </row>
    <row r="35" spans="1:4">
      <c r="A35" s="119"/>
      <c r="D35" s="120">
        <v>29861263.760000002</v>
      </c>
    </row>
    <row r="36" spans="1:4">
      <c r="A36" s="102">
        <v>62054614.069999941</v>
      </c>
      <c r="D36" s="121"/>
    </row>
    <row r="37" spans="1:4">
      <c r="A37" s="119"/>
      <c r="D37" s="122">
        <f>D24-D26-D30</f>
        <v>23867121.980000004</v>
      </c>
    </row>
    <row r="38" spans="1:4">
      <c r="A38" s="102">
        <v>754418990.95000005</v>
      </c>
      <c r="D38" s="121"/>
    </row>
    <row r="39" spans="1:4">
      <c r="A39" s="158">
        <f>SUM(A36:A38)</f>
        <v>816473605.01999998</v>
      </c>
      <c r="D39" s="122">
        <f>D40-D41</f>
        <v>0</v>
      </c>
    </row>
    <row r="40" spans="1:4">
      <c r="A40" s="119"/>
      <c r="D40" s="121"/>
    </row>
    <row r="41" spans="1:4">
      <c r="A41" s="161">
        <f>SUM(A42:A47)</f>
        <v>6775.4</v>
      </c>
      <c r="D41" s="121"/>
    </row>
    <row r="42" spans="1:4">
      <c r="A42" s="119"/>
      <c r="D42" s="121"/>
    </row>
    <row r="43" spans="1:4">
      <c r="A43" s="163">
        <v>6775.4</v>
      </c>
      <c r="D43" s="123">
        <f>D37+D39</f>
        <v>23867121.980000004</v>
      </c>
    </row>
    <row r="44" spans="1:4">
      <c r="A44" s="119"/>
      <c r="D44" s="121"/>
    </row>
    <row r="45" spans="1:4">
      <c r="A45" s="119"/>
      <c r="D45" s="120"/>
    </row>
    <row r="46" spans="1:4">
      <c r="A46" s="102"/>
      <c r="D46" s="121"/>
    </row>
    <row r="47" spans="1:4">
      <c r="A47" s="119"/>
      <c r="D47" s="145">
        <f>D43-D45</f>
        <v>23867121.980000004</v>
      </c>
    </row>
    <row r="48" spans="1:4">
      <c r="A48" s="158">
        <f>SUM(A39,A41)</f>
        <v>816480380.41999996</v>
      </c>
      <c r="D48" s="121"/>
    </row>
    <row r="49" spans="1:4">
      <c r="A49" s="119"/>
      <c r="D49" s="164"/>
    </row>
    <row r="50" spans="1:4">
      <c r="A50" s="119"/>
      <c r="D50" s="145">
        <f>D47-D48</f>
        <v>23867121.980000004</v>
      </c>
    </row>
    <row r="51" spans="1:4">
      <c r="A51" s="102">
        <v>117657016.64</v>
      </c>
    </row>
    <row r="52" spans="1:4">
      <c r="A52" s="119"/>
    </row>
    <row r="53" spans="1:4">
      <c r="A53" s="119"/>
    </row>
    <row r="54" spans="1:4">
      <c r="A54" s="161">
        <f>A56+A55</f>
        <v>49798257.650000006</v>
      </c>
    </row>
    <row r="55" spans="1:4">
      <c r="A55" s="102">
        <v>25931135.670000002</v>
      </c>
    </row>
    <row r="56" spans="1:4">
      <c r="A56" s="102">
        <v>23867121.980000004</v>
      </c>
    </row>
    <row r="57" spans="1:4">
      <c r="A57" s="119"/>
    </row>
    <row r="58" spans="1:4">
      <c r="A58" s="161">
        <f>SUM(A59:A63)</f>
        <v>81373361.579999998</v>
      </c>
    </row>
    <row r="59" spans="1:4">
      <c r="A59" s="102">
        <v>32938418.649999999</v>
      </c>
    </row>
    <row r="60" spans="1:4">
      <c r="A60" s="102">
        <v>32531651.449999999</v>
      </c>
    </row>
    <row r="61" spans="1:4">
      <c r="A61" s="102">
        <v>15903291.48</v>
      </c>
    </row>
    <row r="62" spans="1:4">
      <c r="A62" s="119"/>
    </row>
    <row r="63" spans="1:4">
      <c r="A63" s="119"/>
    </row>
    <row r="64" spans="1:4">
      <c r="A64" s="158">
        <f>SUM(A51,A52,A54,A58)</f>
        <v>248828635.87</v>
      </c>
    </row>
    <row r="65" spans="1:1">
      <c r="A65" s="119"/>
    </row>
    <row r="66" spans="1:1">
      <c r="A66" s="158">
        <f>SUM(A48,A64)</f>
        <v>1065309016.29</v>
      </c>
    </row>
    <row r="67" spans="1:1">
      <c r="A67" s="162">
        <f>A32-A66</f>
        <v>12532647.970000029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DEDDB34B-6964-4860-9600-B80DCC8D4F36}"/>
</file>

<file path=customXml/itemProps2.xml><?xml version="1.0" encoding="utf-8"?>
<ds:datastoreItem xmlns:ds="http://schemas.openxmlformats.org/officeDocument/2006/customXml" ds:itemID="{ACEA1671-97BE-4348-AB72-A3B055E1A10B}"/>
</file>

<file path=customXml/itemProps3.xml><?xml version="1.0" encoding="utf-8"?>
<ds:datastoreItem xmlns:ds="http://schemas.openxmlformats.org/officeDocument/2006/customXml" ds:itemID="{C0044C2E-7D99-4E1A-9E6E-DDC07BB1F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Solomon Lemison</cp:lastModifiedBy>
  <cp:revision/>
  <dcterms:created xsi:type="dcterms:W3CDTF">2012-07-31T14:31:17Z</dcterms:created>
  <dcterms:modified xsi:type="dcterms:W3CDTF">2023-11-09T05:15:48Z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2023-03-30T07:01:55Z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f957d244-a8ad-499d-8b79-5ed70b7e7563</vt:lpwstr>
  </property>
  <property fmtid="{D5CDD505-2E9C-101B-9397-08002B2CF9AE}" pid="9" name="MSIP_Label_6294dde6-398b-42fd-9ab1-a1959fc6b9e2_ContentBits">
    <vt:lpwstr>0</vt:lpwstr>
  </property>
  <property fmtid="{D5CDD505-2E9C-101B-9397-08002B2CF9AE}" pid="10" name="ContentTypeId">
    <vt:lpwstr>0x010100F4FB27488935CD4FBFBB981DE553EA38</vt:lpwstr>
  </property>
  <property fmtid="{D5CDD505-2E9C-101B-9397-08002B2CF9AE}" pid="11" name="MediaServiceImageTags">
    <vt:lpwstr/>
  </property>
</Properties>
</file>
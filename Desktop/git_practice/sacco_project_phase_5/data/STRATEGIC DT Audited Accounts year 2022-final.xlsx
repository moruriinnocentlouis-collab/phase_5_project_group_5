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 showInkAnnotation="0"/>
  <mc:AlternateContent xmlns:mc="http://schemas.openxmlformats.org/markup-compatibility/2006">
    <mc:Choice Requires="x15">
      <x15ac:absPath xmlns:x15ac="http://schemas.microsoft.com/office/spreadsheetml/2010/11/ac" url="C:\Users\rkamwaro\OneDrive - Sacco Societies Regulatory Authority\Desktop\"/>
    </mc:Choice>
  </mc:AlternateContent>
  <xr:revisionPtr revIDLastSave="0" documentId="11_7D388594A82963B388D23095D3067D9CB485BB7F" xr6:coauthVersionLast="47" xr6:coauthVersionMax="47" xr10:uidLastSave="{00000000-0000-0000-0000-000000000000}"/>
  <bookViews>
    <workbookView xWindow="0" yWindow="0" windowWidth="23040" windowHeight="9192" firstSheet="3" activeTab="3" xr2:uid="{00000000-000D-0000-FFFF-FFFF00000000}"/>
  </bookViews>
  <sheets>
    <sheet name="Evolutive SFP" sheetId="1" r:id="rId1"/>
    <sheet name="KPIs" sheetId="7" r:id="rId2"/>
    <sheet name="Evolutitve SCI" sheetId="2" r:id="rId3"/>
    <sheet name="compliance report" sheetId="4" r:id="rId4"/>
    <sheet name="Caels" sheetId="5" r:id="rId5"/>
    <sheet name="Financials" sheetId="6" r:id="rId6"/>
  </sheets>
  <externalReferences>
    <externalReference r:id="rId7"/>
    <externalReference r:id="rId8"/>
  </externalReferences>
  <calcPr calcId="162913"/>
</workbook>
</file>

<file path=xl/calcChain.xml><?xml version="1.0" encoding="utf-8"?>
<calcChain xmlns="http://schemas.openxmlformats.org/spreadsheetml/2006/main">
  <c r="R38" i="2" l="1"/>
  <c r="R41" i="1"/>
  <c r="S41" i="2" l="1"/>
  <c r="W46" i="1"/>
  <c r="W44" i="1"/>
  <c r="R35" i="1"/>
  <c r="V18" i="2"/>
  <c r="V13" i="2"/>
  <c r="V12" i="2"/>
  <c r="V25" i="2"/>
  <c r="V23" i="2"/>
  <c r="AC52" i="1" l="1"/>
  <c r="AD39" i="1"/>
  <c r="R27" i="1" l="1"/>
  <c r="R22" i="1"/>
  <c r="R24" i="1"/>
  <c r="R11" i="1"/>
  <c r="R12" i="1"/>
  <c r="W16" i="1"/>
  <c r="R6" i="1"/>
  <c r="R28" i="2"/>
  <c r="S6" i="2"/>
  <c r="D4" i="6" l="1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CS15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BY21" i="6"/>
  <c r="CG21" i="6"/>
  <c r="D22" i="6"/>
  <c r="D21" i="6" s="1"/>
  <c r="E22" i="6"/>
  <c r="E21" i="6" s="1"/>
  <c r="F22" i="6"/>
  <c r="F21" i="6" s="1"/>
  <c r="G22" i="6"/>
  <c r="G21" i="6" s="1"/>
  <c r="H22" i="6"/>
  <c r="H21" i="6" s="1"/>
  <c r="I22" i="6"/>
  <c r="I21" i="6" s="1"/>
  <c r="J22" i="6"/>
  <c r="J21" i="6" s="1"/>
  <c r="K22" i="6"/>
  <c r="K21" i="6" s="1"/>
  <c r="L22" i="6"/>
  <c r="L21" i="6" s="1"/>
  <c r="M22" i="6"/>
  <c r="M21" i="6" s="1"/>
  <c r="N22" i="6"/>
  <c r="N21" i="6" s="1"/>
  <c r="O22" i="6"/>
  <c r="O21" i="6" s="1"/>
  <c r="P22" i="6"/>
  <c r="P21" i="6" s="1"/>
  <c r="Q22" i="6"/>
  <c r="Q21" i="6" s="1"/>
  <c r="R22" i="6"/>
  <c r="R21" i="6" s="1"/>
  <c r="S22" i="6"/>
  <c r="S21" i="6" s="1"/>
  <c r="T22" i="6"/>
  <c r="T21" i="6" s="1"/>
  <c r="U22" i="6"/>
  <c r="U21" i="6" s="1"/>
  <c r="V22" i="6"/>
  <c r="V21" i="6" s="1"/>
  <c r="W22" i="6"/>
  <c r="W21" i="6" s="1"/>
  <c r="X22" i="6"/>
  <c r="X21" i="6" s="1"/>
  <c r="Y22" i="6"/>
  <c r="Y21" i="6" s="1"/>
  <c r="Z22" i="6"/>
  <c r="Z21" i="6" s="1"/>
  <c r="AA22" i="6"/>
  <c r="AA21" i="6" s="1"/>
  <c r="AB22" i="6"/>
  <c r="AB21" i="6" s="1"/>
  <c r="AC22" i="6"/>
  <c r="AC21" i="6" s="1"/>
  <c r="AD22" i="6"/>
  <c r="AD21" i="6" s="1"/>
  <c r="AE22" i="6"/>
  <c r="AE21" i="6" s="1"/>
  <c r="AF22" i="6"/>
  <c r="AF21" i="6" s="1"/>
  <c r="AG22" i="6"/>
  <c r="AG21" i="6" s="1"/>
  <c r="AH22" i="6"/>
  <c r="AH21" i="6" s="1"/>
  <c r="AI22" i="6"/>
  <c r="AI21" i="6" s="1"/>
  <c r="AJ22" i="6"/>
  <c r="AJ21" i="6" s="1"/>
  <c r="AK22" i="6"/>
  <c r="AK21" i="6" s="1"/>
  <c r="AL22" i="6"/>
  <c r="AL21" i="6" s="1"/>
  <c r="AM22" i="6"/>
  <c r="AM21" i="6" s="1"/>
  <c r="AN22" i="6"/>
  <c r="AN21" i="6" s="1"/>
  <c r="AO22" i="6"/>
  <c r="AO21" i="6" s="1"/>
  <c r="AP22" i="6"/>
  <c r="AP21" i="6" s="1"/>
  <c r="AQ22" i="6"/>
  <c r="AQ21" i="6" s="1"/>
  <c r="AR22" i="6"/>
  <c r="AR21" i="6" s="1"/>
  <c r="AS22" i="6"/>
  <c r="AS21" i="6" s="1"/>
  <c r="AT22" i="6"/>
  <c r="AT21" i="6" s="1"/>
  <c r="AU22" i="6"/>
  <c r="AU21" i="6" s="1"/>
  <c r="AV22" i="6"/>
  <c r="AV21" i="6" s="1"/>
  <c r="AW22" i="6"/>
  <c r="AW21" i="6" s="1"/>
  <c r="AX22" i="6"/>
  <c r="AX21" i="6" s="1"/>
  <c r="AY22" i="6"/>
  <c r="AY21" i="6" s="1"/>
  <c r="AZ22" i="6"/>
  <c r="AZ21" i="6" s="1"/>
  <c r="BA22" i="6"/>
  <c r="BA21" i="6" s="1"/>
  <c r="BB22" i="6"/>
  <c r="BB21" i="6" s="1"/>
  <c r="BC22" i="6"/>
  <c r="BC21" i="6" s="1"/>
  <c r="BD22" i="6"/>
  <c r="BD21" i="6" s="1"/>
  <c r="BE22" i="6"/>
  <c r="BE21" i="6" s="1"/>
  <c r="BF22" i="6"/>
  <c r="BF21" i="6" s="1"/>
  <c r="BG22" i="6"/>
  <c r="BG21" i="6" s="1"/>
  <c r="BH22" i="6"/>
  <c r="BH21" i="6" s="1"/>
  <c r="BI22" i="6"/>
  <c r="BI21" i="6" s="1"/>
  <c r="BJ22" i="6"/>
  <c r="BJ21" i="6" s="1"/>
  <c r="BK22" i="6"/>
  <c r="BK21" i="6" s="1"/>
  <c r="BL22" i="6"/>
  <c r="BL21" i="6" s="1"/>
  <c r="BM22" i="6"/>
  <c r="BM21" i="6" s="1"/>
  <c r="BN22" i="6"/>
  <c r="BN21" i="6" s="1"/>
  <c r="BO22" i="6"/>
  <c r="BO21" i="6" s="1"/>
  <c r="BP22" i="6"/>
  <c r="BP21" i="6" s="1"/>
  <c r="BQ22" i="6"/>
  <c r="BQ21" i="6" s="1"/>
  <c r="BR22" i="6"/>
  <c r="BR21" i="6" s="1"/>
  <c r="BS22" i="6"/>
  <c r="BS21" i="6" s="1"/>
  <c r="BT22" i="6"/>
  <c r="BT21" i="6" s="1"/>
  <c r="BU22" i="6"/>
  <c r="BU21" i="6" s="1"/>
  <c r="BV22" i="6"/>
  <c r="BV21" i="6" s="1"/>
  <c r="BW22" i="6"/>
  <c r="BW21" i="6" s="1"/>
  <c r="BX22" i="6"/>
  <c r="BX21" i="6" s="1"/>
  <c r="BY22" i="6"/>
  <c r="BZ22" i="6"/>
  <c r="BZ21" i="6" s="1"/>
  <c r="CA22" i="6"/>
  <c r="CA21" i="6" s="1"/>
  <c r="CB22" i="6"/>
  <c r="CB21" i="6" s="1"/>
  <c r="CC22" i="6"/>
  <c r="CC21" i="6" s="1"/>
  <c r="CD22" i="6"/>
  <c r="CD21" i="6" s="1"/>
  <c r="CE22" i="6"/>
  <c r="CE21" i="6" s="1"/>
  <c r="CF22" i="6"/>
  <c r="CF21" i="6" s="1"/>
  <c r="CG22" i="6"/>
  <c r="CH22" i="6"/>
  <c r="CH21" i="6" s="1"/>
  <c r="CI22" i="6"/>
  <c r="CI21" i="6" s="1"/>
  <c r="CJ22" i="6"/>
  <c r="CJ21" i="6" s="1"/>
  <c r="CK22" i="6"/>
  <c r="CK21" i="6" s="1"/>
  <c r="CL22" i="6"/>
  <c r="CL21" i="6" s="1"/>
  <c r="CM22" i="6"/>
  <c r="CM21" i="6" s="1"/>
  <c r="CN22" i="6"/>
  <c r="CN21" i="6" s="1"/>
  <c r="CO22" i="6"/>
  <c r="CO21" i="6" s="1"/>
  <c r="CP22" i="6"/>
  <c r="CP21" i="6" s="1"/>
  <c r="CQ22" i="6"/>
  <c r="CQ21" i="6" s="1"/>
  <c r="CR22" i="6"/>
  <c r="CR21" i="6" s="1"/>
  <c r="CS22" i="6"/>
  <c r="CS21" i="6" s="1"/>
  <c r="I25" i="6"/>
  <c r="BU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8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CO31" i="6"/>
  <c r="CP31" i="6"/>
  <c r="CQ31" i="6"/>
  <c r="CR31" i="6"/>
  <c r="CS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O32" i="6"/>
  <c r="CP32" i="6"/>
  <c r="CQ32" i="6"/>
  <c r="CR32" i="6"/>
  <c r="CS32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C34" i="6"/>
  <c r="CD34" i="6"/>
  <c r="CE34" i="6"/>
  <c r="CF34" i="6"/>
  <c r="CG34" i="6"/>
  <c r="CH34" i="6"/>
  <c r="CI34" i="6"/>
  <c r="CJ34" i="6"/>
  <c r="CK34" i="6"/>
  <c r="CL34" i="6"/>
  <c r="CM34" i="6"/>
  <c r="CN34" i="6"/>
  <c r="CO34" i="6"/>
  <c r="CP34" i="6"/>
  <c r="CQ34" i="6"/>
  <c r="CR34" i="6"/>
  <c r="CS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C35" i="6"/>
  <c r="CD35" i="6"/>
  <c r="CE35" i="6"/>
  <c r="CF35" i="6"/>
  <c r="CG35" i="6"/>
  <c r="CH35" i="6"/>
  <c r="CI35" i="6"/>
  <c r="CJ35" i="6"/>
  <c r="CK35" i="6"/>
  <c r="CL35" i="6"/>
  <c r="CM35" i="6"/>
  <c r="CN35" i="6"/>
  <c r="CO35" i="6"/>
  <c r="CP35" i="6"/>
  <c r="CQ35" i="6"/>
  <c r="CR35" i="6"/>
  <c r="CS35" i="6"/>
  <c r="D38" i="6"/>
  <c r="E38" i="6"/>
  <c r="F38" i="6"/>
  <c r="G38" i="6"/>
  <c r="H38" i="6"/>
  <c r="I38" i="6"/>
  <c r="J38" i="6"/>
  <c r="K38" i="6"/>
  <c r="K37" i="6" s="1"/>
  <c r="L38" i="6"/>
  <c r="M38" i="6"/>
  <c r="N38" i="6"/>
  <c r="O38" i="6"/>
  <c r="P38" i="6"/>
  <c r="Q38" i="6"/>
  <c r="R38" i="6"/>
  <c r="S38" i="6"/>
  <c r="S37" i="6" s="1"/>
  <c r="T38" i="6"/>
  <c r="U38" i="6"/>
  <c r="V38" i="6"/>
  <c r="W38" i="6"/>
  <c r="X38" i="6"/>
  <c r="Y38" i="6"/>
  <c r="Z38" i="6"/>
  <c r="AA38" i="6"/>
  <c r="AA37" i="6" s="1"/>
  <c r="AB38" i="6"/>
  <c r="AC38" i="6"/>
  <c r="AD38" i="6"/>
  <c r="AE38" i="6"/>
  <c r="AF38" i="6"/>
  <c r="AG38" i="6"/>
  <c r="AH38" i="6"/>
  <c r="AI38" i="6"/>
  <c r="AI37" i="6" s="1"/>
  <c r="AJ38" i="6"/>
  <c r="AK38" i="6"/>
  <c r="AL38" i="6"/>
  <c r="AM38" i="6"/>
  <c r="AN38" i="6"/>
  <c r="AO38" i="6"/>
  <c r="AP38" i="6"/>
  <c r="AQ38" i="6"/>
  <c r="AQ37" i="6" s="1"/>
  <c r="AR38" i="6"/>
  <c r="AS38" i="6"/>
  <c r="AT38" i="6"/>
  <c r="AU38" i="6"/>
  <c r="AV38" i="6"/>
  <c r="AW38" i="6"/>
  <c r="AX38" i="6"/>
  <c r="AY38" i="6"/>
  <c r="AY37" i="6" s="1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O37" i="6" s="1"/>
  <c r="BP38" i="6"/>
  <c r="BQ38" i="6"/>
  <c r="BR38" i="6"/>
  <c r="BS38" i="6"/>
  <c r="BT38" i="6"/>
  <c r="BU38" i="6"/>
  <c r="BV38" i="6"/>
  <c r="BW38" i="6"/>
  <c r="BW37" i="6" s="1"/>
  <c r="BX38" i="6"/>
  <c r="BY38" i="6"/>
  <c r="BZ38" i="6"/>
  <c r="CA38" i="6"/>
  <c r="CB38" i="6"/>
  <c r="CC38" i="6"/>
  <c r="CD38" i="6"/>
  <c r="CE38" i="6"/>
  <c r="CE37" i="6" s="1"/>
  <c r="CF38" i="6"/>
  <c r="CG38" i="6"/>
  <c r="CH38" i="6"/>
  <c r="CI38" i="6"/>
  <c r="CJ38" i="6"/>
  <c r="CK38" i="6"/>
  <c r="CL38" i="6"/>
  <c r="CM38" i="6"/>
  <c r="CM37" i="6" s="1"/>
  <c r="CN38" i="6"/>
  <c r="CO38" i="6"/>
  <c r="CP38" i="6"/>
  <c r="CQ38" i="6"/>
  <c r="CR38" i="6"/>
  <c r="CS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CE40" i="6"/>
  <c r="CF40" i="6"/>
  <c r="CG40" i="6"/>
  <c r="CH40" i="6"/>
  <c r="CI40" i="6"/>
  <c r="CJ40" i="6"/>
  <c r="CK40" i="6"/>
  <c r="CL40" i="6"/>
  <c r="CM40" i="6"/>
  <c r="CN40" i="6"/>
  <c r="CO40" i="6"/>
  <c r="CP40" i="6"/>
  <c r="CQ40" i="6"/>
  <c r="CR40" i="6"/>
  <c r="CS40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H44" i="6"/>
  <c r="CI44" i="6"/>
  <c r="CJ44" i="6"/>
  <c r="CK44" i="6"/>
  <c r="CL44" i="6"/>
  <c r="CM44" i="6"/>
  <c r="CN44" i="6"/>
  <c r="CO44" i="6"/>
  <c r="CP44" i="6"/>
  <c r="CQ44" i="6"/>
  <c r="CR44" i="6"/>
  <c r="CS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CE45" i="6"/>
  <c r="CF45" i="6"/>
  <c r="CG45" i="6"/>
  <c r="CH45" i="6"/>
  <c r="CI45" i="6"/>
  <c r="CJ45" i="6"/>
  <c r="CK45" i="6"/>
  <c r="CL45" i="6"/>
  <c r="CM45" i="6"/>
  <c r="CN45" i="6"/>
  <c r="CO45" i="6"/>
  <c r="CP45" i="6"/>
  <c r="CQ45" i="6"/>
  <c r="CR45" i="6"/>
  <c r="CS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CH46" i="6"/>
  <c r="CI46" i="6"/>
  <c r="CJ46" i="6"/>
  <c r="CK46" i="6"/>
  <c r="CL46" i="6"/>
  <c r="CM46" i="6"/>
  <c r="CN46" i="6"/>
  <c r="CO46" i="6"/>
  <c r="CP46" i="6"/>
  <c r="CQ46" i="6"/>
  <c r="CR46" i="6"/>
  <c r="CS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CH47" i="6"/>
  <c r="CI47" i="6"/>
  <c r="CJ47" i="6"/>
  <c r="CK47" i="6"/>
  <c r="CL47" i="6"/>
  <c r="CM47" i="6"/>
  <c r="CN47" i="6"/>
  <c r="CO47" i="6"/>
  <c r="CP47" i="6"/>
  <c r="CQ47" i="6"/>
  <c r="CR47" i="6"/>
  <c r="CS47" i="6"/>
  <c r="AA44" i="1"/>
  <c r="Y50" i="1"/>
  <c r="Y48" i="1"/>
  <c r="J6" i="4"/>
  <c r="N6" i="4"/>
  <c r="R6" i="4"/>
  <c r="K7" i="4"/>
  <c r="N7" i="4"/>
  <c r="J8" i="4"/>
  <c r="L8" i="4"/>
  <c r="T8" i="4"/>
  <c r="K9" i="4"/>
  <c r="U9" i="4"/>
  <c r="I11" i="4"/>
  <c r="J11" i="4"/>
  <c r="L11" i="4"/>
  <c r="M11" i="4"/>
  <c r="Q11" i="4"/>
  <c r="R11" i="4"/>
  <c r="T11" i="4"/>
  <c r="U11" i="4"/>
  <c r="G12" i="4"/>
  <c r="O12" i="4"/>
  <c r="U12" i="4"/>
  <c r="N13" i="4"/>
  <c r="G14" i="4"/>
  <c r="I21" i="4"/>
  <c r="L21" i="4"/>
  <c r="Q21" i="4"/>
  <c r="G22" i="4"/>
  <c r="M22" i="4"/>
  <c r="O22" i="4"/>
  <c r="H23" i="4"/>
  <c r="L23" i="4"/>
  <c r="N23" i="4"/>
  <c r="P23" i="4"/>
  <c r="T23" i="4"/>
  <c r="G25" i="4"/>
  <c r="O25" i="4"/>
  <c r="I26" i="4"/>
  <c r="M26" i="4"/>
  <c r="N26" i="4"/>
  <c r="Q26" i="4"/>
  <c r="U26" i="4"/>
  <c r="I27" i="4"/>
  <c r="K27" i="4"/>
  <c r="L28" i="4"/>
  <c r="G30" i="4"/>
  <c r="H30" i="4"/>
  <c r="H31" i="4" s="1"/>
  <c r="I30" i="4"/>
  <c r="I25" i="4" s="1"/>
  <c r="J30" i="4"/>
  <c r="K30" i="4"/>
  <c r="K31" i="4" s="1"/>
  <c r="L30" i="4"/>
  <c r="M30" i="4"/>
  <c r="M31" i="4" s="1"/>
  <c r="N30" i="4"/>
  <c r="O30" i="4"/>
  <c r="P30" i="4"/>
  <c r="P31" i="4" s="1"/>
  <c r="Q30" i="4"/>
  <c r="Q25" i="4" s="1"/>
  <c r="R30" i="4"/>
  <c r="T30" i="4"/>
  <c r="U30" i="4"/>
  <c r="U31" i="4" s="1"/>
  <c r="G31" i="4"/>
  <c r="L31" i="4"/>
  <c r="N31" i="4"/>
  <c r="O31" i="4"/>
  <c r="G32" i="4"/>
  <c r="G27" i="4" s="1"/>
  <c r="H32" i="4"/>
  <c r="I32" i="4"/>
  <c r="J32" i="4"/>
  <c r="J26" i="4" s="1"/>
  <c r="K32" i="4"/>
  <c r="L32" i="4"/>
  <c r="M32" i="4"/>
  <c r="N32" i="4"/>
  <c r="O32" i="4"/>
  <c r="O27" i="4" s="1"/>
  <c r="P32" i="4"/>
  <c r="Q32" i="4"/>
  <c r="R32" i="4"/>
  <c r="R26" i="4" s="1"/>
  <c r="T32" i="4"/>
  <c r="U32" i="4"/>
  <c r="G33" i="4"/>
  <c r="H33" i="4"/>
  <c r="I33" i="4"/>
  <c r="J33" i="4"/>
  <c r="J25" i="4" s="1"/>
  <c r="K33" i="4"/>
  <c r="L33" i="4"/>
  <c r="L26" i="4" s="1"/>
  <c r="M33" i="4"/>
  <c r="N33" i="4"/>
  <c r="O33" i="4"/>
  <c r="P33" i="4"/>
  <c r="Q33" i="4"/>
  <c r="R33" i="4"/>
  <c r="R25" i="4" s="1"/>
  <c r="S33" i="4"/>
  <c r="S44" i="4" s="1"/>
  <c r="T33" i="4"/>
  <c r="T26" i="4" s="1"/>
  <c r="U33" i="4"/>
  <c r="G34" i="4"/>
  <c r="G7" i="4" s="1"/>
  <c r="H34" i="4"/>
  <c r="I34" i="4"/>
  <c r="J34" i="4"/>
  <c r="J7" i="4" s="1"/>
  <c r="K34" i="4"/>
  <c r="L34" i="4"/>
  <c r="M34" i="4"/>
  <c r="N34" i="4"/>
  <c r="N8" i="4" s="1"/>
  <c r="O34" i="4"/>
  <c r="P34" i="4"/>
  <c r="P7" i="4" s="1"/>
  <c r="Q34" i="4"/>
  <c r="Q14" i="4" s="1"/>
  <c r="R34" i="4"/>
  <c r="R7" i="4" s="1"/>
  <c r="S34" i="4"/>
  <c r="S35" i="4" s="1"/>
  <c r="T34" i="4"/>
  <c r="U34" i="4"/>
  <c r="U6" i="4" s="1"/>
  <c r="H35" i="4"/>
  <c r="H9" i="4" s="1"/>
  <c r="J35" i="4"/>
  <c r="J9" i="4" s="1"/>
  <c r="K35" i="4"/>
  <c r="M35" i="4"/>
  <c r="M9" i="4" s="1"/>
  <c r="N35" i="4"/>
  <c r="N9" i="4" s="1"/>
  <c r="R35" i="4"/>
  <c r="R9" i="4" s="1"/>
  <c r="U35" i="4"/>
  <c r="G37" i="4"/>
  <c r="H37" i="4"/>
  <c r="H12" i="4" s="1"/>
  <c r="I37" i="4"/>
  <c r="J37" i="4"/>
  <c r="J12" i="4" s="1"/>
  <c r="K37" i="4"/>
  <c r="K12" i="4" s="1"/>
  <c r="L37" i="4"/>
  <c r="L12" i="4" s="1"/>
  <c r="M37" i="4"/>
  <c r="N37" i="4"/>
  <c r="N12" i="4" s="1"/>
  <c r="O37" i="4"/>
  <c r="P37" i="4"/>
  <c r="P12" i="4" s="1"/>
  <c r="Q37" i="4"/>
  <c r="R37" i="4"/>
  <c r="R12" i="4" s="1"/>
  <c r="T37" i="4"/>
  <c r="T12" i="4" s="1"/>
  <c r="U37" i="4"/>
  <c r="G38" i="4"/>
  <c r="H38" i="4"/>
  <c r="I38" i="4"/>
  <c r="J38" i="4"/>
  <c r="K38" i="4"/>
  <c r="L38" i="4"/>
  <c r="M38" i="4"/>
  <c r="N38" i="4"/>
  <c r="O38" i="4"/>
  <c r="P38" i="4"/>
  <c r="Q38" i="4"/>
  <c r="R38" i="4"/>
  <c r="T38" i="4"/>
  <c r="U38" i="4"/>
  <c r="G39" i="4"/>
  <c r="G13" i="4" s="1"/>
  <c r="H39" i="4"/>
  <c r="H14" i="4" s="1"/>
  <c r="I39" i="4"/>
  <c r="I13" i="4" s="1"/>
  <c r="J39" i="4"/>
  <c r="J14" i="4" s="1"/>
  <c r="K39" i="4"/>
  <c r="K14" i="4" s="1"/>
  <c r="L39" i="4"/>
  <c r="L14" i="4" s="1"/>
  <c r="M39" i="4"/>
  <c r="M13" i="4" s="1"/>
  <c r="N39" i="4"/>
  <c r="N14" i="4" s="1"/>
  <c r="O39" i="4"/>
  <c r="O13" i="4" s="1"/>
  <c r="P39" i="4"/>
  <c r="P14" i="4" s="1"/>
  <c r="Q39" i="4"/>
  <c r="Q13" i="4" s="1"/>
  <c r="R39" i="4"/>
  <c r="R14" i="4" s="1"/>
  <c r="S39" i="4"/>
  <c r="T39" i="4"/>
  <c r="T14" i="4" s="1"/>
  <c r="U39" i="4"/>
  <c r="U13" i="4" s="1"/>
  <c r="G40" i="4"/>
  <c r="H40" i="4"/>
  <c r="H27" i="4" s="1"/>
  <c r="I40" i="4"/>
  <c r="J40" i="4"/>
  <c r="J27" i="4" s="1"/>
  <c r="K40" i="4"/>
  <c r="L40" i="4"/>
  <c r="L27" i="4" s="1"/>
  <c r="M40" i="4"/>
  <c r="M27" i="4" s="1"/>
  <c r="N40" i="4"/>
  <c r="N27" i="4" s="1"/>
  <c r="O40" i="4"/>
  <c r="P40" i="4"/>
  <c r="P27" i="4" s="1"/>
  <c r="Q40" i="4"/>
  <c r="Q27" i="4" s="1"/>
  <c r="R40" i="4"/>
  <c r="R27" i="4" s="1"/>
  <c r="T40" i="4"/>
  <c r="T27" i="4" s="1"/>
  <c r="U40" i="4"/>
  <c r="U27" i="4" s="1"/>
  <c r="G41" i="4"/>
  <c r="H41" i="4"/>
  <c r="I41" i="4"/>
  <c r="I23" i="4" s="1"/>
  <c r="J41" i="4"/>
  <c r="J23" i="4" s="1"/>
  <c r="K41" i="4"/>
  <c r="K23" i="4" s="1"/>
  <c r="L41" i="4"/>
  <c r="M41" i="4"/>
  <c r="N41" i="4"/>
  <c r="N21" i="4" s="1"/>
  <c r="O41" i="4"/>
  <c r="P41" i="4"/>
  <c r="Q41" i="4"/>
  <c r="Q23" i="4" s="1"/>
  <c r="R41" i="4"/>
  <c r="R23" i="4" s="1"/>
  <c r="T41" i="4"/>
  <c r="U41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T21" i="4" s="1"/>
  <c r="U42" i="4"/>
  <c r="G43" i="4"/>
  <c r="H43" i="4"/>
  <c r="H22" i="4" s="1"/>
  <c r="I43" i="4"/>
  <c r="J43" i="4"/>
  <c r="J22" i="4" s="1"/>
  <c r="K43" i="4"/>
  <c r="K22" i="4" s="1"/>
  <c r="L43" i="4"/>
  <c r="L22" i="4" s="1"/>
  <c r="M43" i="4"/>
  <c r="N43" i="4"/>
  <c r="N22" i="4" s="1"/>
  <c r="O43" i="4"/>
  <c r="P43" i="4"/>
  <c r="P22" i="4" s="1"/>
  <c r="Q43" i="4"/>
  <c r="R43" i="4"/>
  <c r="R22" i="4" s="1"/>
  <c r="S43" i="4"/>
  <c r="T43" i="4"/>
  <c r="T22" i="4" s="1"/>
  <c r="U43" i="4"/>
  <c r="U22" i="4" s="1"/>
  <c r="G44" i="4"/>
  <c r="J44" i="4"/>
  <c r="K44" i="4"/>
  <c r="L44" i="4"/>
  <c r="M44" i="4"/>
  <c r="N44" i="4"/>
  <c r="R44" i="4"/>
  <c r="U44" i="4"/>
  <c r="G45" i="4"/>
  <c r="H45" i="4"/>
  <c r="I45" i="4"/>
  <c r="I17" i="4" s="1"/>
  <c r="J45" i="4"/>
  <c r="K45" i="4"/>
  <c r="L45" i="4"/>
  <c r="M45" i="4"/>
  <c r="M19" i="4" s="1"/>
  <c r="N45" i="4"/>
  <c r="O45" i="4"/>
  <c r="P45" i="4"/>
  <c r="Q45" i="4"/>
  <c r="R45" i="4"/>
  <c r="S45" i="4"/>
  <c r="U45" i="4"/>
  <c r="U19" i="4" s="1"/>
  <c r="G46" i="4"/>
  <c r="H46" i="4"/>
  <c r="I46" i="4"/>
  <c r="J46" i="4"/>
  <c r="K46" i="4"/>
  <c r="L46" i="4"/>
  <c r="M46" i="4"/>
  <c r="N46" i="4"/>
  <c r="O46" i="4"/>
  <c r="P46" i="4"/>
  <c r="Q46" i="4"/>
  <c r="R46" i="4"/>
  <c r="U46" i="4"/>
  <c r="G47" i="4"/>
  <c r="G28" i="4" s="1"/>
  <c r="H47" i="4"/>
  <c r="H28" i="4" s="1"/>
  <c r="I47" i="4"/>
  <c r="J47" i="4"/>
  <c r="J28" i="4" s="1"/>
  <c r="K47" i="4"/>
  <c r="K28" i="4" s="1"/>
  <c r="L47" i="4"/>
  <c r="M47" i="4"/>
  <c r="N47" i="4"/>
  <c r="N28" i="4" s="1"/>
  <c r="O47" i="4"/>
  <c r="O28" i="4" s="1"/>
  <c r="P47" i="4"/>
  <c r="P28" i="4" s="1"/>
  <c r="Q47" i="4"/>
  <c r="R47" i="4"/>
  <c r="R28" i="4" s="1"/>
  <c r="S47" i="4"/>
  <c r="S28" i="4" s="1"/>
  <c r="T47" i="4"/>
  <c r="U47" i="4"/>
  <c r="G48" i="4"/>
  <c r="G19" i="4" s="1"/>
  <c r="H48" i="4"/>
  <c r="H19" i="4" s="1"/>
  <c r="I48" i="4"/>
  <c r="I19" i="4" s="1"/>
  <c r="J48" i="4"/>
  <c r="J19" i="4" s="1"/>
  <c r="K48" i="4"/>
  <c r="K19" i="4" s="1"/>
  <c r="L48" i="4"/>
  <c r="L19" i="4" s="1"/>
  <c r="M48" i="4"/>
  <c r="N48" i="4"/>
  <c r="O48" i="4"/>
  <c r="O19" i="4" s="1"/>
  <c r="P48" i="4"/>
  <c r="P19" i="4" s="1"/>
  <c r="Q48" i="4"/>
  <c r="Q19" i="4" s="1"/>
  <c r="R48" i="4"/>
  <c r="R19" i="4" s="1"/>
  <c r="T48" i="4"/>
  <c r="U48" i="4"/>
  <c r="G49" i="4"/>
  <c r="G16" i="4" s="1"/>
  <c r="H49" i="4"/>
  <c r="I49" i="4"/>
  <c r="I16" i="4" s="1"/>
  <c r="J49" i="4"/>
  <c r="J16" i="4" s="1"/>
  <c r="K49" i="4"/>
  <c r="K16" i="4" s="1"/>
  <c r="L49" i="4"/>
  <c r="L16" i="4" s="1"/>
  <c r="M49" i="4"/>
  <c r="M16" i="4" s="1"/>
  <c r="N49" i="4"/>
  <c r="N16" i="4" s="1"/>
  <c r="O49" i="4"/>
  <c r="O16" i="4" s="1"/>
  <c r="P49" i="4"/>
  <c r="P16" i="4" s="1"/>
  <c r="Q49" i="4"/>
  <c r="Q16" i="4" s="1"/>
  <c r="R49" i="4"/>
  <c r="R16" i="4" s="1"/>
  <c r="S49" i="4"/>
  <c r="T49" i="4"/>
  <c r="T16" i="4" s="1"/>
  <c r="U49" i="4"/>
  <c r="U16" i="4" s="1"/>
  <c r="G50" i="4"/>
  <c r="G17" i="4" s="1"/>
  <c r="H50" i="4"/>
  <c r="I50" i="4"/>
  <c r="J50" i="4"/>
  <c r="J17" i="4" s="1"/>
  <c r="K50" i="4"/>
  <c r="K17" i="4" s="1"/>
  <c r="L50" i="4"/>
  <c r="L17" i="4" s="1"/>
  <c r="M50" i="4"/>
  <c r="M17" i="4" s="1"/>
  <c r="N50" i="4"/>
  <c r="N17" i="4" s="1"/>
  <c r="O50" i="4"/>
  <c r="O17" i="4" s="1"/>
  <c r="P50" i="4"/>
  <c r="Q50" i="4"/>
  <c r="Q17" i="4" s="1"/>
  <c r="R50" i="4"/>
  <c r="R17" i="4" s="1"/>
  <c r="T50" i="4"/>
  <c r="U50" i="4"/>
  <c r="U17" i="4" s="1"/>
  <c r="G51" i="4"/>
  <c r="G18" i="4" s="1"/>
  <c r="H51" i="4"/>
  <c r="H18" i="4" s="1"/>
  <c r="I51" i="4"/>
  <c r="J51" i="4"/>
  <c r="K51" i="4"/>
  <c r="K18" i="4" s="1"/>
  <c r="L51" i="4"/>
  <c r="L18" i="4" s="1"/>
  <c r="M51" i="4"/>
  <c r="M18" i="4" s="1"/>
  <c r="N51" i="4"/>
  <c r="N18" i="4" s="1"/>
  <c r="O51" i="4"/>
  <c r="O18" i="4" s="1"/>
  <c r="P51" i="4"/>
  <c r="P18" i="4" s="1"/>
  <c r="Q51" i="4"/>
  <c r="R51" i="4"/>
  <c r="U51" i="4"/>
  <c r="U18" i="4" s="1"/>
  <c r="R16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S12" i="2"/>
  <c r="T12" i="2"/>
  <c r="E4" i="2"/>
  <c r="F4" i="2"/>
  <c r="G4" i="2"/>
  <c r="H4" i="2"/>
  <c r="H3" i="2" s="1"/>
  <c r="I4" i="2"/>
  <c r="J4" i="2"/>
  <c r="K4" i="2"/>
  <c r="L4" i="2"/>
  <c r="M4" i="2"/>
  <c r="N4" i="2"/>
  <c r="O4" i="2"/>
  <c r="P4" i="2"/>
  <c r="P3" i="2" s="1"/>
  <c r="Q4" i="2"/>
  <c r="R4" i="2"/>
  <c r="S4" i="2"/>
  <c r="S3" i="2" s="1"/>
  <c r="T45" i="4" s="1"/>
  <c r="T28" i="4" s="1"/>
  <c r="T4" i="2"/>
  <c r="U4" i="2"/>
  <c r="E3" i="2"/>
  <c r="F3" i="2"/>
  <c r="G3" i="2"/>
  <c r="I3" i="2"/>
  <c r="J3" i="2"/>
  <c r="K3" i="2"/>
  <c r="L3" i="2"/>
  <c r="M3" i="2"/>
  <c r="N3" i="2"/>
  <c r="O3" i="2"/>
  <c r="Q3" i="2"/>
  <c r="R3" i="2"/>
  <c r="T3" i="2"/>
  <c r="R11" i="2"/>
  <c r="V26" i="2"/>
  <c r="R6" i="2"/>
  <c r="R30" i="1"/>
  <c r="S32" i="4" s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S37" i="1"/>
  <c r="T37" i="1"/>
  <c r="U37" i="1"/>
  <c r="V37" i="1"/>
  <c r="F30" i="1"/>
  <c r="G30" i="1"/>
  <c r="H30" i="1"/>
  <c r="I30" i="1"/>
  <c r="J30" i="1"/>
  <c r="K30" i="1"/>
  <c r="L30" i="1"/>
  <c r="M30" i="1"/>
  <c r="N30" i="1"/>
  <c r="O30" i="1"/>
  <c r="P30" i="1"/>
  <c r="Q30" i="1"/>
  <c r="X11" i="1"/>
  <c r="CR25" i="6" l="1"/>
  <c r="CJ25" i="6"/>
  <c r="CB25" i="6"/>
  <c r="BT25" i="6"/>
  <c r="BL25" i="6"/>
  <c r="BD25" i="6"/>
  <c r="AV25" i="6"/>
  <c r="AN25" i="6"/>
  <c r="AF25" i="6"/>
  <c r="X25" i="6"/>
  <c r="P25" i="6"/>
  <c r="H25" i="6"/>
  <c r="CS25" i="6"/>
  <c r="BM25" i="6"/>
  <c r="AW25" i="6"/>
  <c r="AG25" i="6"/>
  <c r="CM43" i="6"/>
  <c r="BW43" i="6"/>
  <c r="BG43" i="6"/>
  <c r="AA43" i="6"/>
  <c r="K43" i="6"/>
  <c r="CO37" i="6"/>
  <c r="CG37" i="6"/>
  <c r="BY37" i="6"/>
  <c r="BQ37" i="6"/>
  <c r="BI37" i="6"/>
  <c r="BA37" i="6"/>
  <c r="AS37" i="6"/>
  <c r="AK37" i="6"/>
  <c r="AC37" i="6"/>
  <c r="U37" i="6"/>
  <c r="M37" i="6"/>
  <c r="E37" i="6"/>
  <c r="CN37" i="6"/>
  <c r="CF37" i="6"/>
  <c r="BX37" i="6"/>
  <c r="BP37" i="6"/>
  <c r="BH37" i="6"/>
  <c r="AZ37" i="6"/>
  <c r="AR37" i="6"/>
  <c r="AJ37" i="6"/>
  <c r="AB37" i="6"/>
  <c r="T37" i="6"/>
  <c r="L37" i="6"/>
  <c r="D37" i="6"/>
  <c r="CK25" i="6"/>
  <c r="CC25" i="6"/>
  <c r="BE25" i="6"/>
  <c r="AO25" i="6"/>
  <c r="Y25" i="6"/>
  <c r="Q25" i="6"/>
  <c r="CL37" i="6"/>
  <c r="CD37" i="6"/>
  <c r="BV37" i="6"/>
  <c r="BN37" i="6"/>
  <c r="BF37" i="6"/>
  <c r="AX37" i="6"/>
  <c r="AP37" i="6"/>
  <c r="AH37" i="6"/>
  <c r="Z37" i="6"/>
  <c r="R37" i="6"/>
  <c r="J37" i="6"/>
  <c r="CQ25" i="6"/>
  <c r="CI25" i="6"/>
  <c r="CA25" i="6"/>
  <c r="BS25" i="6"/>
  <c r="BK25" i="6"/>
  <c r="BC25" i="6"/>
  <c r="AU25" i="6"/>
  <c r="AM25" i="6"/>
  <c r="AE25" i="6"/>
  <c r="W25" i="6"/>
  <c r="O25" i="6"/>
  <c r="G25" i="6"/>
  <c r="AW14" i="6"/>
  <c r="CP43" i="6"/>
  <c r="CH43" i="6"/>
  <c r="BZ43" i="6"/>
  <c r="BR43" i="6"/>
  <c r="BJ43" i="6"/>
  <c r="BB43" i="6"/>
  <c r="AT43" i="6"/>
  <c r="AL43" i="6"/>
  <c r="AD43" i="6"/>
  <c r="V43" i="6"/>
  <c r="N43" i="6"/>
  <c r="F43" i="6"/>
  <c r="CE43" i="6"/>
  <c r="BO43" i="6"/>
  <c r="AY43" i="6"/>
  <c r="AQ43" i="6"/>
  <c r="AI43" i="6"/>
  <c r="S43" i="6"/>
  <c r="CO43" i="6"/>
  <c r="CG43" i="6"/>
  <c r="BY43" i="6"/>
  <c r="BQ43" i="6"/>
  <c r="BI43" i="6"/>
  <c r="BA43" i="6"/>
  <c r="AS43" i="6"/>
  <c r="AK43" i="6"/>
  <c r="AC43" i="6"/>
  <c r="U43" i="6"/>
  <c r="M43" i="6"/>
  <c r="E43" i="6"/>
  <c r="BG37" i="6"/>
  <c r="S14" i="4"/>
  <c r="T44" i="4"/>
  <c r="S16" i="4"/>
  <c r="T17" i="4"/>
  <c r="T19" i="4"/>
  <c r="CS14" i="6"/>
  <c r="CS11" i="6" s="1"/>
  <c r="CS12" i="6" s="1"/>
  <c r="CK14" i="6"/>
  <c r="CC14" i="6"/>
  <c r="BU14" i="6"/>
  <c r="BU11" i="6" s="1"/>
  <c r="BU12" i="6" s="1"/>
  <c r="BM14" i="6"/>
  <c r="BE14" i="6"/>
  <c r="AO14" i="6"/>
  <c r="AG14" i="6"/>
  <c r="Y14" i="6"/>
  <c r="Y11" i="6" s="1"/>
  <c r="Y12" i="6" s="1"/>
  <c r="Q14" i="6"/>
  <c r="Q11" i="6" s="1"/>
  <c r="Q12" i="6" s="1"/>
  <c r="I14" i="6"/>
  <c r="I11" i="6" s="1"/>
  <c r="I12" i="6" s="1"/>
  <c r="CN43" i="6"/>
  <c r="CF43" i="6"/>
  <c r="BX43" i="6"/>
  <c r="BP43" i="6"/>
  <c r="BH43" i="6"/>
  <c r="AZ43" i="6"/>
  <c r="AR43" i="6"/>
  <c r="AJ43" i="6"/>
  <c r="AB43" i="6"/>
  <c r="T43" i="6"/>
  <c r="L43" i="6"/>
  <c r="D43" i="6"/>
  <c r="CP25" i="6"/>
  <c r="CH25" i="6"/>
  <c r="BZ25" i="6"/>
  <c r="BR25" i="6"/>
  <c r="BJ25" i="6"/>
  <c r="BB25" i="6"/>
  <c r="AT25" i="6"/>
  <c r="AL25" i="6"/>
  <c r="AD25" i="6"/>
  <c r="V25" i="6"/>
  <c r="N25" i="6"/>
  <c r="F25" i="6"/>
  <c r="CL43" i="6"/>
  <c r="CD43" i="6"/>
  <c r="BV43" i="6"/>
  <c r="BN43" i="6"/>
  <c r="BF43" i="6"/>
  <c r="AX43" i="6"/>
  <c r="AP43" i="6"/>
  <c r="AH43" i="6"/>
  <c r="Z43" i="6"/>
  <c r="R43" i="6"/>
  <c r="J43" i="6"/>
  <c r="CN25" i="6"/>
  <c r="CF25" i="6"/>
  <c r="BX25" i="6"/>
  <c r="BP25" i="6"/>
  <c r="BH25" i="6"/>
  <c r="AZ25" i="6"/>
  <c r="AR25" i="6"/>
  <c r="AJ25" i="6"/>
  <c r="AB25" i="6"/>
  <c r="T25" i="6"/>
  <c r="L25" i="6"/>
  <c r="D25" i="6"/>
  <c r="CS43" i="6"/>
  <c r="CK43" i="6"/>
  <c r="CC43" i="6"/>
  <c r="BU43" i="6"/>
  <c r="BM43" i="6"/>
  <c r="BE43" i="6"/>
  <c r="AW43" i="6"/>
  <c r="AO43" i="6"/>
  <c r="AG43" i="6"/>
  <c r="Y43" i="6"/>
  <c r="Q43" i="6"/>
  <c r="I43" i="6"/>
  <c r="CR37" i="6"/>
  <c r="CJ37" i="6"/>
  <c r="CB37" i="6"/>
  <c r="BT37" i="6"/>
  <c r="BL37" i="6"/>
  <c r="BD37" i="6"/>
  <c r="AV37" i="6"/>
  <c r="AN37" i="6"/>
  <c r="AF37" i="6"/>
  <c r="X37" i="6"/>
  <c r="P37" i="6"/>
  <c r="H37" i="6"/>
  <c r="CM25" i="6"/>
  <c r="CE25" i="6"/>
  <c r="BW25" i="6"/>
  <c r="BO25" i="6"/>
  <c r="BG25" i="6"/>
  <c r="AY25" i="6"/>
  <c r="AQ25" i="6"/>
  <c r="AI25" i="6"/>
  <c r="AA25" i="6"/>
  <c r="S25" i="6"/>
  <c r="K25" i="6"/>
  <c r="CR43" i="6"/>
  <c r="CJ43" i="6"/>
  <c r="CB43" i="6"/>
  <c r="BT43" i="6"/>
  <c r="BL43" i="6"/>
  <c r="BD43" i="6"/>
  <c r="AV43" i="6"/>
  <c r="AN43" i="6"/>
  <c r="AF43" i="6"/>
  <c r="X43" i="6"/>
  <c r="P43" i="6"/>
  <c r="H43" i="6"/>
  <c r="CL25" i="6"/>
  <c r="CD25" i="6"/>
  <c r="BV25" i="6"/>
  <c r="BN25" i="6"/>
  <c r="BF25" i="6"/>
  <c r="AX25" i="6"/>
  <c r="AP25" i="6"/>
  <c r="AH25" i="6"/>
  <c r="Z25" i="6"/>
  <c r="R25" i="6"/>
  <c r="J25" i="6"/>
  <c r="CQ43" i="6"/>
  <c r="CI43" i="6"/>
  <c r="CA43" i="6"/>
  <c r="BS43" i="6"/>
  <c r="BK43" i="6"/>
  <c r="BC43" i="6"/>
  <c r="AU43" i="6"/>
  <c r="AM43" i="6"/>
  <c r="AE43" i="6"/>
  <c r="W43" i="6"/>
  <c r="O43" i="6"/>
  <c r="G43" i="6"/>
  <c r="CP37" i="6"/>
  <c r="CH37" i="6"/>
  <c r="BZ37" i="6"/>
  <c r="BR37" i="6"/>
  <c r="BJ37" i="6"/>
  <c r="BB37" i="6"/>
  <c r="AT37" i="6"/>
  <c r="AL37" i="6"/>
  <c r="AD37" i="6"/>
  <c r="V37" i="6"/>
  <c r="N37" i="6"/>
  <c r="F37" i="6"/>
  <c r="CG14" i="6"/>
  <c r="BY14" i="6"/>
  <c r="BQ14" i="6"/>
  <c r="BQ11" i="6" s="1"/>
  <c r="BQ12" i="6" s="1"/>
  <c r="BI14" i="6"/>
  <c r="BI11" i="6" s="1"/>
  <c r="BI12" i="6" s="1"/>
  <c r="BA14" i="6"/>
  <c r="AS14" i="6"/>
  <c r="AK14" i="6"/>
  <c r="AC14" i="6"/>
  <c r="U14" i="6"/>
  <c r="M14" i="6"/>
  <c r="E14" i="6"/>
  <c r="CO14" i="6"/>
  <c r="CO11" i="6" s="1"/>
  <c r="CO12" i="6" s="1"/>
  <c r="CN14" i="6"/>
  <c r="CF14" i="6"/>
  <c r="BX14" i="6"/>
  <c r="BP14" i="6"/>
  <c r="BP11" i="6" s="1"/>
  <c r="BP12" i="6" s="1"/>
  <c r="BH14" i="6"/>
  <c r="BH11" i="6" s="1"/>
  <c r="BH12" i="6" s="1"/>
  <c r="AZ14" i="6"/>
  <c r="AZ11" i="6" s="1"/>
  <c r="AZ12" i="6" s="1"/>
  <c r="AR14" i="6"/>
  <c r="AR11" i="6" s="1"/>
  <c r="AR12" i="6" s="1"/>
  <c r="AJ14" i="6"/>
  <c r="AB14" i="6"/>
  <c r="T14" i="6"/>
  <c r="L14" i="6"/>
  <c r="D14" i="6"/>
  <c r="D11" i="6" s="1"/>
  <c r="D12" i="6" s="1"/>
  <c r="CM14" i="6"/>
  <c r="CM11" i="6" s="1"/>
  <c r="CM12" i="6" s="1"/>
  <c r="CE14" i="6"/>
  <c r="CE11" i="6" s="1"/>
  <c r="CE12" i="6" s="1"/>
  <c r="BW14" i="6"/>
  <c r="BW11" i="6" s="1"/>
  <c r="BW12" i="6" s="1"/>
  <c r="BO14" i="6"/>
  <c r="BG14" i="6"/>
  <c r="AY14" i="6"/>
  <c r="AQ14" i="6"/>
  <c r="AI14" i="6"/>
  <c r="AI11" i="6" s="1"/>
  <c r="AI12" i="6" s="1"/>
  <c r="AA14" i="6"/>
  <c r="AA11" i="6" s="1"/>
  <c r="AA12" i="6" s="1"/>
  <c r="S14" i="6"/>
  <c r="S11" i="6" s="1"/>
  <c r="S12" i="6" s="1"/>
  <c r="K14" i="6"/>
  <c r="K11" i="6" s="1"/>
  <c r="K12" i="6" s="1"/>
  <c r="CL14" i="6"/>
  <c r="CL11" i="6" s="1"/>
  <c r="CL12" i="6" s="1"/>
  <c r="CD14" i="6"/>
  <c r="CD11" i="6" s="1"/>
  <c r="CD12" i="6" s="1"/>
  <c r="BV14" i="6"/>
  <c r="BV11" i="6" s="1"/>
  <c r="BV12" i="6" s="1"/>
  <c r="BN14" i="6"/>
  <c r="BF14" i="6"/>
  <c r="AX14" i="6"/>
  <c r="AP14" i="6"/>
  <c r="AH14" i="6"/>
  <c r="Z14" i="6"/>
  <c r="Z11" i="6" s="1"/>
  <c r="Z12" i="6" s="1"/>
  <c r="R14" i="6"/>
  <c r="R11" i="6" s="1"/>
  <c r="R12" i="6" s="1"/>
  <c r="J14" i="6"/>
  <c r="J11" i="6" s="1"/>
  <c r="J12" i="6" s="1"/>
  <c r="CO25" i="6"/>
  <c r="CG25" i="6"/>
  <c r="BY25" i="6"/>
  <c r="BQ25" i="6"/>
  <c r="BI25" i="6"/>
  <c r="BA25" i="6"/>
  <c r="AS25" i="6"/>
  <c r="AS11" i="6" s="1"/>
  <c r="AS12" i="6" s="1"/>
  <c r="AK25" i="6"/>
  <c r="AK11" i="6" s="1"/>
  <c r="AK12" i="6" s="1"/>
  <c r="AC25" i="6"/>
  <c r="AC11" i="6" s="1"/>
  <c r="AC12" i="6" s="1"/>
  <c r="U25" i="6"/>
  <c r="M25" i="6"/>
  <c r="E25" i="6"/>
  <c r="CS37" i="6"/>
  <c r="CK37" i="6"/>
  <c r="CC37" i="6"/>
  <c r="BU37" i="6"/>
  <c r="BM37" i="6"/>
  <c r="BE37" i="6"/>
  <c r="AW37" i="6"/>
  <c r="AO37" i="6"/>
  <c r="AG37" i="6"/>
  <c r="Y37" i="6"/>
  <c r="Q37" i="6"/>
  <c r="I37" i="6"/>
  <c r="CR14" i="6"/>
  <c r="CR11" i="6" s="1"/>
  <c r="CR12" i="6" s="1"/>
  <c r="CJ14" i="6"/>
  <c r="CJ11" i="6" s="1"/>
  <c r="CJ12" i="6" s="1"/>
  <c r="CB14" i="6"/>
  <c r="CB11" i="6" s="1"/>
  <c r="CB12" i="6" s="1"/>
  <c r="BT14" i="6"/>
  <c r="BT11" i="6" s="1"/>
  <c r="BT12" i="6" s="1"/>
  <c r="BL14" i="6"/>
  <c r="BL11" i="6" s="1"/>
  <c r="BL12" i="6" s="1"/>
  <c r="BD14" i="6"/>
  <c r="BD11" i="6" s="1"/>
  <c r="BD12" i="6" s="1"/>
  <c r="AV14" i="6"/>
  <c r="AV11" i="6" s="1"/>
  <c r="AV12" i="6" s="1"/>
  <c r="AN14" i="6"/>
  <c r="AF14" i="6"/>
  <c r="AF11" i="6" s="1"/>
  <c r="AF12" i="6" s="1"/>
  <c r="X14" i="6"/>
  <c r="X11" i="6" s="1"/>
  <c r="X12" i="6" s="1"/>
  <c r="P14" i="6"/>
  <c r="P11" i="6" s="1"/>
  <c r="P12" i="6" s="1"/>
  <c r="H14" i="6"/>
  <c r="H11" i="6" s="1"/>
  <c r="H12" i="6" s="1"/>
  <c r="CQ14" i="6"/>
  <c r="CI14" i="6"/>
  <c r="CA14" i="6"/>
  <c r="BS14" i="6"/>
  <c r="BS11" i="6" s="1"/>
  <c r="BS12" i="6" s="1"/>
  <c r="BK14" i="6"/>
  <c r="BK11" i="6" s="1"/>
  <c r="BK12" i="6" s="1"/>
  <c r="BC14" i="6"/>
  <c r="BC11" i="6" s="1"/>
  <c r="BC12" i="6" s="1"/>
  <c r="AU14" i="6"/>
  <c r="AU11" i="6" s="1"/>
  <c r="AU12" i="6" s="1"/>
  <c r="AM14" i="6"/>
  <c r="AE14" i="6"/>
  <c r="W14" i="6"/>
  <c r="O14" i="6"/>
  <c r="G14" i="6"/>
  <c r="G11" i="6" s="1"/>
  <c r="G12" i="6" s="1"/>
  <c r="CQ37" i="6"/>
  <c r="CI37" i="6"/>
  <c r="CA37" i="6"/>
  <c r="BS37" i="6"/>
  <c r="BK37" i="6"/>
  <c r="BC37" i="6"/>
  <c r="AU37" i="6"/>
  <c r="AM37" i="6"/>
  <c r="AE37" i="6"/>
  <c r="W37" i="6"/>
  <c r="O37" i="6"/>
  <c r="G37" i="6"/>
  <c r="CP14" i="6"/>
  <c r="CH14" i="6"/>
  <c r="BZ14" i="6"/>
  <c r="BZ11" i="6" s="1"/>
  <c r="BZ12" i="6" s="1"/>
  <c r="BR14" i="6"/>
  <c r="BR11" i="6" s="1"/>
  <c r="BR12" i="6" s="1"/>
  <c r="BJ14" i="6"/>
  <c r="BJ11" i="6" s="1"/>
  <c r="BJ12" i="6" s="1"/>
  <c r="BB14" i="6"/>
  <c r="BB11" i="6" s="1"/>
  <c r="BB12" i="6" s="1"/>
  <c r="AT14" i="6"/>
  <c r="AL14" i="6"/>
  <c r="AD14" i="6"/>
  <c r="V14" i="6"/>
  <c r="N14" i="6"/>
  <c r="N11" i="6" s="1"/>
  <c r="N12" i="6" s="1"/>
  <c r="F14" i="6"/>
  <c r="F11" i="6" s="1"/>
  <c r="F12" i="6" s="1"/>
  <c r="P25" i="4"/>
  <c r="P11" i="4"/>
  <c r="H25" i="4"/>
  <c r="H11" i="4"/>
  <c r="H16" i="4"/>
  <c r="Q28" i="4"/>
  <c r="I28" i="4"/>
  <c r="P21" i="4"/>
  <c r="H21" i="4"/>
  <c r="H7" i="4"/>
  <c r="H6" i="4"/>
  <c r="O26" i="4"/>
  <c r="G26" i="4"/>
  <c r="J31" i="4"/>
  <c r="J18" i="4" s="1"/>
  <c r="M25" i="4"/>
  <c r="J21" i="4"/>
  <c r="U14" i="4"/>
  <c r="T13" i="4"/>
  <c r="H8" i="4"/>
  <c r="I8" i="4"/>
  <c r="I6" i="4"/>
  <c r="I7" i="4"/>
  <c r="Q22" i="4"/>
  <c r="I22" i="4"/>
  <c r="O23" i="4"/>
  <c r="O21" i="4"/>
  <c r="G23" i="4"/>
  <c r="G21" i="4"/>
  <c r="I35" i="4"/>
  <c r="I9" i="4" s="1"/>
  <c r="O6" i="4"/>
  <c r="O35" i="4"/>
  <c r="O9" i="4" s="1"/>
  <c r="G6" i="4"/>
  <c r="G35" i="4"/>
  <c r="G9" i="4" s="1"/>
  <c r="N25" i="4"/>
  <c r="O44" i="4"/>
  <c r="I31" i="4"/>
  <c r="L25" i="4"/>
  <c r="S13" i="4"/>
  <c r="G8" i="4"/>
  <c r="I44" i="4"/>
  <c r="P13" i="4"/>
  <c r="Q8" i="4"/>
  <c r="Q6" i="4"/>
  <c r="Q44" i="4"/>
  <c r="H44" i="4"/>
  <c r="U23" i="4"/>
  <c r="U21" i="4"/>
  <c r="M23" i="4"/>
  <c r="M21" i="4"/>
  <c r="Q12" i="4"/>
  <c r="I12" i="4"/>
  <c r="Q35" i="4"/>
  <c r="Q9" i="4" s="1"/>
  <c r="U8" i="4"/>
  <c r="U7" i="4"/>
  <c r="M8" i="4"/>
  <c r="M7" i="4"/>
  <c r="R31" i="4"/>
  <c r="R18" i="4" s="1"/>
  <c r="H26" i="4"/>
  <c r="O14" i="4"/>
  <c r="M12" i="4"/>
  <c r="R8" i="4"/>
  <c r="Q7" i="4"/>
  <c r="P6" i="4"/>
  <c r="I18" i="4"/>
  <c r="P17" i="4"/>
  <c r="H17" i="4"/>
  <c r="N19" i="4"/>
  <c r="U28" i="4"/>
  <c r="M28" i="4"/>
  <c r="P44" i="4"/>
  <c r="P35" i="4"/>
  <c r="P9" i="4" s="1"/>
  <c r="T7" i="4"/>
  <c r="T6" i="4"/>
  <c r="T35" i="4"/>
  <c r="T9" i="4" s="1"/>
  <c r="L7" i="4"/>
  <c r="L6" i="4"/>
  <c r="L35" i="4"/>
  <c r="L9" i="4" s="1"/>
  <c r="S11" i="4"/>
  <c r="S26" i="4"/>
  <c r="K11" i="4"/>
  <c r="K26" i="4"/>
  <c r="K25" i="4"/>
  <c r="Q31" i="4"/>
  <c r="Q18" i="4" s="1"/>
  <c r="U25" i="4"/>
  <c r="R21" i="4"/>
  <c r="M14" i="4"/>
  <c r="L13" i="4"/>
  <c r="P8" i="4"/>
  <c r="O7" i="4"/>
  <c r="S21" i="4"/>
  <c r="K21" i="4"/>
  <c r="S8" i="4"/>
  <c r="K8" i="4"/>
  <c r="T25" i="4"/>
  <c r="K13" i="4"/>
  <c r="N11" i="4"/>
  <c r="O8" i="4"/>
  <c r="M6" i="4"/>
  <c r="P26" i="4"/>
  <c r="I14" i="4"/>
  <c r="H13" i="4"/>
  <c r="R13" i="4"/>
  <c r="J13" i="4"/>
  <c r="O11" i="4"/>
  <c r="G11" i="4"/>
  <c r="S6" i="4"/>
  <c r="K6" i="4"/>
  <c r="R12" i="2"/>
  <c r="R37" i="1"/>
  <c r="R7" i="2"/>
  <c r="E28" i="2"/>
  <c r="R23" i="2"/>
  <c r="D47" i="1"/>
  <c r="E47" i="1"/>
  <c r="E48" i="1" s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W48" i="1" s="1"/>
  <c r="H48" i="1"/>
  <c r="I48" i="1"/>
  <c r="P48" i="1"/>
  <c r="R25" i="1"/>
  <c r="R4" i="1"/>
  <c r="S41" i="4" s="1"/>
  <c r="D48" i="1"/>
  <c r="S48" i="1"/>
  <c r="T48" i="1"/>
  <c r="U48" i="1"/>
  <c r="V48" i="1"/>
  <c r="S47" i="1"/>
  <c r="T47" i="1"/>
  <c r="U47" i="1"/>
  <c r="V47" i="1"/>
  <c r="D37" i="1"/>
  <c r="G48" i="1"/>
  <c r="O48" i="1"/>
  <c r="Q48" i="1"/>
  <c r="D30" i="1"/>
  <c r="E30" i="1"/>
  <c r="S30" i="1"/>
  <c r="T30" i="1"/>
  <c r="U30" i="1"/>
  <c r="V30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S26" i="1"/>
  <c r="T26" i="1"/>
  <c r="V26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V20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Q26" i="1" s="1"/>
  <c r="R8" i="1"/>
  <c r="S40" i="4" s="1"/>
  <c r="S27" i="4" s="1"/>
  <c r="S8" i="1"/>
  <c r="T8" i="1"/>
  <c r="U8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S4" i="1"/>
  <c r="T4" i="1"/>
  <c r="U4" i="1"/>
  <c r="L30" i="2"/>
  <c r="M30" i="2"/>
  <c r="N30" i="2"/>
  <c r="O30" i="2"/>
  <c r="P30" i="2"/>
  <c r="Q30" i="2"/>
  <c r="R30" i="2"/>
  <c r="S30" i="2"/>
  <c r="T30" i="2"/>
  <c r="L23" i="2"/>
  <c r="M23" i="2"/>
  <c r="N23" i="2"/>
  <c r="O23" i="2"/>
  <c r="P23" i="2"/>
  <c r="Q23" i="2"/>
  <c r="S23" i="2"/>
  <c r="T23" i="2"/>
  <c r="L20" i="2"/>
  <c r="M20" i="2"/>
  <c r="N20" i="2"/>
  <c r="O20" i="2"/>
  <c r="P20" i="2"/>
  <c r="Q20" i="2"/>
  <c r="R20" i="2"/>
  <c r="S20" i="2"/>
  <c r="T20" i="2"/>
  <c r="L19" i="2"/>
  <c r="L29" i="2" s="1"/>
  <c r="L33" i="2" s="1"/>
  <c r="L35" i="2" s="1"/>
  <c r="L37" i="2" s="1"/>
  <c r="M19" i="2"/>
  <c r="M29" i="2" s="1"/>
  <c r="M33" i="2" s="1"/>
  <c r="M35" i="2" s="1"/>
  <c r="M37" i="2" s="1"/>
  <c r="N19" i="2"/>
  <c r="N29" i="2" s="1"/>
  <c r="N33" i="2" s="1"/>
  <c r="N35" i="2" s="1"/>
  <c r="N37" i="2" s="1"/>
  <c r="O19" i="2"/>
  <c r="O29" i="2" s="1"/>
  <c r="O33" i="2" s="1"/>
  <c r="O35" i="2" s="1"/>
  <c r="O37" i="2" s="1"/>
  <c r="P19" i="2"/>
  <c r="P29" i="2" s="1"/>
  <c r="P33" i="2" s="1"/>
  <c r="P35" i="2" s="1"/>
  <c r="P37" i="2" s="1"/>
  <c r="Q19" i="2"/>
  <c r="Q29" i="2" s="1"/>
  <c r="Q33" i="2" s="1"/>
  <c r="Q35" i="2" s="1"/>
  <c r="Q37" i="2" s="1"/>
  <c r="S19" i="2"/>
  <c r="T19" i="2"/>
  <c r="T29" i="2" s="1"/>
  <c r="T33" i="2" s="1"/>
  <c r="T35" i="2" s="1"/>
  <c r="T37" i="2" s="1"/>
  <c r="L7" i="2"/>
  <c r="M7" i="2"/>
  <c r="N7" i="2"/>
  <c r="O7" i="2"/>
  <c r="P7" i="2"/>
  <c r="Q7" i="2"/>
  <c r="S7" i="2"/>
  <c r="T7" i="2"/>
  <c r="U3" i="2"/>
  <c r="CH11" i="6" l="1"/>
  <c r="CH12" i="6" s="1"/>
  <c r="AG11" i="6"/>
  <c r="AG12" i="6" s="1"/>
  <c r="CQ11" i="6"/>
  <c r="CQ12" i="6" s="1"/>
  <c r="AM11" i="6"/>
  <c r="AM12" i="6" s="1"/>
  <c r="BY11" i="6"/>
  <c r="BY12" i="6" s="1"/>
  <c r="V11" i="6"/>
  <c r="V12" i="6" s="1"/>
  <c r="BM11" i="6"/>
  <c r="BM12" i="6" s="1"/>
  <c r="W11" i="6"/>
  <c r="W12" i="6" s="1"/>
  <c r="AW11" i="6"/>
  <c r="AW12" i="6" s="1"/>
  <c r="BA11" i="6"/>
  <c r="BA12" i="6" s="1"/>
  <c r="AE11" i="6"/>
  <c r="AE12" i="6" s="1"/>
  <c r="AQ11" i="6"/>
  <c r="AQ12" i="6" s="1"/>
  <c r="L11" i="6"/>
  <c r="L12" i="6" s="1"/>
  <c r="BX11" i="6"/>
  <c r="BX12" i="6" s="1"/>
  <c r="CI11" i="6"/>
  <c r="CI12" i="6" s="1"/>
  <c r="AH11" i="6"/>
  <c r="AH12" i="6" s="1"/>
  <c r="AN11" i="6"/>
  <c r="AN12" i="6" s="1"/>
  <c r="M11" i="6"/>
  <c r="M12" i="6" s="1"/>
  <c r="AX11" i="6"/>
  <c r="AX12" i="6" s="1"/>
  <c r="AP11" i="6"/>
  <c r="AP12" i="6" s="1"/>
  <c r="U11" i="6"/>
  <c r="U12" i="6" s="1"/>
  <c r="CG11" i="6"/>
  <c r="CG12" i="6" s="1"/>
  <c r="BF11" i="6"/>
  <c r="BF12" i="6" s="1"/>
  <c r="E11" i="6"/>
  <c r="E12" i="6" s="1"/>
  <c r="BE11" i="6"/>
  <c r="BE12" i="6" s="1"/>
  <c r="BN11" i="6"/>
  <c r="BN12" i="6" s="1"/>
  <c r="CC11" i="6"/>
  <c r="CC12" i="6" s="1"/>
  <c r="CK11" i="6"/>
  <c r="CK12" i="6" s="1"/>
  <c r="AO11" i="6"/>
  <c r="AO12" i="6" s="1"/>
  <c r="O11" i="6"/>
  <c r="O12" i="6" s="1"/>
  <c r="CA11" i="6"/>
  <c r="CA12" i="6" s="1"/>
  <c r="W37" i="1"/>
  <c r="W38" i="1" s="1"/>
  <c r="S37" i="4"/>
  <c r="S38" i="4"/>
  <c r="S50" i="4"/>
  <c r="S17" i="4" s="1"/>
  <c r="S48" i="4"/>
  <c r="S19" i="4" s="1"/>
  <c r="S29" i="2"/>
  <c r="S33" i="2" s="1"/>
  <c r="S35" i="2" s="1"/>
  <c r="S37" i="2" s="1"/>
  <c r="T51" i="4" s="1"/>
  <c r="T46" i="4"/>
  <c r="AD11" i="6"/>
  <c r="AD12" i="6" s="1"/>
  <c r="CP11" i="6"/>
  <c r="CP12" i="6" s="1"/>
  <c r="AY11" i="6"/>
  <c r="AY12" i="6" s="1"/>
  <c r="T11" i="6"/>
  <c r="T12" i="6" s="1"/>
  <c r="CF11" i="6"/>
  <c r="CF12" i="6" s="1"/>
  <c r="AL11" i="6"/>
  <c r="AL12" i="6" s="1"/>
  <c r="BG11" i="6"/>
  <c r="BG12" i="6" s="1"/>
  <c r="AB11" i="6"/>
  <c r="AB12" i="6" s="1"/>
  <c r="CN11" i="6"/>
  <c r="CN12" i="6" s="1"/>
  <c r="AT11" i="6"/>
  <c r="AT12" i="6" s="1"/>
  <c r="BO11" i="6"/>
  <c r="BO12" i="6" s="1"/>
  <c r="AJ11" i="6"/>
  <c r="AJ12" i="6" s="1"/>
  <c r="L48" i="1"/>
  <c r="M48" i="1"/>
  <c r="K48" i="1"/>
  <c r="J48" i="1"/>
  <c r="N48" i="1"/>
  <c r="F48" i="1"/>
  <c r="R48" i="1"/>
  <c r="R49" i="1" s="1"/>
  <c r="R26" i="1"/>
  <c r="W25" i="1" s="1"/>
  <c r="R19" i="2"/>
  <c r="S46" i="4" s="1"/>
  <c r="E25" i="7"/>
  <c r="D25" i="7"/>
  <c r="AC46" i="1" l="1"/>
  <c r="Y38" i="1"/>
  <c r="Y51" i="1"/>
  <c r="Y49" i="1"/>
  <c r="S30" i="4"/>
  <c r="X27" i="1"/>
  <c r="R29" i="2"/>
  <c r="R33" i="2" s="1"/>
  <c r="R35" i="2" s="1"/>
  <c r="V27" i="2"/>
  <c r="W17" i="2"/>
  <c r="D7" i="7"/>
  <c r="C7" i="7"/>
  <c r="N19" i="7"/>
  <c r="N18" i="7"/>
  <c r="M18" i="7"/>
  <c r="N25" i="7"/>
  <c r="N22" i="7"/>
  <c r="L26" i="7"/>
  <c r="L24" i="7"/>
  <c r="L22" i="7"/>
  <c r="L18" i="7"/>
  <c r="H18" i="7"/>
  <c r="H22" i="7"/>
  <c r="R37" i="2" l="1"/>
  <c r="S51" i="4" s="1"/>
  <c r="S31" i="4"/>
  <c r="S7" i="4"/>
  <c r="T31" i="4"/>
  <c r="T18" i="4" s="1"/>
  <c r="S22" i="4"/>
  <c r="S12" i="4"/>
  <c r="S9" i="4"/>
  <c r="S23" i="4"/>
  <c r="S25" i="4"/>
  <c r="C4" i="7"/>
  <c r="C9" i="7"/>
  <c r="S18" i="4" l="1"/>
  <c r="G33" i="2"/>
  <c r="G35" i="2" s="1"/>
  <c r="G37" i="2" s="1"/>
  <c r="G30" i="2"/>
  <c r="H30" i="2"/>
  <c r="I30" i="2"/>
  <c r="J30" i="2"/>
  <c r="K30" i="2"/>
  <c r="G29" i="2"/>
  <c r="H29" i="2"/>
  <c r="H33" i="2" s="1"/>
  <c r="H35" i="2" s="1"/>
  <c r="H37" i="2" s="1"/>
  <c r="K29" i="2"/>
  <c r="K33" i="2" s="1"/>
  <c r="K35" i="2" s="1"/>
  <c r="K37" i="2" s="1"/>
  <c r="G23" i="2"/>
  <c r="H23" i="2"/>
  <c r="I23" i="2"/>
  <c r="J23" i="2"/>
  <c r="K23" i="2"/>
  <c r="G20" i="2"/>
  <c r="H20" i="2"/>
  <c r="I20" i="2"/>
  <c r="J20" i="2"/>
  <c r="K20" i="2"/>
  <c r="G19" i="2"/>
  <c r="H19" i="2"/>
  <c r="I19" i="2"/>
  <c r="I29" i="2" s="1"/>
  <c r="I33" i="2" s="1"/>
  <c r="I35" i="2" s="1"/>
  <c r="I37" i="2" s="1"/>
  <c r="J19" i="2"/>
  <c r="J29" i="2" s="1"/>
  <c r="J33" i="2" s="1"/>
  <c r="J35" i="2" s="1"/>
  <c r="J37" i="2" s="1"/>
  <c r="K19" i="2"/>
  <c r="G7" i="2"/>
  <c r="H7" i="2"/>
  <c r="I7" i="2"/>
  <c r="J7" i="2"/>
  <c r="K7" i="2"/>
  <c r="U32" i="1" l="1"/>
  <c r="U25" i="1"/>
  <c r="U20" i="1" s="1"/>
  <c r="U26" i="1" s="1"/>
  <c r="E30" i="2" l="1"/>
  <c r="F30" i="2"/>
  <c r="F23" i="2"/>
  <c r="E20" i="2"/>
  <c r="F20" i="2"/>
  <c r="E19" i="2"/>
  <c r="F19" i="2"/>
  <c r="F29" i="2" s="1"/>
  <c r="F33" i="2" s="1"/>
  <c r="F35" i="2" s="1"/>
  <c r="F37" i="2" s="1"/>
  <c r="F7" i="2"/>
  <c r="C20" i="1"/>
  <c r="C4" i="1"/>
  <c r="C47" i="6" l="1"/>
  <c r="C46" i="6"/>
  <c r="C45" i="6"/>
  <c r="C44" i="6"/>
  <c r="C40" i="6"/>
  <c r="C39" i="6"/>
  <c r="C38" i="6"/>
  <c r="C35" i="6"/>
  <c r="C34" i="6"/>
  <c r="C32" i="6"/>
  <c r="C31" i="6"/>
  <c r="C30" i="6"/>
  <c r="C28" i="6"/>
  <c r="C27" i="6"/>
  <c r="C26" i="6"/>
  <c r="C22" i="6"/>
  <c r="C21" i="6" s="1"/>
  <c r="C20" i="6"/>
  <c r="C19" i="6"/>
  <c r="C18" i="6"/>
  <c r="C17" i="6"/>
  <c r="C15" i="6"/>
  <c r="C8" i="6"/>
  <c r="C7" i="6"/>
  <c r="C6" i="6"/>
  <c r="C5" i="6"/>
  <c r="C4" i="6"/>
  <c r="C25" i="6" l="1"/>
  <c r="C37" i="6"/>
  <c r="C43" i="6"/>
  <c r="C14" i="6"/>
  <c r="C11" i="6" l="1"/>
  <c r="C12" i="6" s="1"/>
  <c r="E23" i="2"/>
  <c r="E29" i="2" s="1"/>
  <c r="E33" i="2" s="1"/>
  <c r="E35" i="2" s="1"/>
  <c r="E37" i="2" s="1"/>
  <c r="E7" i="2"/>
  <c r="F33" i="4" l="1"/>
  <c r="F11" i="4" s="1"/>
  <c r="F43" i="4"/>
  <c r="F47" i="4"/>
  <c r="E16" i="2"/>
  <c r="E22" i="1"/>
  <c r="E40" i="1"/>
  <c r="E35" i="1"/>
  <c r="C30" i="2"/>
  <c r="D30" i="2"/>
  <c r="F50" i="4"/>
  <c r="F48" i="4"/>
  <c r="C20" i="2"/>
  <c r="D20" i="2"/>
  <c r="C12" i="2"/>
  <c r="D12" i="2"/>
  <c r="E11" i="2"/>
  <c r="E6" i="2"/>
  <c r="F49" i="4"/>
  <c r="E11" i="1"/>
  <c r="E12" i="1"/>
  <c r="F39" i="4" s="1"/>
  <c r="E25" i="1"/>
  <c r="E6" i="1"/>
  <c r="D41" i="4"/>
  <c r="B12" i="1"/>
  <c r="B11" i="1"/>
  <c r="B8" i="1" s="1"/>
  <c r="C40" i="4" s="1"/>
  <c r="C12" i="1"/>
  <c r="C11" i="1" s="1"/>
  <c r="D12" i="1"/>
  <c r="D11" i="1" s="1"/>
  <c r="E40" i="4" s="1"/>
  <c r="C28" i="2"/>
  <c r="C23" i="2"/>
  <c r="B25" i="2"/>
  <c r="B28" i="2"/>
  <c r="B23" i="2" s="1"/>
  <c r="D28" i="2"/>
  <c r="D23" i="2"/>
  <c r="B29" i="1"/>
  <c r="B30" i="1" s="1"/>
  <c r="C29" i="1"/>
  <c r="C30" i="1" s="1"/>
  <c r="C37" i="1" s="1"/>
  <c r="B41" i="1"/>
  <c r="C41" i="1"/>
  <c r="D41" i="1"/>
  <c r="D29" i="1"/>
  <c r="B14" i="1"/>
  <c r="C33" i="4" s="1"/>
  <c r="B13" i="1"/>
  <c r="B26" i="1" s="1"/>
  <c r="C30" i="4" s="1"/>
  <c r="C22" i="4" s="1"/>
  <c r="C14" i="1"/>
  <c r="C13" i="1" s="1"/>
  <c r="D33" i="4"/>
  <c r="D16" i="4" s="1"/>
  <c r="D14" i="1"/>
  <c r="B4" i="1"/>
  <c r="C41" i="4"/>
  <c r="E41" i="4"/>
  <c r="B20" i="1"/>
  <c r="C38" i="4"/>
  <c r="D38" i="4"/>
  <c r="E38" i="4"/>
  <c r="B38" i="1"/>
  <c r="C34" i="4"/>
  <c r="C38" i="1"/>
  <c r="C47" i="1" s="1"/>
  <c r="D38" i="1"/>
  <c r="B5" i="2"/>
  <c r="C5" i="2"/>
  <c r="D5" i="2"/>
  <c r="B6" i="2"/>
  <c r="C49" i="4" s="1"/>
  <c r="C6" i="2"/>
  <c r="C4" i="2" s="1"/>
  <c r="D49" i="4"/>
  <c r="D6" i="2"/>
  <c r="D4" i="2" s="1"/>
  <c r="B9" i="2"/>
  <c r="B7" i="2"/>
  <c r="C9" i="2"/>
  <c r="C7" i="2" s="1"/>
  <c r="D9" i="2"/>
  <c r="D7" i="2"/>
  <c r="B12" i="2"/>
  <c r="B20" i="2"/>
  <c r="B30" i="2"/>
  <c r="B34" i="2"/>
  <c r="C34" i="2"/>
  <c r="D34" i="2"/>
  <c r="C39" i="4"/>
  <c r="D39" i="4"/>
  <c r="C42" i="4"/>
  <c r="D42" i="4"/>
  <c r="E42" i="4"/>
  <c r="C43" i="4"/>
  <c r="D43" i="4"/>
  <c r="E43" i="4"/>
  <c r="C47" i="4"/>
  <c r="D47" i="4"/>
  <c r="E47" i="4"/>
  <c r="E49" i="4"/>
  <c r="D37" i="4"/>
  <c r="E37" i="4"/>
  <c r="D11" i="4"/>
  <c r="D32" i="4"/>
  <c r="C37" i="4"/>
  <c r="E50" i="4"/>
  <c r="E48" i="4"/>
  <c r="C48" i="4"/>
  <c r="C50" i="4"/>
  <c r="D50" i="4"/>
  <c r="D48" i="4"/>
  <c r="B4" i="2"/>
  <c r="B3" i="2"/>
  <c r="F45" i="4"/>
  <c r="F51" i="4"/>
  <c r="C45" i="4"/>
  <c r="B19" i="2"/>
  <c r="C17" i="4"/>
  <c r="B29" i="2"/>
  <c r="B33" i="2"/>
  <c r="B35" i="2"/>
  <c r="B37" i="2"/>
  <c r="C51" i="4"/>
  <c r="C18" i="4" s="1"/>
  <c r="C46" i="4"/>
  <c r="C19" i="4"/>
  <c r="C28" i="4"/>
  <c r="F19" i="4" l="1"/>
  <c r="C32" i="4"/>
  <c r="B37" i="1"/>
  <c r="C26" i="4"/>
  <c r="C11" i="4"/>
  <c r="D44" i="4"/>
  <c r="C16" i="4"/>
  <c r="C8" i="1"/>
  <c r="C26" i="1" s="1"/>
  <c r="C14" i="4"/>
  <c r="B47" i="1"/>
  <c r="B48" i="1" s="1"/>
  <c r="B50" i="1" s="1"/>
  <c r="E33" i="4"/>
  <c r="F40" i="4"/>
  <c r="D34" i="4"/>
  <c r="D35" i="4" s="1"/>
  <c r="C48" i="1"/>
  <c r="E30" i="4"/>
  <c r="E34" i="4"/>
  <c r="E39" i="4"/>
  <c r="F41" i="4"/>
  <c r="F21" i="4" s="1"/>
  <c r="F42" i="4"/>
  <c r="C7" i="4"/>
  <c r="C21" i="4"/>
  <c r="C25" i="4"/>
  <c r="C6" i="4"/>
  <c r="D13" i="4"/>
  <c r="C8" i="4"/>
  <c r="C35" i="4"/>
  <c r="C9" i="4" s="1"/>
  <c r="F16" i="4"/>
  <c r="F17" i="4"/>
  <c r="F46" i="4"/>
  <c r="F28" i="4"/>
  <c r="C23" i="4"/>
  <c r="C12" i="4"/>
  <c r="C27" i="4"/>
  <c r="C13" i="4"/>
  <c r="D3" i="2"/>
  <c r="C3" i="2"/>
  <c r="E21" i="4"/>
  <c r="E11" i="4"/>
  <c r="F44" i="4"/>
  <c r="D26" i="4"/>
  <c r="E32" i="4"/>
  <c r="E14" i="4"/>
  <c r="D21" i="4"/>
  <c r="F37" i="4"/>
  <c r="F38" i="4"/>
  <c r="F32" i="4"/>
  <c r="F34" i="4"/>
  <c r="F6" i="4" s="1"/>
  <c r="D6" i="4" l="1"/>
  <c r="D14" i="4"/>
  <c r="D40" i="4"/>
  <c r="D27" i="4" s="1"/>
  <c r="D8" i="4"/>
  <c r="E44" i="4"/>
  <c r="E16" i="4"/>
  <c r="E6" i="4"/>
  <c r="E35" i="4"/>
  <c r="E9" i="4" s="1"/>
  <c r="F30" i="4"/>
  <c r="F7" i="4" s="1"/>
  <c r="F8" i="4"/>
  <c r="E13" i="4"/>
  <c r="E8" i="4"/>
  <c r="F35" i="4"/>
  <c r="F14" i="4"/>
  <c r="F26" i="4"/>
  <c r="F27" i="4"/>
  <c r="F13" i="4"/>
  <c r="D30" i="4"/>
  <c r="E31" i="4" s="1"/>
  <c r="C50" i="1"/>
  <c r="E12" i="4"/>
  <c r="E22" i="4"/>
  <c r="E7" i="4"/>
  <c r="E23" i="4"/>
  <c r="E25" i="4"/>
  <c r="E27" i="4"/>
  <c r="E26" i="4"/>
  <c r="D45" i="4"/>
  <c r="C19" i="2"/>
  <c r="E45" i="4"/>
  <c r="D19" i="2"/>
  <c r="F31" i="4" l="1"/>
  <c r="F18" i="4" s="1"/>
  <c r="F25" i="4"/>
  <c r="F22" i="4"/>
  <c r="F23" i="4"/>
  <c r="F9" i="4"/>
  <c r="F12" i="4"/>
  <c r="E46" i="4"/>
  <c r="D29" i="2"/>
  <c r="D33" i="2" s="1"/>
  <c r="D35" i="2" s="1"/>
  <c r="D37" i="2" s="1"/>
  <c r="E51" i="4" s="1"/>
  <c r="E18" i="4" s="1"/>
  <c r="E19" i="4"/>
  <c r="E28" i="4"/>
  <c r="E17" i="4"/>
  <c r="D46" i="4"/>
  <c r="C29" i="2"/>
  <c r="C33" i="2" s="1"/>
  <c r="C35" i="2" s="1"/>
  <c r="C37" i="2" s="1"/>
  <c r="D51" i="4" s="1"/>
  <c r="D17" i="4"/>
  <c r="D28" i="4"/>
  <c r="D19" i="4"/>
  <c r="D12" i="4"/>
  <c r="D31" i="4"/>
  <c r="D9" i="4"/>
  <c r="D7" i="4"/>
  <c r="D22" i="4"/>
  <c r="D25" i="4"/>
  <c r="D23" i="4"/>
  <c r="D18" i="4" l="1"/>
</calcChain>
</file>

<file path=xl/sharedStrings.xml><?xml version="1.0" encoding="utf-8"?>
<sst xmlns="http://schemas.openxmlformats.org/spreadsheetml/2006/main" count="299" uniqueCount="263">
  <si>
    <t>audited-18</t>
  </si>
  <si>
    <t>audited-19</t>
  </si>
  <si>
    <t>audited-20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</si>
  <si>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</si>
  <si>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</si>
  <si>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</si>
  <si>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</si>
  <si>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</si>
  <si>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</si>
  <si>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</si>
  <si>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</si>
  <si>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</si>
  <si>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</si>
  <si>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Investment In Companies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</si>
  <si>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</si>
  <si>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</si>
  <si>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</si>
  <si>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</si>
  <si>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</si>
  <si>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</si>
  <si>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</si>
  <si>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</si>
  <si>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</si>
  <si>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</si>
  <si>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</si>
  <si>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</si>
  <si>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</si>
  <si>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</si>
  <si>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</si>
  <si>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</si>
  <si>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</si>
  <si>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</si>
  <si>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</si>
  <si>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</si>
  <si>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</si>
  <si>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</si>
  <si>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</si>
  <si>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</si>
  <si>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</si>
  <si>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</si>
  <si>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</si>
  <si>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</si>
  <si>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</si>
  <si>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</si>
  <si>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</si>
  <si>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</si>
  <si>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</si>
  <si>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</si>
  <si>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</si>
  <si>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</si>
  <si>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Item</t>
  </si>
  <si>
    <t>Verified September 2022</t>
  </si>
  <si>
    <t>Membership:  Active</t>
  </si>
  <si>
    <t>-</t>
  </si>
  <si>
    <t>Dormant</t>
  </si>
  <si>
    <t>Total Membership</t>
  </si>
  <si>
    <t>No. of Staff-  Female</t>
  </si>
  <si>
    <t>Male</t>
  </si>
  <si>
    <t>Total Staff</t>
  </si>
  <si>
    <t>Core Capital</t>
  </si>
  <si>
    <t>Institutional Capital</t>
  </si>
  <si>
    <t>Reserves</t>
  </si>
  <si>
    <t>Non-Performing Loans</t>
  </si>
  <si>
    <t>FOSA Deposits</t>
  </si>
  <si>
    <t>BOSA Deposits</t>
  </si>
  <si>
    <t>Cash and cash Equivalent</t>
  </si>
  <si>
    <t>2018 Audited</t>
  </si>
  <si>
    <t>2019 Audited</t>
  </si>
  <si>
    <t>2020 Audited</t>
  </si>
  <si>
    <t>2021 Audited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</si>
  <si>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</si>
  <si>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</si>
  <si>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</si>
  <si>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</si>
  <si>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</si>
  <si>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</si>
  <si>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</si>
  <si>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</si>
  <si>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44307736.15-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</si>
  <si>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</si>
  <si>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</si>
  <si>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</si>
  <si>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</si>
  <si>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</si>
  <si>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</si>
  <si>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</si>
  <si>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</si>
  <si>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</si>
  <si>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</si>
  <si>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</si>
  <si>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</si>
  <si>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</si>
  <si>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</si>
  <si>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</si>
  <si>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</si>
  <si>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</si>
  <si>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</si>
  <si>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</si>
  <si>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</si>
  <si>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</si>
  <si>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</si>
  <si>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</si>
  <si>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</si>
  <si>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</si>
  <si>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</si>
  <si>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</si>
  <si>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20% transfer to statutory</t>
  </si>
  <si>
    <t>Surplus</t>
  </si>
  <si>
    <t>STRATEGIC UREMBO SACCO SOCIETY LIMITED</t>
  </si>
  <si>
    <t>PERFORMANCE AND COMPLIANCE REPORT AS AT :  31st December , 2020</t>
  </si>
  <si>
    <t>Prudential Standard</t>
  </si>
  <si>
    <t>Audited</t>
  </si>
  <si>
    <t>audited-2020</t>
  </si>
  <si>
    <t>A. CAPITAL  ADEQUACY</t>
  </si>
  <si>
    <t xml:space="preserve">Core Capital </t>
  </si>
  <si>
    <r>
      <rPr>
        <sz val="12"/>
        <color indexed="8"/>
        <rFont val="Cambria"/>
        <family val="1"/>
        <scheme val="major"/>
      </rPr>
      <t>≥10M</t>
    </r>
  </si>
  <si>
    <t>Core Capital/Total Assets</t>
  </si>
  <si>
    <r>
      <rPr>
        <sz val="12"/>
        <color indexed="8"/>
        <rFont val="Cambria"/>
        <family val="1"/>
        <scheme val="major"/>
      </rPr>
      <t>≥10%</t>
    </r>
  </si>
  <si>
    <t>Core Capital/Total Deposits</t>
  </si>
  <si>
    <t>≥10%</t>
  </si>
  <si>
    <t>Institutional Capital/Total Assets</t>
  </si>
  <si>
    <r>
      <rPr>
        <sz val="12"/>
        <color indexed="8"/>
        <rFont val="Cambria"/>
        <family val="1"/>
        <scheme val="major"/>
      </rPr>
      <t>≥8%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</si>
  <si>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</si>
  <si>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</si>
  <si>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</si>
  <si>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</si>
  <si>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</si>
  <si>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</si>
  <si>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</si>
  <si>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</si>
  <si>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</si>
  <si>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</si>
  <si>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</si>
  <si>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</si>
  <si>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</si>
  <si>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</si>
  <si>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</si>
  <si>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</si>
  <si>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</si>
  <si>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</si>
  <si>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</si>
  <si>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</si>
  <si>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</si>
  <si>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</si>
  <si>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</si>
  <si>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</si>
  <si>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</si>
  <si>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</si>
  <si>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</si>
  <si>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</si>
  <si>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Total Deposits</t>
  </si>
  <si>
    <t>Gross Loans</t>
  </si>
  <si>
    <t>Non-performing Loans</t>
  </si>
  <si>
    <t>Equity Investments</t>
  </si>
  <si>
    <t>Financial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</si>
  <si>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</si>
  <si>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</si>
  <si>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</si>
  <si>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</si>
  <si>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</si>
  <si>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</si>
  <si>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</si>
  <si>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</si>
  <si>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</si>
  <si>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</si>
  <si>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</si>
  <si>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</si>
  <si>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</si>
  <si>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</si>
  <si>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</si>
  <si>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</si>
  <si>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STRATEGIC DT SACCO CAELS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</si>
  <si>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</si>
  <si>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</si>
  <si>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</si>
  <si>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</si>
  <si>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</si>
  <si>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</si>
  <si>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</si>
  <si>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</si>
  <si>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</si>
  <si>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</si>
  <si>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</si>
  <si>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</si>
  <si>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</si>
  <si>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</si>
  <si>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</si>
  <si>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</si>
  <si>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</si>
  <si>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</si>
  <si>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</si>
  <si>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</si>
  <si>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</si>
  <si>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</si>
  <si>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</si>
  <si>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</si>
  <si>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</si>
  <si>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</si>
  <si>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</si>
  <si>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</si>
  <si>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</si>
  <si>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</si>
  <si>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</si>
  <si>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</si>
  <si>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</si>
  <si>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</si>
  <si>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</si>
  <si>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</si>
  <si>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</si>
  <si>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</si>
  <si>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</si>
  <si>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</si>
  <si>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</si>
  <si>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</si>
  <si>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</si>
  <si>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</si>
  <si>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</si>
  <si>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</si>
  <si>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</si>
  <si>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</si>
  <si>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</si>
  <si>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STRATEGIC DT Sacco Financial Performance</t>
  </si>
  <si>
    <t>Year</t>
  </si>
  <si>
    <t>Audited 2018</t>
  </si>
  <si>
    <t>Audited 2019</t>
  </si>
  <si>
    <t>Audited 2020</t>
  </si>
  <si>
    <t>Deposits-Members(BOSA)</t>
  </si>
  <si>
    <t>Deposits-Customers(FOSA)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</si>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</sst>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d/mmm/yy"/>
    <numFmt numFmtId="167" formatCode="_-* #,##0.00_-;\-* #,##0.00_-;_-* \-??_-;_-@_-"/>
    <numFmt numFmtId="168" formatCode="&quot;£&quot;#,##0;&quot;-£&quot;#,##0"/>
    <numFmt numFmtId="169" formatCode="_(* #,##0_);_(* \(#,##0\);_(* &quot;-&quot;??_);_(@_)"/>
    <numFmt numFmtId="170" formatCode="0.0%"/>
    <numFmt numFmtId="171" formatCode="_(* #,##0_);_(* \(#,##0\);_(* \-??_);_(@_)"/>
    <numFmt numFmtId="172" formatCode="[$-10409]#,##0.00;\-\ #,##0.00"/>
    <numFmt numFmtId="173" formatCode="_-* #,##0_-;\-* #,##0_-;_-* &quot;-&quot;??_-;_-@_-"/>
    <numFmt numFmtId="174" formatCode="[$-10409]#,##0;\-\ #,##0"/>
    <numFmt numFmtId="175" formatCode="[$-10409]0.00;\-\ 0.00"/>
    <numFmt numFmtId="176" formatCode="#,##0.000000000"/>
  </numFmts>
  <fonts count="43">
    <font>
      <sz val="11"/>
      <color theme="1"/>
      <name val="Calibri"/>
      <family val="2"/>
      <scheme val="minor"/>
    </font>
    <font>
      <u/>
      <sz val="11.95"/>
      <color indexed="9"/>
      <name val="Times New Roman"/>
      <family val="1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mbria"/>
      <family val="1"/>
    </font>
    <font>
      <sz val="11"/>
      <name val="Cambria"/>
      <family val="1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Cambria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Trebuchet MS"/>
      <family val="2"/>
    </font>
    <font>
      <sz val="8"/>
      <color indexed="8"/>
      <name val="Trebuchet MS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9"/>
      <name val="Arial"/>
      <family val="2"/>
    </font>
    <font>
      <b/>
      <sz val="11"/>
      <color indexed="8"/>
      <name val="Arial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sz val="10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Tw Cen MT"/>
      <family val="2"/>
    </font>
    <font>
      <b/>
      <sz val="12"/>
      <name val="Tw Cen MT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mbria"/>
      <family val="1"/>
      <scheme val="major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1"/>
      <name val="Tw Cen MT"/>
      <family val="2"/>
    </font>
    <font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9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</borders>
  <cellStyleXfs count="432">
    <xf numFmtId="0" fontId="0" fillId="0" borderId="0"/>
    <xf numFmtId="0" fontId="16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8" fillId="5" borderId="2" applyNumberFormat="0" applyAlignment="0" applyProtection="0"/>
    <xf numFmtId="43" fontId="22" fillId="0" borderId="0" applyFont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6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8" fontId="13" fillId="0" borderId="0" applyFill="0" applyBorder="0" applyAlignment="0" applyProtection="0"/>
    <xf numFmtId="165" fontId="13" fillId="0" borderId="0" applyFill="0" applyBorder="0" applyAlignment="0" applyProtection="0"/>
    <xf numFmtId="167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43" fontId="13" fillId="0" borderId="0" applyFill="0" applyBorder="0" applyAlignment="0" applyProtection="0"/>
    <xf numFmtId="165" fontId="13" fillId="0" borderId="0" applyFill="0" applyBorder="0" applyAlignment="0" applyProtection="0"/>
    <xf numFmtId="43" fontId="17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7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165" fontId="13" fillId="0" borderId="0" applyFill="0" applyBorder="0" applyAlignment="0" applyProtection="0"/>
    <xf numFmtId="0" fontId="20" fillId="6" borderId="1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7" borderId="3" applyNumberFormat="0" applyAlignment="0" applyProtection="0"/>
    <xf numFmtId="9" fontId="22" fillId="0" borderId="0" applyFont="0" applyFill="0" applyBorder="0" applyAlignment="0" applyProtection="0"/>
    <xf numFmtId="9" fontId="13" fillId="0" borderId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</cellStyleXfs>
  <cellXfs count="19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6" xfId="0" applyBorder="1"/>
    <xf numFmtId="169" fontId="24" fillId="0" borderId="5" xfId="30" applyNumberFormat="1" applyFont="1" applyBorder="1" applyAlignment="1" applyProtection="1">
      <alignment horizontal="right"/>
    </xf>
    <xf numFmtId="170" fontId="24" fillId="0" borderId="5" xfId="426" applyNumberFormat="1" applyFont="1" applyBorder="1" applyAlignment="1" applyProtection="1">
      <alignment horizontal="right"/>
    </xf>
    <xf numFmtId="170" fontId="24" fillId="0" borderId="5" xfId="426" applyNumberFormat="1" applyFont="1" applyFill="1" applyBorder="1" applyAlignment="1" applyProtection="1">
      <alignment horizontal="right"/>
    </xf>
    <xf numFmtId="170" fontId="22" fillId="12" borderId="5" xfId="426" applyNumberFormat="1" applyFont="1" applyFill="1" applyBorder="1" applyAlignment="1" applyProtection="1">
      <alignment horizontal="right"/>
    </xf>
    <xf numFmtId="170" fontId="24" fillId="12" borderId="5" xfId="426" applyNumberFormat="1" applyFont="1" applyFill="1" applyBorder="1" applyAlignment="1" applyProtection="1">
      <alignment horizontal="right"/>
    </xf>
    <xf numFmtId="0" fontId="0" fillId="12" borderId="0" xfId="0" applyFill="1" applyProtection="1">
      <protection locked="0"/>
    </xf>
    <xf numFmtId="0" fontId="25" fillId="0" borderId="6" xfId="0" applyFont="1" applyBorder="1"/>
    <xf numFmtId="43" fontId="25" fillId="0" borderId="5" xfId="27" applyFont="1" applyBorder="1" applyAlignment="1" applyProtection="1">
      <alignment horizontal="center"/>
    </xf>
    <xf numFmtId="43" fontId="25" fillId="0" borderId="5" xfId="27" applyFont="1" applyBorder="1" applyProtection="1">
      <protection locked="0"/>
    </xf>
    <xf numFmtId="43" fontId="22" fillId="0" borderId="5" xfId="27" applyFont="1" applyBorder="1" applyProtection="1">
      <protection locked="0"/>
    </xf>
    <xf numFmtId="43" fontId="24" fillId="0" borderId="5" xfId="27" applyFont="1" applyBorder="1" applyProtection="1">
      <protection locked="0"/>
    </xf>
    <xf numFmtId="43" fontId="26" fillId="0" borderId="5" xfId="27" applyFont="1" applyBorder="1" applyProtection="1"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24" fillId="12" borderId="6" xfId="0" applyFont="1" applyFill="1" applyBorder="1" applyAlignment="1" applyProtection="1">
      <alignment horizontal="left"/>
      <protection locked="0"/>
    </xf>
    <xf numFmtId="0" fontId="23" fillId="12" borderId="6" xfId="0" applyFont="1" applyFill="1" applyBorder="1"/>
    <xf numFmtId="0" fontId="0" fillId="0" borderId="5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23" fillId="12" borderId="9" xfId="0" applyFont="1" applyFill="1" applyBorder="1"/>
    <xf numFmtId="0" fontId="0" fillId="0" borderId="10" xfId="0" applyBorder="1" applyAlignment="1" applyProtection="1">
      <alignment horizontal="center"/>
      <protection locked="0"/>
    </xf>
    <xf numFmtId="0" fontId="23" fillId="12" borderId="11" xfId="0" applyFont="1" applyFill="1" applyBorder="1"/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7" fillId="12" borderId="14" xfId="0" applyFont="1" applyFill="1" applyBorder="1"/>
    <xf numFmtId="0" fontId="23" fillId="0" borderId="0" xfId="0" applyFont="1"/>
    <xf numFmtId="43" fontId="22" fillId="0" borderId="0" xfId="27" applyFont="1"/>
    <xf numFmtId="0" fontId="2" fillId="0" borderId="15" xfId="0" applyFont="1" applyBorder="1" applyAlignment="1" applyProtection="1">
      <alignment vertical="top" wrapText="1" readingOrder="1"/>
      <protection locked="0"/>
    </xf>
    <xf numFmtId="43" fontId="3" fillId="8" borderId="15" xfId="27" applyFont="1" applyFill="1" applyBorder="1" applyAlignment="1" applyProtection="1">
      <alignment vertical="top" wrapText="1" readingOrder="1"/>
      <protection locked="0"/>
    </xf>
    <xf numFmtId="0" fontId="3" fillId="8" borderId="15" xfId="0" applyFont="1" applyFill="1" applyBorder="1" applyAlignment="1" applyProtection="1">
      <alignment vertical="top" wrapText="1" readingOrder="1"/>
      <protection locked="0"/>
    </xf>
    <xf numFmtId="0" fontId="3" fillId="0" borderId="15" xfId="0" applyFont="1" applyBorder="1" applyAlignment="1" applyProtection="1">
      <alignment vertical="top" wrapText="1" readingOrder="1"/>
      <protection locked="0"/>
    </xf>
    <xf numFmtId="43" fontId="3" fillId="13" borderId="15" xfId="27" applyFont="1" applyFill="1" applyBorder="1" applyAlignment="1" applyProtection="1">
      <alignment vertical="top" wrapText="1" readingOrder="1"/>
      <protection locked="0"/>
    </xf>
    <xf numFmtId="0" fontId="4" fillId="0" borderId="15" xfId="0" applyFont="1" applyBorder="1" applyAlignment="1" applyProtection="1">
      <alignment vertical="top" wrapText="1" readingOrder="1"/>
      <protection locked="0"/>
    </xf>
    <xf numFmtId="171" fontId="5" fillId="0" borderId="5" xfId="0" applyNumberFormat="1" applyFont="1" applyBorder="1" applyAlignment="1" applyProtection="1">
      <alignment horizontal="right" vertical="center"/>
      <protection locked="0"/>
    </xf>
    <xf numFmtId="172" fontId="4" fillId="0" borderId="15" xfId="0" applyNumberFormat="1" applyFont="1" applyBorder="1" applyAlignment="1" applyProtection="1">
      <alignment vertical="top" wrapText="1" readingOrder="1"/>
      <protection locked="0"/>
    </xf>
    <xf numFmtId="171" fontId="6" fillId="0" borderId="5" xfId="27" applyNumberFormat="1" applyFont="1" applyFill="1" applyBorder="1" applyAlignment="1" applyProtection="1">
      <alignment horizontal="right" vertical="center"/>
      <protection locked="0"/>
    </xf>
    <xf numFmtId="43" fontId="4" fillId="0" borderId="15" xfId="27" applyFont="1" applyBorder="1" applyAlignment="1" applyProtection="1">
      <alignment vertical="top" wrapText="1" readingOrder="1"/>
      <protection locked="0"/>
    </xf>
    <xf numFmtId="43" fontId="23" fillId="0" borderId="0" xfId="27" applyFont="1"/>
    <xf numFmtId="171" fontId="6" fillId="0" borderId="5" xfId="27" applyNumberFormat="1" applyFont="1" applyFill="1" applyBorder="1" applyAlignment="1" applyProtection="1">
      <protection locked="0"/>
    </xf>
    <xf numFmtId="0" fontId="3" fillId="9" borderId="15" xfId="0" applyFont="1" applyFill="1" applyBorder="1" applyAlignment="1" applyProtection="1">
      <alignment vertical="top" wrapText="1" readingOrder="1"/>
      <protection locked="0"/>
    </xf>
    <xf numFmtId="43" fontId="3" fillId="14" borderId="15" xfId="27" applyFont="1" applyFill="1" applyBorder="1" applyAlignment="1" applyProtection="1">
      <alignment vertical="top" wrapText="1" readingOrder="1"/>
      <protection locked="0"/>
    </xf>
    <xf numFmtId="43" fontId="0" fillId="0" borderId="0" xfId="0" applyNumberFormat="1"/>
    <xf numFmtId="169" fontId="22" fillId="0" borderId="5" xfId="27" applyNumberFormat="1" applyFont="1" applyBorder="1"/>
    <xf numFmtId="43" fontId="22" fillId="0" borderId="5" xfId="27" applyFont="1" applyBorder="1"/>
    <xf numFmtId="0" fontId="0" fillId="0" borderId="5" xfId="0" applyBorder="1"/>
    <xf numFmtId="9" fontId="22" fillId="0" borderId="0" xfId="426" applyFont="1"/>
    <xf numFmtId="0" fontId="8" fillId="0" borderId="16" xfId="0" applyFont="1" applyBorder="1" applyAlignment="1" applyProtection="1">
      <alignment vertical="top" wrapText="1" readingOrder="1"/>
      <protection locked="0"/>
    </xf>
    <xf numFmtId="169" fontId="9" fillId="8" borderId="5" xfId="27" applyNumberFormat="1" applyFont="1" applyFill="1" applyBorder="1" applyAlignment="1" applyProtection="1">
      <alignment vertical="top" wrapText="1" readingOrder="1"/>
      <protection locked="0"/>
    </xf>
    <xf numFmtId="17" fontId="9" fillId="8" borderId="5" xfId="0" applyNumberFormat="1" applyFont="1" applyFill="1" applyBorder="1" applyAlignment="1" applyProtection="1">
      <alignment vertical="top" wrapText="1" readingOrder="1"/>
      <protection locked="0"/>
    </xf>
    <xf numFmtId="0" fontId="9" fillId="0" borderId="16" xfId="0" applyFont="1" applyBorder="1" applyAlignment="1" applyProtection="1">
      <alignment vertical="top" wrapText="1" readingOrder="1"/>
      <protection locked="0"/>
    </xf>
    <xf numFmtId="169" fontId="9" fillId="13" borderId="5" xfId="27" applyNumberFormat="1" applyFont="1" applyFill="1" applyBorder="1" applyAlignment="1" applyProtection="1">
      <alignment vertical="top" wrapText="1" readingOrder="1"/>
      <protection locked="0"/>
    </xf>
    <xf numFmtId="0" fontId="10" fillId="0" borderId="16" xfId="0" applyFont="1" applyBorder="1" applyAlignment="1" applyProtection="1">
      <alignment vertical="top" wrapText="1" readingOrder="1"/>
      <protection locked="0"/>
    </xf>
    <xf numFmtId="169" fontId="10" fillId="0" borderId="5" xfId="27" applyNumberFormat="1" applyFont="1" applyBorder="1" applyAlignment="1" applyProtection="1">
      <alignment vertical="top" wrapText="1" readingOrder="1"/>
      <protection locked="0"/>
    </xf>
    <xf numFmtId="173" fontId="6" fillId="0" borderId="17" xfId="27" applyNumberFormat="1" applyFont="1" applyFill="1" applyBorder="1" applyAlignment="1" applyProtection="1">
      <protection locked="0"/>
    </xf>
    <xf numFmtId="43" fontId="10" fillId="0" borderId="5" xfId="27" applyFont="1" applyBorder="1" applyAlignment="1" applyProtection="1">
      <alignment vertical="top" wrapText="1" readingOrder="1"/>
      <protection locked="0"/>
    </xf>
    <xf numFmtId="173" fontId="11" fillId="0" borderId="17" xfId="27" applyNumberFormat="1" applyFont="1" applyFill="1" applyBorder="1" applyAlignment="1" applyProtection="1"/>
    <xf numFmtId="169" fontId="22" fillId="0" borderId="0" xfId="27" applyNumberFormat="1" applyFont="1" applyBorder="1"/>
    <xf numFmtId="43" fontId="22" fillId="0" borderId="0" xfId="27" applyFont="1" applyBorder="1"/>
    <xf numFmtId="9" fontId="22" fillId="0" borderId="0" xfId="426" applyFont="1" applyBorder="1"/>
    <xf numFmtId="169" fontId="22" fillId="0" borderId="18" xfId="27" applyNumberFormat="1" applyFont="1" applyBorder="1"/>
    <xf numFmtId="43" fontId="22" fillId="0" borderId="18" xfId="27" applyFont="1" applyBorder="1"/>
    <xf numFmtId="0" fontId="0" fillId="0" borderId="18" xfId="0" applyBorder="1"/>
    <xf numFmtId="174" fontId="0" fillId="0" borderId="10" xfId="0" applyNumberFormat="1" applyBorder="1"/>
    <xf numFmtId="169" fontId="4" fillId="0" borderId="15" xfId="27" applyNumberFormat="1" applyFont="1" applyBorder="1" applyAlignment="1" applyProtection="1">
      <alignment vertical="top" wrapText="1" readingOrder="1"/>
      <protection locked="0"/>
    </xf>
    <xf numFmtId="174" fontId="4" fillId="0" borderId="15" xfId="0" applyNumberFormat="1" applyFont="1" applyBorder="1" applyAlignment="1" applyProtection="1">
      <alignment vertical="top" wrapText="1" readingOrder="1"/>
      <protection locked="0"/>
    </xf>
    <xf numFmtId="169" fontId="3" fillId="13" borderId="15" xfId="27" applyNumberFormat="1" applyFont="1" applyFill="1" applyBorder="1" applyAlignment="1" applyProtection="1">
      <alignment vertical="top" wrapText="1" readingOrder="1"/>
      <protection locked="0"/>
    </xf>
    <xf numFmtId="43" fontId="22" fillId="15" borderId="0" xfId="27" applyFont="1" applyFill="1"/>
    <xf numFmtId="43" fontId="6" fillId="0" borderId="19" xfId="27" applyFont="1" applyFill="1" applyBorder="1" applyAlignment="1" applyProtection="1">
      <protection locked="0"/>
    </xf>
    <xf numFmtId="17" fontId="0" fillId="0" borderId="0" xfId="0" applyNumberFormat="1"/>
    <xf numFmtId="17" fontId="0" fillId="0" borderId="0" xfId="0" applyNumberFormat="1" applyProtection="1">
      <protection locked="0"/>
    </xf>
    <xf numFmtId="9" fontId="0" fillId="0" borderId="0" xfId="426" applyFont="1"/>
    <xf numFmtId="43" fontId="0" fillId="0" borderId="0" xfId="27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43" fontId="33" fillId="0" borderId="5" xfId="27" applyFont="1" applyBorder="1"/>
    <xf numFmtId="0" fontId="30" fillId="0" borderId="5" xfId="0" applyFont="1" applyBorder="1"/>
    <xf numFmtId="0" fontId="33" fillId="0" borderId="5" xfId="0" applyFont="1" applyBorder="1"/>
    <xf numFmtId="43" fontId="33" fillId="0" borderId="5" xfId="27" applyFont="1" applyBorder="1" applyAlignment="1">
      <alignment horizontal="center"/>
    </xf>
    <xf numFmtId="169" fontId="33" fillId="0" borderId="5" xfId="27" applyNumberFormat="1" applyFont="1" applyBorder="1"/>
    <xf numFmtId="17" fontId="30" fillId="0" borderId="5" xfId="0" applyNumberFormat="1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169" fontId="30" fillId="0" borderId="5" xfId="0" applyNumberFormat="1" applyFont="1" applyBorder="1"/>
    <xf numFmtId="43" fontId="30" fillId="0" borderId="5" xfId="27" applyFont="1" applyBorder="1"/>
    <xf numFmtId="0" fontId="30" fillId="0" borderId="5" xfId="0" applyFont="1" applyBorder="1" applyAlignment="1">
      <alignment horizontal="center"/>
    </xf>
    <xf numFmtId="43" fontId="34" fillId="0" borderId="5" xfId="27" applyFont="1" applyBorder="1" applyProtection="1">
      <protection locked="0"/>
    </xf>
    <xf numFmtId="169" fontId="0" fillId="0" borderId="0" xfId="0" applyNumberFormat="1"/>
    <xf numFmtId="0" fontId="30" fillId="13" borderId="24" xfId="0" applyFont="1" applyFill="1" applyBorder="1"/>
    <xf numFmtId="0" fontId="30" fillId="13" borderId="25" xfId="0" applyFont="1" applyFill="1" applyBorder="1"/>
    <xf numFmtId="17" fontId="30" fillId="13" borderId="25" xfId="0" applyNumberFormat="1" applyFont="1" applyFill="1" applyBorder="1"/>
    <xf numFmtId="0" fontId="30" fillId="13" borderId="26" xfId="0" applyFont="1" applyFill="1" applyBorder="1"/>
    <xf numFmtId="0" fontId="33" fillId="0" borderId="6" xfId="0" applyFont="1" applyBorder="1"/>
    <xf numFmtId="4" fontId="33" fillId="0" borderId="27" xfId="0" applyNumberFormat="1" applyFont="1" applyBorder="1"/>
    <xf numFmtId="0" fontId="33" fillId="0" borderId="27" xfId="0" applyFont="1" applyBorder="1"/>
    <xf numFmtId="0" fontId="30" fillId="0" borderId="6" xfId="0" applyFont="1" applyBorder="1"/>
    <xf numFmtId="43" fontId="30" fillId="0" borderId="27" xfId="27" applyFont="1" applyBorder="1"/>
    <xf numFmtId="0" fontId="30" fillId="0" borderId="27" xfId="0" applyFont="1" applyBorder="1"/>
    <xf numFmtId="43" fontId="33" fillId="0" borderId="27" xfId="27" applyFont="1" applyBorder="1"/>
    <xf numFmtId="0" fontId="33" fillId="0" borderId="11" xfId="0" applyFont="1" applyBorder="1"/>
    <xf numFmtId="43" fontId="33" fillId="0" borderId="12" xfId="27" applyFont="1" applyBorder="1"/>
    <xf numFmtId="43" fontId="33" fillId="0" borderId="28" xfId="27" applyFont="1" applyBorder="1"/>
    <xf numFmtId="172" fontId="35" fillId="0" borderId="15" xfId="0" applyNumberFormat="1" applyFont="1" applyBorder="1" applyAlignment="1" applyProtection="1">
      <alignment horizontal="right" vertical="top" wrapText="1" readingOrder="1"/>
      <protection locked="0"/>
    </xf>
    <xf numFmtId="172" fontId="36" fillId="0" borderId="15" xfId="0" applyNumberFormat="1" applyFont="1" applyBorder="1" applyAlignment="1" applyProtection="1">
      <alignment vertical="top" wrapText="1" readingOrder="1"/>
      <protection locked="0"/>
    </xf>
    <xf numFmtId="175" fontId="36" fillId="0" borderId="15" xfId="0" applyNumberFormat="1" applyFont="1" applyBorder="1" applyAlignment="1" applyProtection="1">
      <alignment vertical="top" wrapText="1" readingOrder="1"/>
      <protection locked="0"/>
    </xf>
    <xf numFmtId="172" fontId="36" fillId="0" borderId="16" xfId="0" applyNumberFormat="1" applyFont="1" applyBorder="1" applyAlignment="1" applyProtection="1">
      <alignment vertical="top" wrapText="1" readingOrder="1"/>
      <protection locked="0"/>
    </xf>
    <xf numFmtId="175" fontId="36" fillId="0" borderId="16" xfId="0" applyNumberFormat="1" applyFont="1" applyBorder="1" applyAlignment="1" applyProtection="1">
      <alignment vertical="top" wrapText="1" readingOrder="1"/>
      <protection locked="0"/>
    </xf>
    <xf numFmtId="172" fontId="37" fillId="16" borderId="15" xfId="0" applyNumberFormat="1" applyFont="1" applyFill="1" applyBorder="1" applyAlignment="1" applyProtection="1">
      <alignment vertical="top" wrapText="1" readingOrder="1"/>
      <protection locked="0"/>
    </xf>
    <xf numFmtId="172" fontId="37" fillId="0" borderId="15" xfId="0" applyNumberFormat="1" applyFont="1" applyBorder="1" applyAlignment="1" applyProtection="1">
      <alignment vertical="top" wrapText="1" readingOrder="1"/>
      <protection locked="0"/>
    </xf>
    <xf numFmtId="17" fontId="22" fillId="15" borderId="0" xfId="27" applyNumberFormat="1" applyFont="1" applyFill="1"/>
    <xf numFmtId="0" fontId="0" fillId="15" borderId="0" xfId="0" applyFill="1"/>
    <xf numFmtId="17" fontId="0" fillId="15" borderId="0" xfId="0" applyNumberFormat="1" applyFill="1"/>
    <xf numFmtId="43" fontId="38" fillId="0" borderId="30" xfId="27" applyFont="1" applyFill="1" applyBorder="1"/>
    <xf numFmtId="43" fontId="0" fillId="0" borderId="29" xfId="27" applyFont="1" applyBorder="1" applyAlignment="1" applyProtection="1">
      <alignment vertical="top" wrapText="1"/>
      <protection locked="0"/>
    </xf>
    <xf numFmtId="43" fontId="0" fillId="15" borderId="0" xfId="27" applyFont="1" applyFill="1"/>
    <xf numFmtId="43" fontId="9" fillId="13" borderId="5" xfId="27" applyFont="1" applyFill="1" applyBorder="1" applyAlignment="1" applyProtection="1">
      <alignment vertical="top" wrapText="1" readingOrder="1"/>
      <protection locked="0"/>
    </xf>
    <xf numFmtId="43" fontId="36" fillId="0" borderId="15" xfId="27" applyFont="1" applyBorder="1" applyAlignment="1" applyProtection="1">
      <alignment vertical="top" wrapText="1" readingOrder="1"/>
      <protection locked="0"/>
    </xf>
    <xf numFmtId="0" fontId="0" fillId="17" borderId="0" xfId="0" applyFill="1" applyProtection="1">
      <protection locked="0"/>
    </xf>
    <xf numFmtId="43" fontId="25" fillId="17" borderId="5" xfId="27" applyFont="1" applyFill="1" applyBorder="1" applyProtection="1">
      <protection locked="0"/>
    </xf>
    <xf numFmtId="43" fontId="22" fillId="17" borderId="5" xfId="27" applyFont="1" applyFill="1" applyBorder="1" applyProtection="1">
      <protection locked="0"/>
    </xf>
    <xf numFmtId="43" fontId="24" fillId="17" borderId="5" xfId="27" applyFont="1" applyFill="1" applyBorder="1" applyProtection="1">
      <protection locked="0"/>
    </xf>
    <xf numFmtId="43" fontId="26" fillId="17" borderId="5" xfId="27" applyFont="1" applyFill="1" applyBorder="1" applyProtection="1">
      <protection locked="0"/>
    </xf>
    <xf numFmtId="0" fontId="0" fillId="17" borderId="0" xfId="0" applyFill="1"/>
    <xf numFmtId="17" fontId="0" fillId="17" borderId="0" xfId="0" applyNumberFormat="1" applyFill="1"/>
    <xf numFmtId="43" fontId="3" fillId="17" borderId="15" xfId="27" applyFont="1" applyFill="1" applyBorder="1" applyAlignment="1" applyProtection="1">
      <alignment vertical="top" wrapText="1" readingOrder="1"/>
      <protection locked="0"/>
    </xf>
    <xf numFmtId="172" fontId="37" fillId="17" borderId="31" xfId="0" applyNumberFormat="1" applyFont="1" applyFill="1" applyBorder="1" applyAlignment="1" applyProtection="1">
      <alignment vertical="top" wrapText="1" readingOrder="1"/>
      <protection locked="0"/>
    </xf>
    <xf numFmtId="43" fontId="0" fillId="17" borderId="0" xfId="0" applyNumberFormat="1" applyFill="1"/>
    <xf numFmtId="169" fontId="3" fillId="17" borderId="15" xfId="27" applyNumberFormat="1" applyFont="1" applyFill="1" applyBorder="1" applyAlignment="1" applyProtection="1">
      <alignment vertical="top" wrapText="1" readingOrder="1"/>
      <protection locked="0"/>
    </xf>
    <xf numFmtId="43" fontId="0" fillId="17" borderId="0" xfId="27" applyFont="1" applyFill="1"/>
    <xf numFmtId="172" fontId="37" fillId="17" borderId="15" xfId="0" applyNumberFormat="1" applyFont="1" applyFill="1" applyBorder="1" applyAlignment="1" applyProtection="1">
      <alignment vertical="top" wrapText="1" readingOrder="1"/>
      <protection locked="0"/>
    </xf>
    <xf numFmtId="43" fontId="3" fillId="18" borderId="15" xfId="27" applyFont="1" applyFill="1" applyBorder="1" applyAlignment="1" applyProtection="1">
      <alignment vertical="top" wrapText="1" readingOrder="1"/>
      <protection locked="0"/>
    </xf>
    <xf numFmtId="172" fontId="4" fillId="17" borderId="31" xfId="0" applyNumberFormat="1" applyFont="1" applyFill="1" applyBorder="1" applyAlignment="1" applyProtection="1">
      <alignment vertical="top" wrapText="1" readingOrder="1"/>
      <protection locked="0"/>
    </xf>
    <xf numFmtId="4" fontId="0" fillId="0" borderId="0" xfId="0" applyNumberFormat="1"/>
    <xf numFmtId="172" fontId="37" fillId="0" borderId="32" xfId="0" applyNumberFormat="1" applyFont="1" applyBorder="1" applyAlignment="1" applyProtection="1">
      <alignment vertical="top" wrapText="1" readingOrder="1"/>
      <protection locked="0"/>
    </xf>
    <xf numFmtId="176" fontId="0" fillId="0" borderId="0" xfId="0" applyNumberFormat="1"/>
    <xf numFmtId="0" fontId="39" fillId="0" borderId="0" xfId="0" applyFont="1" applyProtection="1">
      <protection locked="0"/>
    </xf>
    <xf numFmtId="17" fontId="39" fillId="0" borderId="0" xfId="0" applyNumberFormat="1" applyFont="1" applyProtection="1">
      <protection locked="0"/>
    </xf>
    <xf numFmtId="169" fontId="39" fillId="0" borderId="5" xfId="30" applyNumberFormat="1" applyFont="1" applyBorder="1" applyAlignment="1" applyProtection="1">
      <alignment horizontal="right"/>
    </xf>
    <xf numFmtId="170" fontId="39" fillId="0" borderId="5" xfId="426" applyNumberFormat="1" applyFont="1" applyBorder="1" applyAlignment="1" applyProtection="1">
      <alignment horizontal="right"/>
    </xf>
    <xf numFmtId="170" fontId="39" fillId="0" borderId="5" xfId="426" applyNumberFormat="1" applyFont="1" applyFill="1" applyBorder="1" applyAlignment="1" applyProtection="1">
      <alignment horizontal="right"/>
    </xf>
    <xf numFmtId="170" fontId="39" fillId="12" borderId="5" xfId="426" applyNumberFormat="1" applyFont="1" applyFill="1" applyBorder="1" applyAlignment="1" applyProtection="1">
      <alignment horizontal="right"/>
    </xf>
    <xf numFmtId="0" fontId="0" fillId="10" borderId="0" xfId="0" applyFill="1" applyProtection="1">
      <protection locked="0"/>
    </xf>
    <xf numFmtId="0" fontId="33" fillId="0" borderId="0" xfId="0" applyFont="1" applyProtection="1">
      <protection locked="0"/>
    </xf>
    <xf numFmtId="0" fontId="33" fillId="17" borderId="0" xfId="0" applyFont="1" applyFill="1" applyProtection="1">
      <protection locked="0"/>
    </xf>
    <xf numFmtId="0" fontId="41" fillId="0" borderId="0" xfId="0" applyFont="1" applyProtection="1">
      <protection locked="0"/>
    </xf>
    <xf numFmtId="0" fontId="41" fillId="17" borderId="0" xfId="0" applyFont="1" applyFill="1" applyProtection="1">
      <protection locked="0"/>
    </xf>
    <xf numFmtId="0" fontId="40" fillId="0" borderId="6" xfId="0" applyFont="1" applyBorder="1" applyAlignment="1">
      <alignment horizontal="center"/>
    </xf>
    <xf numFmtId="0" fontId="40" fillId="0" borderId="7" xfId="0" applyFont="1" applyBorder="1" applyAlignment="1">
      <alignment horizontal="right"/>
    </xf>
    <xf numFmtId="0" fontId="40" fillId="0" borderId="8" xfId="0" applyFont="1" applyBorder="1" applyAlignment="1" applyProtection="1">
      <alignment horizontal="center"/>
      <protection locked="0"/>
    </xf>
    <xf numFmtId="0" fontId="41" fillId="0" borderId="6" xfId="0" applyFont="1" applyBorder="1"/>
    <xf numFmtId="0" fontId="40" fillId="0" borderId="5" xfId="0" applyFont="1" applyBorder="1" applyAlignment="1" applyProtection="1">
      <alignment horizontal="right"/>
      <protection locked="0"/>
    </xf>
    <xf numFmtId="0" fontId="40" fillId="0" borderId="0" xfId="0" applyFont="1" applyProtection="1">
      <protection locked="0"/>
    </xf>
    <xf numFmtId="17" fontId="41" fillId="0" borderId="0" xfId="0" applyNumberFormat="1" applyFont="1" applyProtection="1">
      <protection locked="0"/>
    </xf>
    <xf numFmtId="0" fontId="41" fillId="10" borderId="0" xfId="0" applyFont="1" applyFill="1" applyProtection="1">
      <protection locked="0"/>
    </xf>
    <xf numFmtId="0" fontId="41" fillId="0" borderId="5" xfId="0" applyFont="1" applyBorder="1" applyAlignment="1">
      <alignment horizontal="center"/>
    </xf>
    <xf numFmtId="169" fontId="41" fillId="0" borderId="5" xfId="30" applyNumberFormat="1" applyFont="1" applyBorder="1" applyAlignment="1" applyProtection="1">
      <alignment horizontal="right"/>
    </xf>
    <xf numFmtId="169" fontId="41" fillId="17" borderId="5" xfId="30" applyNumberFormat="1" applyFont="1" applyFill="1" applyBorder="1" applyAlignment="1" applyProtection="1">
      <alignment horizontal="right"/>
    </xf>
    <xf numFmtId="9" fontId="41" fillId="0" borderId="5" xfId="0" applyNumberFormat="1" applyFont="1" applyBorder="1" applyAlignment="1">
      <alignment horizontal="center"/>
    </xf>
    <xf numFmtId="170" fontId="41" fillId="0" borderId="5" xfId="426" applyNumberFormat="1" applyFont="1" applyBorder="1" applyAlignment="1" applyProtection="1">
      <alignment horizontal="right"/>
    </xf>
    <xf numFmtId="170" fontId="41" fillId="17" borderId="5" xfId="426" applyNumberFormat="1" applyFont="1" applyFill="1" applyBorder="1" applyAlignment="1" applyProtection="1">
      <alignment horizontal="right"/>
    </xf>
    <xf numFmtId="170" fontId="41" fillId="0" borderId="5" xfId="426" applyNumberFormat="1" applyFont="1" applyFill="1" applyBorder="1" applyAlignment="1" applyProtection="1">
      <alignment horizontal="right"/>
    </xf>
    <xf numFmtId="9" fontId="41" fillId="17" borderId="5" xfId="426" applyFont="1" applyFill="1" applyBorder="1" applyAlignment="1" applyProtection="1">
      <alignment horizontal="right"/>
    </xf>
    <xf numFmtId="170" fontId="41" fillId="12" borderId="5" xfId="426" applyNumberFormat="1" applyFont="1" applyFill="1" applyBorder="1" applyAlignment="1" applyProtection="1">
      <alignment horizontal="right"/>
    </xf>
    <xf numFmtId="0" fontId="41" fillId="12" borderId="6" xfId="0" applyFont="1" applyFill="1" applyBorder="1"/>
    <xf numFmtId="0" fontId="41" fillId="12" borderId="5" xfId="0" applyFont="1" applyFill="1" applyBorder="1" applyAlignment="1">
      <alignment horizontal="center"/>
    </xf>
    <xf numFmtId="0" fontId="41" fillId="12" borderId="6" xfId="0" applyFont="1" applyFill="1" applyBorder="1" applyAlignment="1">
      <alignment horizontal="left"/>
    </xf>
    <xf numFmtId="9" fontId="41" fillId="12" borderId="5" xfId="0" applyNumberFormat="1" applyFont="1" applyFill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0" fillId="0" borderId="5" xfId="0" applyFont="1" applyBorder="1" applyAlignment="1" applyProtection="1">
      <alignment horizontal="center"/>
      <protection locked="0"/>
    </xf>
    <xf numFmtId="0" fontId="40" fillId="0" borderId="5" xfId="0" applyFont="1" applyBorder="1" applyAlignment="1" applyProtection="1">
      <alignment horizontal="center"/>
      <protection locked="0"/>
    </xf>
    <xf numFmtId="0" fontId="40" fillId="10" borderId="6" xfId="0" applyFont="1" applyFill="1" applyBorder="1" applyAlignment="1">
      <alignment horizontal="left"/>
    </xf>
    <xf numFmtId="0" fontId="40" fillId="10" borderId="5" xfId="0" applyFont="1" applyFill="1" applyBorder="1" applyAlignment="1">
      <alignment horizontal="left"/>
    </xf>
    <xf numFmtId="0" fontId="40" fillId="10" borderId="7" xfId="0" applyFont="1" applyFill="1" applyBorder="1" applyAlignment="1">
      <alignment horizontal="left"/>
    </xf>
    <xf numFmtId="0" fontId="40" fillId="0" borderId="10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17" fontId="40" fillId="0" borderId="22" xfId="0" applyNumberFormat="1" applyFont="1" applyBorder="1" applyAlignment="1" applyProtection="1">
      <alignment horizontal="center" wrapText="1"/>
      <protection locked="0"/>
    </xf>
    <xf numFmtId="17" fontId="40" fillId="0" borderId="23" xfId="0" applyNumberFormat="1" applyFont="1" applyBorder="1" applyAlignment="1" applyProtection="1">
      <alignment horizontal="center" wrapText="1"/>
      <protection locked="0"/>
    </xf>
    <xf numFmtId="0" fontId="28" fillId="10" borderId="6" xfId="0" applyFont="1" applyFill="1" applyBorder="1" applyAlignment="1">
      <alignment horizontal="left"/>
    </xf>
    <xf numFmtId="0" fontId="28" fillId="10" borderId="5" xfId="0" applyFont="1" applyFill="1" applyBorder="1" applyAlignment="1">
      <alignment horizontal="left"/>
    </xf>
    <xf numFmtId="0" fontId="28" fillId="10" borderId="7" xfId="0" applyFont="1" applyFill="1" applyBorder="1" applyAlignment="1">
      <alignment horizontal="left"/>
    </xf>
    <xf numFmtId="0" fontId="29" fillId="11" borderId="20" xfId="0" applyFont="1" applyFill="1" applyBorder="1" applyAlignment="1">
      <alignment horizontal="left"/>
    </xf>
    <xf numFmtId="0" fontId="29" fillId="11" borderId="21" xfId="0" applyFont="1" applyFill="1" applyBorder="1" applyAlignment="1">
      <alignment horizontal="left"/>
    </xf>
    <xf numFmtId="172" fontId="10" fillId="0" borderId="15" xfId="0" applyNumberFormat="1" applyFont="1" applyBorder="1" applyAlignment="1" applyProtection="1">
      <alignment vertical="top" wrapText="1" readingOrder="1"/>
      <protection locked="0"/>
    </xf>
    <xf numFmtId="175" fontId="10" fillId="0" borderId="15" xfId="0" applyNumberFormat="1" applyFont="1" applyBorder="1" applyAlignment="1" applyProtection="1">
      <alignment vertical="top" wrapText="1" readingOrder="1"/>
      <protection locked="0"/>
    </xf>
    <xf numFmtId="172" fontId="4" fillId="16" borderId="15" xfId="0" applyNumberFormat="1" applyFont="1" applyFill="1" applyBorder="1" applyAlignment="1" applyProtection="1">
      <alignment vertical="top" wrapText="1" readingOrder="1"/>
      <protection locked="0"/>
    </xf>
  </cellXfs>
  <cellStyles count="432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0 2 2" xfId="31" xr:uid="{00000000-0005-0000-0000-00001E000000}"/>
    <cellStyle name="Comma 10 11" xfId="32" xr:uid="{00000000-0005-0000-0000-00001F000000}"/>
    <cellStyle name="Comma 10 12" xfId="33" xr:uid="{00000000-0005-0000-0000-000020000000}"/>
    <cellStyle name="Comma 10 13" xfId="34" xr:uid="{00000000-0005-0000-0000-000021000000}"/>
    <cellStyle name="Comma 10 14" xfId="35" xr:uid="{00000000-0005-0000-0000-000022000000}"/>
    <cellStyle name="Comma 10 15" xfId="36" xr:uid="{00000000-0005-0000-0000-000023000000}"/>
    <cellStyle name="Comma 10 16" xfId="37" xr:uid="{00000000-0005-0000-0000-000024000000}"/>
    <cellStyle name="Comma 10 2" xfId="38" xr:uid="{00000000-0005-0000-0000-000025000000}"/>
    <cellStyle name="Comma 10 3" xfId="39" xr:uid="{00000000-0005-0000-0000-000026000000}"/>
    <cellStyle name="Comma 10 4" xfId="40" xr:uid="{00000000-0005-0000-0000-000027000000}"/>
    <cellStyle name="Comma 10 5" xfId="41" xr:uid="{00000000-0005-0000-0000-000028000000}"/>
    <cellStyle name="Comma 10 6" xfId="42" xr:uid="{00000000-0005-0000-0000-000029000000}"/>
    <cellStyle name="Comma 10 7" xfId="43" xr:uid="{00000000-0005-0000-0000-00002A000000}"/>
    <cellStyle name="Comma 10 8" xfId="44" xr:uid="{00000000-0005-0000-0000-00002B000000}"/>
    <cellStyle name="Comma 10 9" xfId="45" xr:uid="{00000000-0005-0000-0000-00002C000000}"/>
    <cellStyle name="Comma 11" xfId="46" xr:uid="{00000000-0005-0000-0000-00002D000000}"/>
    <cellStyle name="Comma 11 10" xfId="47" xr:uid="{00000000-0005-0000-0000-00002E000000}"/>
    <cellStyle name="Comma 11 11" xfId="48" xr:uid="{00000000-0005-0000-0000-00002F000000}"/>
    <cellStyle name="Comma 11 12" xfId="49" xr:uid="{00000000-0005-0000-0000-000030000000}"/>
    <cellStyle name="Comma 11 13" xfId="50" xr:uid="{00000000-0005-0000-0000-000031000000}"/>
    <cellStyle name="Comma 11 14" xfId="51" xr:uid="{00000000-0005-0000-0000-000032000000}"/>
    <cellStyle name="Comma 11 15" xfId="52" xr:uid="{00000000-0005-0000-0000-000033000000}"/>
    <cellStyle name="Comma 11 16" xfId="53" xr:uid="{00000000-0005-0000-0000-000034000000}"/>
    <cellStyle name="Comma 11 17" xfId="54" xr:uid="{00000000-0005-0000-0000-000035000000}"/>
    <cellStyle name="Comma 11 2" xfId="55" xr:uid="{00000000-0005-0000-0000-000036000000}"/>
    <cellStyle name="Comma 11 2 2" xfId="56" xr:uid="{00000000-0005-0000-0000-000037000000}"/>
    <cellStyle name="Comma 11 3" xfId="57" xr:uid="{00000000-0005-0000-0000-000038000000}"/>
    <cellStyle name="Comma 11 4" xfId="58" xr:uid="{00000000-0005-0000-0000-000039000000}"/>
    <cellStyle name="Comma 11 5" xfId="59" xr:uid="{00000000-0005-0000-0000-00003A000000}"/>
    <cellStyle name="Comma 11 6" xfId="60" xr:uid="{00000000-0005-0000-0000-00003B000000}"/>
    <cellStyle name="Comma 11 7" xfId="61" xr:uid="{00000000-0005-0000-0000-00003C000000}"/>
    <cellStyle name="Comma 11 8" xfId="62" xr:uid="{00000000-0005-0000-0000-00003D000000}"/>
    <cellStyle name="Comma 11 9" xfId="63" xr:uid="{00000000-0005-0000-0000-00003E000000}"/>
    <cellStyle name="Comma 12" xfId="64" xr:uid="{00000000-0005-0000-0000-00003F000000}"/>
    <cellStyle name="Comma 13" xfId="65" xr:uid="{00000000-0005-0000-0000-000040000000}"/>
    <cellStyle name="Comma 14" xfId="66" xr:uid="{00000000-0005-0000-0000-000041000000}"/>
    <cellStyle name="Comma 15" xfId="67" xr:uid="{00000000-0005-0000-0000-000042000000}"/>
    <cellStyle name="Comma 16" xfId="68" xr:uid="{00000000-0005-0000-0000-000043000000}"/>
    <cellStyle name="Comma 16 10" xfId="69" xr:uid="{00000000-0005-0000-0000-000044000000}"/>
    <cellStyle name="Comma 16 11" xfId="70" xr:uid="{00000000-0005-0000-0000-000045000000}"/>
    <cellStyle name="Comma 16 12" xfId="71" xr:uid="{00000000-0005-0000-0000-000046000000}"/>
    <cellStyle name="Comma 16 13" xfId="72" xr:uid="{00000000-0005-0000-0000-000047000000}"/>
    <cellStyle name="Comma 16 14" xfId="73" xr:uid="{00000000-0005-0000-0000-000048000000}"/>
    <cellStyle name="Comma 16 15" xfId="74" xr:uid="{00000000-0005-0000-0000-000049000000}"/>
    <cellStyle name="Comma 16 16" xfId="75" xr:uid="{00000000-0005-0000-0000-00004A000000}"/>
    <cellStyle name="Comma 16 2" xfId="76" xr:uid="{00000000-0005-0000-0000-00004B000000}"/>
    <cellStyle name="Comma 16 3" xfId="77" xr:uid="{00000000-0005-0000-0000-00004C000000}"/>
    <cellStyle name="Comma 16 4" xfId="78" xr:uid="{00000000-0005-0000-0000-00004D000000}"/>
    <cellStyle name="Comma 16 5" xfId="79" xr:uid="{00000000-0005-0000-0000-00004E000000}"/>
    <cellStyle name="Comma 16 6" xfId="80" xr:uid="{00000000-0005-0000-0000-00004F000000}"/>
    <cellStyle name="Comma 16 7" xfId="81" xr:uid="{00000000-0005-0000-0000-000050000000}"/>
    <cellStyle name="Comma 16 8" xfId="82" xr:uid="{00000000-0005-0000-0000-000051000000}"/>
    <cellStyle name="Comma 16 9" xfId="83" xr:uid="{00000000-0005-0000-0000-000052000000}"/>
    <cellStyle name="Comma 17" xfId="84" xr:uid="{00000000-0005-0000-0000-000053000000}"/>
    <cellStyle name="Comma 17 10" xfId="85" xr:uid="{00000000-0005-0000-0000-000054000000}"/>
    <cellStyle name="Comma 17 2" xfId="86" xr:uid="{00000000-0005-0000-0000-000055000000}"/>
    <cellStyle name="Comma 17 3" xfId="87" xr:uid="{00000000-0005-0000-0000-000056000000}"/>
    <cellStyle name="Comma 17 4" xfId="88" xr:uid="{00000000-0005-0000-0000-000057000000}"/>
    <cellStyle name="Comma 17 5" xfId="89" xr:uid="{00000000-0005-0000-0000-000058000000}"/>
    <cellStyle name="Comma 17 6" xfId="90" xr:uid="{00000000-0005-0000-0000-000059000000}"/>
    <cellStyle name="Comma 17 7" xfId="91" xr:uid="{00000000-0005-0000-0000-00005A000000}"/>
    <cellStyle name="Comma 17 8" xfId="92" xr:uid="{00000000-0005-0000-0000-00005B000000}"/>
    <cellStyle name="Comma 17 9" xfId="93" xr:uid="{00000000-0005-0000-0000-00005C000000}"/>
    <cellStyle name="Comma 18" xfId="94" xr:uid="{00000000-0005-0000-0000-00005D000000}"/>
    <cellStyle name="Comma 18 2" xfId="95" xr:uid="{00000000-0005-0000-0000-00005E000000}"/>
    <cellStyle name="Comma 18 3" xfId="96" xr:uid="{00000000-0005-0000-0000-00005F000000}"/>
    <cellStyle name="Comma 19" xfId="97" xr:uid="{00000000-0005-0000-0000-000060000000}"/>
    <cellStyle name="Comma 2" xfId="98" xr:uid="{00000000-0005-0000-0000-000061000000}"/>
    <cellStyle name="Comma 2 10" xfId="99" xr:uid="{00000000-0005-0000-0000-000062000000}"/>
    <cellStyle name="Comma 2 11" xfId="100" xr:uid="{00000000-0005-0000-0000-000063000000}"/>
    <cellStyle name="Comma 2 12" xfId="101" xr:uid="{00000000-0005-0000-0000-000064000000}"/>
    <cellStyle name="Comma 2 13" xfId="102" xr:uid="{00000000-0005-0000-0000-000065000000}"/>
    <cellStyle name="Comma 2 14" xfId="103" xr:uid="{00000000-0005-0000-0000-000066000000}"/>
    <cellStyle name="Comma 2 15" xfId="104" xr:uid="{00000000-0005-0000-0000-000067000000}"/>
    <cellStyle name="Comma 2 16" xfId="105" xr:uid="{00000000-0005-0000-0000-000068000000}"/>
    <cellStyle name="Comma 2 17" xfId="106" xr:uid="{00000000-0005-0000-0000-000069000000}"/>
    <cellStyle name="Comma 2 18" xfId="107" xr:uid="{00000000-0005-0000-0000-00006A000000}"/>
    <cellStyle name="Comma 2 19" xfId="108" xr:uid="{00000000-0005-0000-0000-00006B000000}"/>
    <cellStyle name="Comma 2 2" xfId="109" xr:uid="{00000000-0005-0000-0000-00006C000000}"/>
    <cellStyle name="Comma 2 20" xfId="110" xr:uid="{00000000-0005-0000-0000-00006D000000}"/>
    <cellStyle name="Comma 2 21" xfId="111" xr:uid="{00000000-0005-0000-0000-00006E000000}"/>
    <cellStyle name="Comma 2 22" xfId="112" xr:uid="{00000000-0005-0000-0000-00006F000000}"/>
    <cellStyle name="Comma 2 23" xfId="113" xr:uid="{00000000-0005-0000-0000-000070000000}"/>
    <cellStyle name="Comma 2 24" xfId="114" xr:uid="{00000000-0005-0000-0000-000071000000}"/>
    <cellStyle name="Comma 2 25" xfId="115" xr:uid="{00000000-0005-0000-0000-000072000000}"/>
    <cellStyle name="Comma 2 26" xfId="116" xr:uid="{00000000-0005-0000-0000-000073000000}"/>
    <cellStyle name="Comma 2 3" xfId="117" xr:uid="{00000000-0005-0000-0000-000074000000}"/>
    <cellStyle name="Comma 2 4" xfId="118" xr:uid="{00000000-0005-0000-0000-000075000000}"/>
    <cellStyle name="Comma 2 5" xfId="119" xr:uid="{00000000-0005-0000-0000-000076000000}"/>
    <cellStyle name="Comma 2 6" xfId="120" xr:uid="{00000000-0005-0000-0000-000077000000}"/>
    <cellStyle name="Comma 2 7" xfId="121" xr:uid="{00000000-0005-0000-0000-000078000000}"/>
    <cellStyle name="Comma 2 8" xfId="122" xr:uid="{00000000-0005-0000-0000-000079000000}"/>
    <cellStyle name="Comma 2 9" xfId="123" xr:uid="{00000000-0005-0000-0000-00007A000000}"/>
    <cellStyle name="Comma 24" xfId="124" xr:uid="{00000000-0005-0000-0000-00007B000000}"/>
    <cellStyle name="Comma 3" xfId="125" xr:uid="{00000000-0005-0000-0000-00007C000000}"/>
    <cellStyle name="Comma 3 10" xfId="126" xr:uid="{00000000-0005-0000-0000-00007D000000}"/>
    <cellStyle name="Comma 3 11" xfId="127" xr:uid="{00000000-0005-0000-0000-00007E000000}"/>
    <cellStyle name="Comma 3 12" xfId="128" xr:uid="{00000000-0005-0000-0000-00007F000000}"/>
    <cellStyle name="Comma 3 13" xfId="129" xr:uid="{00000000-0005-0000-0000-000080000000}"/>
    <cellStyle name="Comma 3 14" xfId="130" xr:uid="{00000000-0005-0000-0000-000081000000}"/>
    <cellStyle name="Comma 3 15" xfId="131" xr:uid="{00000000-0005-0000-0000-000082000000}"/>
    <cellStyle name="Comma 3 16" xfId="132" xr:uid="{00000000-0005-0000-0000-000083000000}"/>
    <cellStyle name="Comma 3 17" xfId="133" xr:uid="{00000000-0005-0000-0000-000084000000}"/>
    <cellStyle name="Comma 3 18" xfId="134" xr:uid="{00000000-0005-0000-0000-000085000000}"/>
    <cellStyle name="Comma 3 19" xfId="135" xr:uid="{00000000-0005-0000-0000-000086000000}"/>
    <cellStyle name="Comma 3 2" xfId="136" xr:uid="{00000000-0005-0000-0000-000087000000}"/>
    <cellStyle name="Comma 3 20" xfId="137" xr:uid="{00000000-0005-0000-0000-000088000000}"/>
    <cellStyle name="Comma 3 3" xfId="138" xr:uid="{00000000-0005-0000-0000-000089000000}"/>
    <cellStyle name="Comma 3 4" xfId="139" xr:uid="{00000000-0005-0000-0000-00008A000000}"/>
    <cellStyle name="Comma 3 5" xfId="140" xr:uid="{00000000-0005-0000-0000-00008B000000}"/>
    <cellStyle name="Comma 3 6" xfId="141" xr:uid="{00000000-0005-0000-0000-00008C000000}"/>
    <cellStyle name="Comma 3 7" xfId="142" xr:uid="{00000000-0005-0000-0000-00008D000000}"/>
    <cellStyle name="Comma 3 8" xfId="143" xr:uid="{00000000-0005-0000-0000-00008E000000}"/>
    <cellStyle name="Comma 3 9" xfId="144" xr:uid="{00000000-0005-0000-0000-00008F000000}"/>
    <cellStyle name="Comma 4" xfId="145" xr:uid="{00000000-0005-0000-0000-000090000000}"/>
    <cellStyle name="Comma 5" xfId="146" xr:uid="{00000000-0005-0000-0000-000091000000}"/>
    <cellStyle name="Comma 5 10" xfId="147" xr:uid="{00000000-0005-0000-0000-000092000000}"/>
    <cellStyle name="Comma 5 11" xfId="148" xr:uid="{00000000-0005-0000-0000-000093000000}"/>
    <cellStyle name="Comma 5 12" xfId="149" xr:uid="{00000000-0005-0000-0000-000094000000}"/>
    <cellStyle name="Comma 5 13" xfId="150" xr:uid="{00000000-0005-0000-0000-000095000000}"/>
    <cellStyle name="Comma 5 14" xfId="151" xr:uid="{00000000-0005-0000-0000-000096000000}"/>
    <cellStyle name="Comma 5 15" xfId="152" xr:uid="{00000000-0005-0000-0000-000097000000}"/>
    <cellStyle name="Comma 5 16" xfId="153" xr:uid="{00000000-0005-0000-0000-000098000000}"/>
    <cellStyle name="Comma 5 17" xfId="154" xr:uid="{00000000-0005-0000-0000-000099000000}"/>
    <cellStyle name="Comma 5 18" xfId="155" xr:uid="{00000000-0005-0000-0000-00009A000000}"/>
    <cellStyle name="Comma 5 19" xfId="156" xr:uid="{00000000-0005-0000-0000-00009B000000}"/>
    <cellStyle name="Comma 5 2" xfId="157" xr:uid="{00000000-0005-0000-0000-00009C000000}"/>
    <cellStyle name="Comma 5 20" xfId="158" xr:uid="{00000000-0005-0000-0000-00009D000000}"/>
    <cellStyle name="Comma 5 3" xfId="159" xr:uid="{00000000-0005-0000-0000-00009E000000}"/>
    <cellStyle name="Comma 5 4" xfId="160" xr:uid="{00000000-0005-0000-0000-00009F000000}"/>
    <cellStyle name="Comma 5 5" xfId="161" xr:uid="{00000000-0005-0000-0000-0000A0000000}"/>
    <cellStyle name="Comma 5 6" xfId="162" xr:uid="{00000000-0005-0000-0000-0000A1000000}"/>
    <cellStyle name="Comma 5 7" xfId="163" xr:uid="{00000000-0005-0000-0000-0000A2000000}"/>
    <cellStyle name="Comma 5 8" xfId="164" xr:uid="{00000000-0005-0000-0000-0000A3000000}"/>
    <cellStyle name="Comma 5 9" xfId="165" xr:uid="{00000000-0005-0000-0000-0000A4000000}"/>
    <cellStyle name="Comma 6" xfId="166" xr:uid="{00000000-0005-0000-0000-0000A5000000}"/>
    <cellStyle name="Comma 6 10" xfId="167" xr:uid="{00000000-0005-0000-0000-0000A6000000}"/>
    <cellStyle name="Comma 6 11" xfId="168" xr:uid="{00000000-0005-0000-0000-0000A7000000}"/>
    <cellStyle name="Comma 6 12" xfId="169" xr:uid="{00000000-0005-0000-0000-0000A8000000}"/>
    <cellStyle name="Comma 6 13" xfId="170" xr:uid="{00000000-0005-0000-0000-0000A9000000}"/>
    <cellStyle name="Comma 6 14" xfId="171" xr:uid="{00000000-0005-0000-0000-0000AA000000}"/>
    <cellStyle name="Comma 6 15" xfId="172" xr:uid="{00000000-0005-0000-0000-0000AB000000}"/>
    <cellStyle name="Comma 6 16" xfId="173" xr:uid="{00000000-0005-0000-0000-0000AC000000}"/>
    <cellStyle name="Comma 6 17" xfId="174" xr:uid="{00000000-0005-0000-0000-0000AD000000}"/>
    <cellStyle name="Comma 6 18" xfId="175" xr:uid="{00000000-0005-0000-0000-0000AE000000}"/>
    <cellStyle name="Comma 6 19" xfId="176" xr:uid="{00000000-0005-0000-0000-0000AF000000}"/>
    <cellStyle name="Comma 6 2" xfId="177" xr:uid="{00000000-0005-0000-0000-0000B0000000}"/>
    <cellStyle name="Comma 6 3" xfId="178" xr:uid="{00000000-0005-0000-0000-0000B1000000}"/>
    <cellStyle name="Comma 6 4" xfId="179" xr:uid="{00000000-0005-0000-0000-0000B2000000}"/>
    <cellStyle name="Comma 6 5" xfId="180" xr:uid="{00000000-0005-0000-0000-0000B3000000}"/>
    <cellStyle name="Comma 6 6" xfId="181" xr:uid="{00000000-0005-0000-0000-0000B4000000}"/>
    <cellStyle name="Comma 6 7" xfId="182" xr:uid="{00000000-0005-0000-0000-0000B5000000}"/>
    <cellStyle name="Comma 6 8" xfId="183" xr:uid="{00000000-0005-0000-0000-0000B6000000}"/>
    <cellStyle name="Comma 6 9" xfId="184" xr:uid="{00000000-0005-0000-0000-0000B7000000}"/>
    <cellStyle name="Comma 7" xfId="185" xr:uid="{00000000-0005-0000-0000-0000B8000000}"/>
    <cellStyle name="Comma 7 10" xfId="186" xr:uid="{00000000-0005-0000-0000-0000B9000000}"/>
    <cellStyle name="Comma 7 11" xfId="187" xr:uid="{00000000-0005-0000-0000-0000BA000000}"/>
    <cellStyle name="Comma 7 12" xfId="188" xr:uid="{00000000-0005-0000-0000-0000BB000000}"/>
    <cellStyle name="Comma 7 13" xfId="189" xr:uid="{00000000-0005-0000-0000-0000BC000000}"/>
    <cellStyle name="Comma 7 14" xfId="190" xr:uid="{00000000-0005-0000-0000-0000BD000000}"/>
    <cellStyle name="Comma 7 15" xfId="191" xr:uid="{00000000-0005-0000-0000-0000BE000000}"/>
    <cellStyle name="Comma 7 16" xfId="192" xr:uid="{00000000-0005-0000-0000-0000BF000000}"/>
    <cellStyle name="Comma 7 17" xfId="193" xr:uid="{00000000-0005-0000-0000-0000C0000000}"/>
    <cellStyle name="Comma 7 18" xfId="194" xr:uid="{00000000-0005-0000-0000-0000C1000000}"/>
    <cellStyle name="Comma 7 19" xfId="195" xr:uid="{00000000-0005-0000-0000-0000C2000000}"/>
    <cellStyle name="Comma 7 2" xfId="196" xr:uid="{00000000-0005-0000-0000-0000C3000000}"/>
    <cellStyle name="Comma 7 3" xfId="197" xr:uid="{00000000-0005-0000-0000-0000C4000000}"/>
    <cellStyle name="Comma 7 4" xfId="198" xr:uid="{00000000-0005-0000-0000-0000C5000000}"/>
    <cellStyle name="Comma 7 5" xfId="199" xr:uid="{00000000-0005-0000-0000-0000C6000000}"/>
    <cellStyle name="Comma 7 6" xfId="200" xr:uid="{00000000-0005-0000-0000-0000C7000000}"/>
    <cellStyle name="Comma 7 7" xfId="201" xr:uid="{00000000-0005-0000-0000-0000C8000000}"/>
    <cellStyle name="Comma 7 8" xfId="202" xr:uid="{00000000-0005-0000-0000-0000C9000000}"/>
    <cellStyle name="Comma 7 9" xfId="203" xr:uid="{00000000-0005-0000-0000-0000CA000000}"/>
    <cellStyle name="Comma 8" xfId="204" xr:uid="{00000000-0005-0000-0000-0000CB000000}"/>
    <cellStyle name="Comma 8 10" xfId="205" xr:uid="{00000000-0005-0000-0000-0000CC000000}"/>
    <cellStyle name="Comma 8 11" xfId="206" xr:uid="{00000000-0005-0000-0000-0000CD000000}"/>
    <cellStyle name="Comma 8 12" xfId="207" xr:uid="{00000000-0005-0000-0000-0000CE000000}"/>
    <cellStyle name="Comma 8 13" xfId="208" xr:uid="{00000000-0005-0000-0000-0000CF000000}"/>
    <cellStyle name="Comma 8 14" xfId="209" xr:uid="{00000000-0005-0000-0000-0000D0000000}"/>
    <cellStyle name="Comma 8 15" xfId="210" xr:uid="{00000000-0005-0000-0000-0000D1000000}"/>
    <cellStyle name="Comma 8 16" xfId="211" xr:uid="{00000000-0005-0000-0000-0000D2000000}"/>
    <cellStyle name="Comma 8 17" xfId="212" xr:uid="{00000000-0005-0000-0000-0000D3000000}"/>
    <cellStyle name="Comma 8 18" xfId="213" xr:uid="{00000000-0005-0000-0000-0000D4000000}"/>
    <cellStyle name="Comma 8 19" xfId="214" xr:uid="{00000000-0005-0000-0000-0000D5000000}"/>
    <cellStyle name="Comma 8 2" xfId="215" xr:uid="{00000000-0005-0000-0000-0000D6000000}"/>
    <cellStyle name="Comma 8 3" xfId="216" xr:uid="{00000000-0005-0000-0000-0000D7000000}"/>
    <cellStyle name="Comma 8 4" xfId="217" xr:uid="{00000000-0005-0000-0000-0000D8000000}"/>
    <cellStyle name="Comma 8 5" xfId="218" xr:uid="{00000000-0005-0000-0000-0000D9000000}"/>
    <cellStyle name="Comma 8 6" xfId="219" xr:uid="{00000000-0005-0000-0000-0000DA000000}"/>
    <cellStyle name="Comma 8 7" xfId="220" xr:uid="{00000000-0005-0000-0000-0000DB000000}"/>
    <cellStyle name="Comma 8 8" xfId="221" xr:uid="{00000000-0005-0000-0000-0000DC000000}"/>
    <cellStyle name="Comma 8 9" xfId="222" xr:uid="{00000000-0005-0000-0000-0000DD000000}"/>
    <cellStyle name="Comma 9" xfId="223" xr:uid="{00000000-0005-0000-0000-0000DE000000}"/>
    <cellStyle name="Comma 9 10" xfId="224" xr:uid="{00000000-0005-0000-0000-0000DF000000}"/>
    <cellStyle name="Comma 9 11" xfId="225" xr:uid="{00000000-0005-0000-0000-0000E0000000}"/>
    <cellStyle name="Comma 9 12" xfId="226" xr:uid="{00000000-0005-0000-0000-0000E1000000}"/>
    <cellStyle name="Comma 9 13" xfId="227" xr:uid="{00000000-0005-0000-0000-0000E2000000}"/>
    <cellStyle name="Comma 9 14" xfId="228" xr:uid="{00000000-0005-0000-0000-0000E3000000}"/>
    <cellStyle name="Comma 9 15" xfId="229" xr:uid="{00000000-0005-0000-0000-0000E4000000}"/>
    <cellStyle name="Comma 9 16" xfId="230" xr:uid="{00000000-0005-0000-0000-0000E5000000}"/>
    <cellStyle name="Comma 9 17" xfId="231" xr:uid="{00000000-0005-0000-0000-0000E6000000}"/>
    <cellStyle name="Comma 9 18" xfId="232" xr:uid="{00000000-0005-0000-0000-0000E7000000}"/>
    <cellStyle name="Comma 9 19" xfId="233" xr:uid="{00000000-0005-0000-0000-0000E8000000}"/>
    <cellStyle name="Comma 9 2" xfId="234" xr:uid="{00000000-0005-0000-0000-0000E9000000}"/>
    <cellStyle name="Comma 9 3" xfId="235" xr:uid="{00000000-0005-0000-0000-0000EA000000}"/>
    <cellStyle name="Comma 9 4" xfId="236" xr:uid="{00000000-0005-0000-0000-0000EB000000}"/>
    <cellStyle name="Comma 9 5" xfId="237" xr:uid="{00000000-0005-0000-0000-0000EC000000}"/>
    <cellStyle name="Comma 9 6" xfId="238" xr:uid="{00000000-0005-0000-0000-0000ED000000}"/>
    <cellStyle name="Comma 9 7" xfId="239" xr:uid="{00000000-0005-0000-0000-0000EE000000}"/>
    <cellStyle name="Comma 9 8" xfId="240" xr:uid="{00000000-0005-0000-0000-0000EF000000}"/>
    <cellStyle name="Comma 9 9" xfId="241" xr:uid="{00000000-0005-0000-0000-0000F0000000}"/>
    <cellStyle name="Input 2" xfId="242" xr:uid="{00000000-0005-0000-0000-0000F1000000}"/>
    <cellStyle name="Normal" xfId="0" builtinId="0"/>
    <cellStyle name="Normal 10" xfId="243" xr:uid="{00000000-0005-0000-0000-0000F3000000}"/>
    <cellStyle name="Normal 10 2" xfId="244" xr:uid="{00000000-0005-0000-0000-0000F4000000}"/>
    <cellStyle name="Normal 10 3" xfId="245" xr:uid="{00000000-0005-0000-0000-0000F5000000}"/>
    <cellStyle name="Normal 10 4" xfId="246" xr:uid="{00000000-0005-0000-0000-0000F6000000}"/>
    <cellStyle name="Normal 10 5" xfId="247" xr:uid="{00000000-0005-0000-0000-0000F7000000}"/>
    <cellStyle name="Normal 11" xfId="248" xr:uid="{00000000-0005-0000-0000-0000F8000000}"/>
    <cellStyle name="Normal 12" xfId="249" xr:uid="{00000000-0005-0000-0000-0000F9000000}"/>
    <cellStyle name="Normal 12 2" xfId="250" xr:uid="{00000000-0005-0000-0000-0000FA000000}"/>
    <cellStyle name="Normal 12 3" xfId="251" xr:uid="{00000000-0005-0000-0000-0000FB000000}"/>
    <cellStyle name="Normal 12 4" xfId="252" xr:uid="{00000000-0005-0000-0000-0000FC000000}"/>
    <cellStyle name="Normal 12 5" xfId="253" xr:uid="{00000000-0005-0000-0000-0000FD000000}"/>
    <cellStyle name="Normal 13" xfId="254" xr:uid="{00000000-0005-0000-0000-0000FE000000}"/>
    <cellStyle name="Normal 13 2" xfId="255" xr:uid="{00000000-0005-0000-0000-0000FF000000}"/>
    <cellStyle name="Normal 13 3" xfId="256" xr:uid="{00000000-0005-0000-0000-000000010000}"/>
    <cellStyle name="Normal 13 4" xfId="257" xr:uid="{00000000-0005-0000-0000-000001010000}"/>
    <cellStyle name="Normal 13 5" xfId="258" xr:uid="{00000000-0005-0000-0000-000002010000}"/>
    <cellStyle name="Normal 14" xfId="259" xr:uid="{00000000-0005-0000-0000-000003010000}"/>
    <cellStyle name="Normal 14 10" xfId="260" xr:uid="{00000000-0005-0000-0000-000004010000}"/>
    <cellStyle name="Normal 14 11" xfId="261" xr:uid="{00000000-0005-0000-0000-000005010000}"/>
    <cellStyle name="Normal 14 12" xfId="262" xr:uid="{00000000-0005-0000-0000-000006010000}"/>
    <cellStyle name="Normal 14 2" xfId="263" xr:uid="{00000000-0005-0000-0000-000007010000}"/>
    <cellStyle name="Normal 14 3" xfId="264" xr:uid="{00000000-0005-0000-0000-000008010000}"/>
    <cellStyle name="Normal 14 4" xfId="265" xr:uid="{00000000-0005-0000-0000-000009010000}"/>
    <cellStyle name="Normal 14 5" xfId="266" xr:uid="{00000000-0005-0000-0000-00000A010000}"/>
    <cellStyle name="Normal 14 6" xfId="267" xr:uid="{00000000-0005-0000-0000-00000B010000}"/>
    <cellStyle name="Normal 14 7" xfId="268" xr:uid="{00000000-0005-0000-0000-00000C010000}"/>
    <cellStyle name="Normal 14 8" xfId="269" xr:uid="{00000000-0005-0000-0000-00000D010000}"/>
    <cellStyle name="Normal 14 9" xfId="270" xr:uid="{00000000-0005-0000-0000-00000E010000}"/>
    <cellStyle name="Normal 15" xfId="271" xr:uid="{00000000-0005-0000-0000-00000F010000}"/>
    <cellStyle name="Normal 16" xfId="272" xr:uid="{00000000-0005-0000-0000-000010010000}"/>
    <cellStyle name="Normal 17" xfId="273" xr:uid="{00000000-0005-0000-0000-000011010000}"/>
    <cellStyle name="Normal 17 2" xfId="274" xr:uid="{00000000-0005-0000-0000-000012010000}"/>
    <cellStyle name="Normal 17 3" xfId="275" xr:uid="{00000000-0005-0000-0000-000013010000}"/>
    <cellStyle name="Normal 17 4" xfId="276" xr:uid="{00000000-0005-0000-0000-000014010000}"/>
    <cellStyle name="Normal 17 5" xfId="277" xr:uid="{00000000-0005-0000-0000-000015010000}"/>
    <cellStyle name="Normal 18" xfId="278" xr:uid="{00000000-0005-0000-0000-000016010000}"/>
    <cellStyle name="Normal 19" xfId="279" xr:uid="{00000000-0005-0000-0000-000017010000}"/>
    <cellStyle name="Normal 2" xfId="280" xr:uid="{00000000-0005-0000-0000-000018010000}"/>
    <cellStyle name="Normal 2 10" xfId="281" xr:uid="{00000000-0005-0000-0000-000019010000}"/>
    <cellStyle name="Normal 2 11" xfId="282" xr:uid="{00000000-0005-0000-0000-00001A010000}"/>
    <cellStyle name="Normal 2 12" xfId="283" xr:uid="{00000000-0005-0000-0000-00001B010000}"/>
    <cellStyle name="Normal 2 13" xfId="284" xr:uid="{00000000-0005-0000-0000-00001C010000}"/>
    <cellStyle name="Normal 2 14" xfId="285" xr:uid="{00000000-0005-0000-0000-00001D010000}"/>
    <cellStyle name="Normal 2 15" xfId="286" xr:uid="{00000000-0005-0000-0000-00001E010000}"/>
    <cellStyle name="Normal 2 16" xfId="287" xr:uid="{00000000-0005-0000-0000-00001F010000}"/>
    <cellStyle name="Normal 2 17" xfId="288" xr:uid="{00000000-0005-0000-0000-000020010000}"/>
    <cellStyle name="Normal 2 18" xfId="289" xr:uid="{00000000-0005-0000-0000-000021010000}"/>
    <cellStyle name="Normal 2 19" xfId="290" xr:uid="{00000000-0005-0000-0000-000022010000}"/>
    <cellStyle name="Normal 2 2" xfId="291" xr:uid="{00000000-0005-0000-0000-000023010000}"/>
    <cellStyle name="Normal 2 20" xfId="292" xr:uid="{00000000-0005-0000-0000-000024010000}"/>
    <cellStyle name="Normal 2 3" xfId="293" xr:uid="{00000000-0005-0000-0000-000025010000}"/>
    <cellStyle name="Normal 2 4" xfId="294" xr:uid="{00000000-0005-0000-0000-000026010000}"/>
    <cellStyle name="Normal 2 5" xfId="295" xr:uid="{00000000-0005-0000-0000-000027010000}"/>
    <cellStyle name="Normal 2 6" xfId="296" xr:uid="{00000000-0005-0000-0000-000028010000}"/>
    <cellStyle name="Normal 2 7" xfId="297" xr:uid="{00000000-0005-0000-0000-000029010000}"/>
    <cellStyle name="Normal 2 8" xfId="298" xr:uid="{00000000-0005-0000-0000-00002A010000}"/>
    <cellStyle name="Normal 2 9" xfId="299" xr:uid="{00000000-0005-0000-0000-00002B010000}"/>
    <cellStyle name="Normal 2_deposits mobilized" xfId="300" xr:uid="{00000000-0005-0000-0000-00002C010000}"/>
    <cellStyle name="Normal 20" xfId="301" xr:uid="{00000000-0005-0000-0000-00002D010000}"/>
    <cellStyle name="Normal 21" xfId="302" xr:uid="{00000000-0005-0000-0000-00002E010000}"/>
    <cellStyle name="Normal 21 10" xfId="303" xr:uid="{00000000-0005-0000-0000-00002F010000}"/>
    <cellStyle name="Normal 21 11" xfId="304" xr:uid="{00000000-0005-0000-0000-000030010000}"/>
    <cellStyle name="Normal 21 12" xfId="305" xr:uid="{00000000-0005-0000-0000-000031010000}"/>
    <cellStyle name="Normal 21 13" xfId="306" xr:uid="{00000000-0005-0000-0000-000032010000}"/>
    <cellStyle name="Normal 21 14" xfId="307" xr:uid="{00000000-0005-0000-0000-000033010000}"/>
    <cellStyle name="Normal 21 15" xfId="308" xr:uid="{00000000-0005-0000-0000-000034010000}"/>
    <cellStyle name="Normal 21 16" xfId="309" xr:uid="{00000000-0005-0000-0000-000035010000}"/>
    <cellStyle name="Normal 21 2" xfId="310" xr:uid="{00000000-0005-0000-0000-000036010000}"/>
    <cellStyle name="Normal 21 3" xfId="311" xr:uid="{00000000-0005-0000-0000-000037010000}"/>
    <cellStyle name="Normal 21 4" xfId="312" xr:uid="{00000000-0005-0000-0000-000038010000}"/>
    <cellStyle name="Normal 21 5" xfId="313" xr:uid="{00000000-0005-0000-0000-000039010000}"/>
    <cellStyle name="Normal 21 6" xfId="314" xr:uid="{00000000-0005-0000-0000-00003A010000}"/>
    <cellStyle name="Normal 21 7" xfId="315" xr:uid="{00000000-0005-0000-0000-00003B010000}"/>
    <cellStyle name="Normal 21 8" xfId="316" xr:uid="{00000000-0005-0000-0000-00003C010000}"/>
    <cellStyle name="Normal 21 9" xfId="317" xr:uid="{00000000-0005-0000-0000-00003D010000}"/>
    <cellStyle name="Normal 22" xfId="318" xr:uid="{00000000-0005-0000-0000-00003E010000}"/>
    <cellStyle name="Normal 23" xfId="319" xr:uid="{00000000-0005-0000-0000-00003F010000}"/>
    <cellStyle name="Normal 26" xfId="320" xr:uid="{00000000-0005-0000-0000-000040010000}"/>
    <cellStyle name="Normal 27" xfId="321" xr:uid="{00000000-0005-0000-0000-000041010000}"/>
    <cellStyle name="Normal 3" xfId="322" xr:uid="{00000000-0005-0000-0000-000042010000}"/>
    <cellStyle name="Normal 3 10" xfId="323" xr:uid="{00000000-0005-0000-0000-000043010000}"/>
    <cellStyle name="Normal 3 11" xfId="324" xr:uid="{00000000-0005-0000-0000-000044010000}"/>
    <cellStyle name="Normal 3 12" xfId="325" xr:uid="{00000000-0005-0000-0000-000045010000}"/>
    <cellStyle name="Normal 3 13" xfId="326" xr:uid="{00000000-0005-0000-0000-000046010000}"/>
    <cellStyle name="Normal 3 14" xfId="327" xr:uid="{00000000-0005-0000-0000-000047010000}"/>
    <cellStyle name="Normal 3 15" xfId="328" xr:uid="{00000000-0005-0000-0000-000048010000}"/>
    <cellStyle name="Normal 3 16" xfId="329" xr:uid="{00000000-0005-0000-0000-000049010000}"/>
    <cellStyle name="Normal 3 17" xfId="330" xr:uid="{00000000-0005-0000-0000-00004A010000}"/>
    <cellStyle name="Normal 3 18" xfId="331" xr:uid="{00000000-0005-0000-0000-00004B010000}"/>
    <cellStyle name="Normal 3 19" xfId="332" xr:uid="{00000000-0005-0000-0000-00004C010000}"/>
    <cellStyle name="Normal 3 2" xfId="333" xr:uid="{00000000-0005-0000-0000-00004D010000}"/>
    <cellStyle name="Normal 3 20" xfId="334" xr:uid="{00000000-0005-0000-0000-00004E010000}"/>
    <cellStyle name="Normal 3 21" xfId="335" xr:uid="{00000000-0005-0000-0000-00004F010000}"/>
    <cellStyle name="Normal 3 22" xfId="336" xr:uid="{00000000-0005-0000-0000-000050010000}"/>
    <cellStyle name="Normal 3 23" xfId="337" xr:uid="{00000000-0005-0000-0000-000051010000}"/>
    <cellStyle name="Normal 3 24" xfId="338" xr:uid="{00000000-0005-0000-0000-000052010000}"/>
    <cellStyle name="Normal 3 25" xfId="339" xr:uid="{00000000-0005-0000-0000-000053010000}"/>
    <cellStyle name="Normal 3 26" xfId="340" xr:uid="{00000000-0005-0000-0000-000054010000}"/>
    <cellStyle name="Normal 3 27" xfId="341" xr:uid="{00000000-0005-0000-0000-000055010000}"/>
    <cellStyle name="Normal 3 28" xfId="342" xr:uid="{00000000-0005-0000-0000-000056010000}"/>
    <cellStyle name="Normal 3 29" xfId="343" xr:uid="{00000000-0005-0000-0000-000057010000}"/>
    <cellStyle name="Normal 3 3" xfId="344" xr:uid="{00000000-0005-0000-0000-000058010000}"/>
    <cellStyle name="Normal 3 30" xfId="345" xr:uid="{00000000-0005-0000-0000-000059010000}"/>
    <cellStyle name="Normal 3 4" xfId="346" xr:uid="{00000000-0005-0000-0000-00005A010000}"/>
    <cellStyle name="Normal 3 5" xfId="347" xr:uid="{00000000-0005-0000-0000-00005B010000}"/>
    <cellStyle name="Normal 3 6" xfId="348" xr:uid="{00000000-0005-0000-0000-00005C010000}"/>
    <cellStyle name="Normal 3 7" xfId="349" xr:uid="{00000000-0005-0000-0000-00005D010000}"/>
    <cellStyle name="Normal 3 8" xfId="350" xr:uid="{00000000-0005-0000-0000-00005E010000}"/>
    <cellStyle name="Normal 3 9" xfId="351" xr:uid="{00000000-0005-0000-0000-00005F010000}"/>
    <cellStyle name="Normal 3_deposits mobilized" xfId="352" xr:uid="{00000000-0005-0000-0000-000060010000}"/>
    <cellStyle name="Normal 4" xfId="353" xr:uid="{00000000-0005-0000-0000-000061010000}"/>
    <cellStyle name="Normal 4 10" xfId="354" xr:uid="{00000000-0005-0000-0000-000062010000}"/>
    <cellStyle name="Normal 4 11" xfId="355" xr:uid="{00000000-0005-0000-0000-000063010000}"/>
    <cellStyle name="Normal 4 12" xfId="356" xr:uid="{00000000-0005-0000-0000-000064010000}"/>
    <cellStyle name="Normal 4 13" xfId="357" xr:uid="{00000000-0005-0000-0000-000065010000}"/>
    <cellStyle name="Normal 4 14" xfId="358" xr:uid="{00000000-0005-0000-0000-000066010000}"/>
    <cellStyle name="Normal 4 15" xfId="359" xr:uid="{00000000-0005-0000-0000-000067010000}"/>
    <cellStyle name="Normal 4 16" xfId="360" xr:uid="{00000000-0005-0000-0000-000068010000}"/>
    <cellStyle name="Normal 4 17" xfId="361" xr:uid="{00000000-0005-0000-0000-000069010000}"/>
    <cellStyle name="Normal 4 18" xfId="362" xr:uid="{00000000-0005-0000-0000-00006A010000}"/>
    <cellStyle name="Normal 4 19" xfId="363" xr:uid="{00000000-0005-0000-0000-00006B010000}"/>
    <cellStyle name="Normal 4 2" xfId="364" xr:uid="{00000000-0005-0000-0000-00006C010000}"/>
    <cellStyle name="Normal 4 20" xfId="365" xr:uid="{00000000-0005-0000-0000-00006D010000}"/>
    <cellStyle name="Normal 4 21" xfId="366" xr:uid="{00000000-0005-0000-0000-00006E010000}"/>
    <cellStyle name="Normal 4 22" xfId="367" xr:uid="{00000000-0005-0000-0000-00006F010000}"/>
    <cellStyle name="Normal 4 23" xfId="368" xr:uid="{00000000-0005-0000-0000-000070010000}"/>
    <cellStyle name="Normal 4 24" xfId="369" xr:uid="{00000000-0005-0000-0000-000071010000}"/>
    <cellStyle name="Normal 4 25" xfId="370" xr:uid="{00000000-0005-0000-0000-000072010000}"/>
    <cellStyle name="Normal 4 26" xfId="371" xr:uid="{00000000-0005-0000-0000-000073010000}"/>
    <cellStyle name="Normal 4 27" xfId="372" xr:uid="{00000000-0005-0000-0000-000074010000}"/>
    <cellStyle name="Normal 4 28" xfId="373" xr:uid="{00000000-0005-0000-0000-000075010000}"/>
    <cellStyle name="Normal 4 29" xfId="374" xr:uid="{00000000-0005-0000-0000-000076010000}"/>
    <cellStyle name="Normal 4 3" xfId="375" xr:uid="{00000000-0005-0000-0000-000077010000}"/>
    <cellStyle name="Normal 4 30" xfId="376" xr:uid="{00000000-0005-0000-0000-000078010000}"/>
    <cellStyle name="Normal 4 4" xfId="377" xr:uid="{00000000-0005-0000-0000-000079010000}"/>
    <cellStyle name="Normal 4 5" xfId="378" xr:uid="{00000000-0005-0000-0000-00007A010000}"/>
    <cellStyle name="Normal 4 6" xfId="379" xr:uid="{00000000-0005-0000-0000-00007B010000}"/>
    <cellStyle name="Normal 4 7" xfId="380" xr:uid="{00000000-0005-0000-0000-00007C010000}"/>
    <cellStyle name="Normal 4 8" xfId="381" xr:uid="{00000000-0005-0000-0000-00007D010000}"/>
    <cellStyle name="Normal 4 9" xfId="382" xr:uid="{00000000-0005-0000-0000-00007E010000}"/>
    <cellStyle name="Normal 5" xfId="383" xr:uid="{00000000-0005-0000-0000-00007F010000}"/>
    <cellStyle name="Normal 5 10" xfId="384" xr:uid="{00000000-0005-0000-0000-000080010000}"/>
    <cellStyle name="Normal 5 11" xfId="385" xr:uid="{00000000-0005-0000-0000-000081010000}"/>
    <cellStyle name="Normal 5 12" xfId="386" xr:uid="{00000000-0005-0000-0000-000082010000}"/>
    <cellStyle name="Normal 5 13" xfId="387" xr:uid="{00000000-0005-0000-0000-000083010000}"/>
    <cellStyle name="Normal 5 14" xfId="388" xr:uid="{00000000-0005-0000-0000-000084010000}"/>
    <cellStyle name="Normal 5 15" xfId="389" xr:uid="{00000000-0005-0000-0000-000085010000}"/>
    <cellStyle name="Normal 5 2" xfId="390" xr:uid="{00000000-0005-0000-0000-000086010000}"/>
    <cellStyle name="Normal 5 3" xfId="391" xr:uid="{00000000-0005-0000-0000-000087010000}"/>
    <cellStyle name="Normal 5 4" xfId="392" xr:uid="{00000000-0005-0000-0000-000088010000}"/>
    <cellStyle name="Normal 5 5" xfId="393" xr:uid="{00000000-0005-0000-0000-000089010000}"/>
    <cellStyle name="Normal 5 6" xfId="394" xr:uid="{00000000-0005-0000-0000-00008A010000}"/>
    <cellStyle name="Normal 5 7" xfId="395" xr:uid="{00000000-0005-0000-0000-00008B010000}"/>
    <cellStyle name="Normal 5 8" xfId="396" xr:uid="{00000000-0005-0000-0000-00008C010000}"/>
    <cellStyle name="Normal 5 9" xfId="397" xr:uid="{00000000-0005-0000-0000-00008D010000}"/>
    <cellStyle name="Normal 6" xfId="398" xr:uid="{00000000-0005-0000-0000-00008E010000}"/>
    <cellStyle name="Normal 6 2" xfId="399" xr:uid="{00000000-0005-0000-0000-00008F010000}"/>
    <cellStyle name="Normal 6 3" xfId="400" xr:uid="{00000000-0005-0000-0000-000090010000}"/>
    <cellStyle name="Normal 6 4" xfId="401" xr:uid="{00000000-0005-0000-0000-000091010000}"/>
    <cellStyle name="Normal 7" xfId="402" xr:uid="{00000000-0005-0000-0000-000092010000}"/>
    <cellStyle name="Normal 7 2" xfId="403" xr:uid="{00000000-0005-0000-0000-000093010000}"/>
    <cellStyle name="Normal 7 3" xfId="404" xr:uid="{00000000-0005-0000-0000-000094010000}"/>
    <cellStyle name="Normal 7 4" xfId="405" xr:uid="{00000000-0005-0000-0000-000095010000}"/>
    <cellStyle name="Normal 7 5" xfId="406" xr:uid="{00000000-0005-0000-0000-000096010000}"/>
    <cellStyle name="Normal 8" xfId="407" xr:uid="{00000000-0005-0000-0000-000097010000}"/>
    <cellStyle name="Normal 9" xfId="408" xr:uid="{00000000-0005-0000-0000-000098010000}"/>
    <cellStyle name="Normal 9 10" xfId="409" xr:uid="{00000000-0005-0000-0000-000099010000}"/>
    <cellStyle name="Normal 9 11" xfId="410" xr:uid="{00000000-0005-0000-0000-00009A010000}"/>
    <cellStyle name="Normal 9 12" xfId="411" xr:uid="{00000000-0005-0000-0000-00009B010000}"/>
    <cellStyle name="Normal 9 13" xfId="412" xr:uid="{00000000-0005-0000-0000-00009C010000}"/>
    <cellStyle name="Normal 9 14" xfId="413" xr:uid="{00000000-0005-0000-0000-00009D010000}"/>
    <cellStyle name="Normal 9 2" xfId="414" xr:uid="{00000000-0005-0000-0000-00009E010000}"/>
    <cellStyle name="Normal 9 2 2" xfId="415" xr:uid="{00000000-0005-0000-0000-00009F010000}"/>
    <cellStyle name="Normal 9 2 3" xfId="416" xr:uid="{00000000-0005-0000-0000-0000A0010000}"/>
    <cellStyle name="Normal 9 2 4" xfId="417" xr:uid="{00000000-0005-0000-0000-0000A1010000}"/>
    <cellStyle name="Normal 9 3" xfId="418" xr:uid="{00000000-0005-0000-0000-0000A2010000}"/>
    <cellStyle name="Normal 9 4" xfId="419" xr:uid="{00000000-0005-0000-0000-0000A3010000}"/>
    <cellStyle name="Normal 9 5" xfId="420" xr:uid="{00000000-0005-0000-0000-0000A4010000}"/>
    <cellStyle name="Normal 9 6" xfId="421" xr:uid="{00000000-0005-0000-0000-0000A5010000}"/>
    <cellStyle name="Normal 9 7" xfId="422" xr:uid="{00000000-0005-0000-0000-0000A6010000}"/>
    <cellStyle name="Normal 9 8" xfId="423" xr:uid="{00000000-0005-0000-0000-0000A7010000}"/>
    <cellStyle name="Normal 9 9" xfId="424" xr:uid="{00000000-0005-0000-0000-0000A8010000}"/>
    <cellStyle name="Note 2" xfId="425" xr:uid="{00000000-0005-0000-0000-0000A9010000}"/>
    <cellStyle name="Per cent" xfId="426" builtinId="5"/>
    <cellStyle name="Percent 2" xfId="427" xr:uid="{00000000-0005-0000-0000-0000AB010000}"/>
    <cellStyle name="Percent 2 2" xfId="428" xr:uid="{00000000-0005-0000-0000-0000AC010000}"/>
    <cellStyle name="Percent 3" xfId="429" xr:uid="{00000000-0005-0000-0000-0000AD010000}"/>
    <cellStyle name="Total 2" xfId="430" xr:uid="{00000000-0005-0000-0000-0000AE010000}"/>
    <cellStyle name="Total 2 2" xfId="431" xr:uid="{00000000-0005-0000-0000-0000A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kamwaro/AppData/Local/Temp/Temp1_RE_%20ACCOUNTS%20DRAFT-CONCERNS%20(1).zip/Strategic%20DT%20Sacco%20ltd%202022%20Audited%20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Returns/Wananchi%20Sacco-%20Monthly%20Returns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cco Info"/>
      <sheetName val="mgt report"/>
      <sheetName val="statistical"/>
      <sheetName val="mgt"/>
      <sheetName val="Income"/>
      <sheetName val="B sheet"/>
      <sheetName val="S CE"/>
      <sheetName val="Cashflow "/>
      <sheetName val="Note 1a-d"/>
      <sheetName val="Note 1b"/>
      <sheetName val="Note 1h"/>
      <sheetName val="N2-4"/>
      <sheetName val="N5"/>
      <sheetName val="Note 5-6"/>
      <sheetName val="Note 7"/>
      <sheetName val="note 8-10"/>
      <sheetName val="N10-11"/>
      <sheetName val="Note 12 - 13"/>
      <sheetName val="N14-17"/>
      <sheetName val="N18-19"/>
      <sheetName val="N20"/>
      <sheetName val="N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8">
          <cell r="C38">
            <v>17630094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ELS"/>
      <sheetName val="Sheet1"/>
      <sheetName val="Financials"/>
      <sheetName val="CAELS Rating"/>
      <sheetName val="Compliance Status"/>
      <sheetName val="CashFlow Stmnt"/>
      <sheetName val="FORM 4"/>
      <sheetName val="DEC 2020 PERFORMANCE REPORT"/>
      <sheetName val="Evolutive SFP"/>
      <sheetName val="Evolutitve SCI"/>
      <sheetName val="June Performance Report"/>
      <sheetName val="Sept perfomance report"/>
      <sheetName val="march 2020 performance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B7">
            <v>13400392</v>
          </cell>
          <cell r="C7">
            <v>33675967</v>
          </cell>
          <cell r="D7">
            <v>57792330.380000003</v>
          </cell>
          <cell r="E7">
            <v>59825625.43</v>
          </cell>
          <cell r="F7">
            <v>63306984.299999997</v>
          </cell>
          <cell r="G7">
            <v>57783899.579999998</v>
          </cell>
          <cell r="H7">
            <v>56778136.700000003</v>
          </cell>
          <cell r="I7">
            <v>53982137.520000003</v>
          </cell>
          <cell r="J7">
            <v>48227457.270000003</v>
          </cell>
          <cell r="K7">
            <v>46803470.219999999</v>
          </cell>
          <cell r="L7">
            <v>45410735.68</v>
          </cell>
          <cell r="M7">
            <v>43995364.670000002</v>
          </cell>
          <cell r="N7">
            <v>43384719.659999996</v>
          </cell>
          <cell r="O7">
            <v>43391660.509999998</v>
          </cell>
          <cell r="P7">
            <v>23850402</v>
          </cell>
          <cell r="Q7">
            <v>47921955.850000001</v>
          </cell>
          <cell r="R7">
            <v>51082653.07</v>
          </cell>
          <cell r="S7">
            <v>51563661.649999999</v>
          </cell>
          <cell r="T7">
            <v>51398380.439999998</v>
          </cell>
          <cell r="U7">
            <v>43978623.890000001</v>
          </cell>
          <cell r="V7">
            <v>42817232.5</v>
          </cell>
          <cell r="W7">
            <v>41620418.799999997</v>
          </cell>
          <cell r="X7">
            <v>40267974.090000004</v>
          </cell>
          <cell r="Y7">
            <v>40192889.340000004</v>
          </cell>
          <cell r="Z7">
            <v>40101571.350000001</v>
          </cell>
          <cell r="AA7">
            <v>49215178.509999998</v>
          </cell>
          <cell r="AB7">
            <v>47907968.850000001</v>
          </cell>
          <cell r="AC7">
            <v>17079291</v>
          </cell>
          <cell r="AD7">
            <v>46827532.509999998</v>
          </cell>
          <cell r="AE7">
            <v>47512528.93</v>
          </cell>
          <cell r="AF7">
            <v>46284044.829999998</v>
          </cell>
          <cell r="AG7">
            <v>44952524.770000003</v>
          </cell>
          <cell r="AH7">
            <v>44205077.890000001</v>
          </cell>
          <cell r="AI7">
            <v>43487503.270000003</v>
          </cell>
          <cell r="AJ7">
            <v>84199623.760000005</v>
          </cell>
          <cell r="AK7">
            <v>45885177.649999999</v>
          </cell>
          <cell r="AL7">
            <v>41636902.600000001</v>
          </cell>
          <cell r="AM7">
            <v>42531385.600000001</v>
          </cell>
          <cell r="AN7">
            <v>52142129.659999996</v>
          </cell>
          <cell r="AO7">
            <v>21305384</v>
          </cell>
          <cell r="AP7">
            <v>45862256.579999998</v>
          </cell>
          <cell r="AQ7">
            <v>47119769.710000001</v>
          </cell>
          <cell r="AR7">
            <v>46811425.579999998</v>
          </cell>
          <cell r="AS7">
            <v>47788110.039999999</v>
          </cell>
          <cell r="AT7">
            <v>45954032.210000001</v>
          </cell>
          <cell r="AU7">
            <v>45590267.32</v>
          </cell>
          <cell r="AV7">
            <v>46224425.590000004</v>
          </cell>
          <cell r="AW7">
            <v>46801125.509999998</v>
          </cell>
          <cell r="AX7">
            <v>44675574.939999998</v>
          </cell>
          <cell r="AY7">
            <v>42564364.82</v>
          </cell>
          <cell r="AZ7">
            <v>45732474.899999999</v>
          </cell>
          <cell r="BA7">
            <v>55232865.439999998</v>
          </cell>
          <cell r="BB7">
            <v>135644604</v>
          </cell>
          <cell r="BC7">
            <v>58356035.479999997</v>
          </cell>
          <cell r="BD7">
            <v>55923611.979999997</v>
          </cell>
          <cell r="BE7">
            <v>55493631.479999997</v>
          </cell>
          <cell r="BF7">
            <v>54618963.829999998</v>
          </cell>
          <cell r="BG7">
            <v>53940351.390000001</v>
          </cell>
          <cell r="BH7">
            <v>53846481.43</v>
          </cell>
          <cell r="BI7">
            <v>52726225.450000003</v>
          </cell>
          <cell r="BJ7">
            <v>51602870.719999999</v>
          </cell>
          <cell r="BK7">
            <v>41951832.950000003</v>
          </cell>
          <cell r="BL7">
            <v>45755008.469999999</v>
          </cell>
          <cell r="BM7">
            <v>45995273.329999998</v>
          </cell>
          <cell r="BN7">
            <v>43944403.880000003</v>
          </cell>
          <cell r="BO7"/>
        </row>
        <row r="10">
          <cell r="B10"/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/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/>
        </row>
        <row r="11">
          <cell r="B11"/>
          <cell r="C11">
            <v>12538388</v>
          </cell>
          <cell r="D11"/>
          <cell r="E11"/>
          <cell r="F11"/>
          <cell r="G11"/>
          <cell r="H11"/>
          <cell r="I11"/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44751922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252130090</v>
          </cell>
          <cell r="AD11">
            <v>277180090.27999997</v>
          </cell>
          <cell r="AE11">
            <v>187230090.28</v>
          </cell>
          <cell r="AF11">
            <v>237330090.28</v>
          </cell>
          <cell r="AG11">
            <v>257330090.28</v>
          </cell>
          <cell r="AH11">
            <v>307380090.27999997</v>
          </cell>
          <cell r="AI11">
            <v>357441696.62</v>
          </cell>
          <cell r="AJ11">
            <v>615107413.96000004</v>
          </cell>
          <cell r="AK11">
            <v>357603706.98000002</v>
          </cell>
          <cell r="AL11">
            <v>332603706.98000002</v>
          </cell>
          <cell r="AM11">
            <v>384720302.48000002</v>
          </cell>
          <cell r="AN11">
            <v>484770302.48000002</v>
          </cell>
          <cell r="AO11">
            <v>430232742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/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/>
        </row>
        <row r="13">
          <cell r="B13">
            <v>472260</v>
          </cell>
          <cell r="C13">
            <v>32948533</v>
          </cell>
          <cell r="D13">
            <v>48835388.43</v>
          </cell>
          <cell r="E13">
            <v>48885388.43</v>
          </cell>
          <cell r="F13">
            <v>48935388.43</v>
          </cell>
          <cell r="G13">
            <v>48985388.43</v>
          </cell>
          <cell r="H13">
            <v>49035388.43</v>
          </cell>
          <cell r="I13">
            <v>49085388.43</v>
          </cell>
          <cell r="J13">
            <v>49135388.43</v>
          </cell>
          <cell r="K13">
            <v>49385388.43</v>
          </cell>
          <cell r="L13">
            <v>49435388.43</v>
          </cell>
          <cell r="M13">
            <v>49485388.43</v>
          </cell>
          <cell r="N13">
            <v>339535388.43000001</v>
          </cell>
          <cell r="O13">
            <v>389627444.74000001</v>
          </cell>
          <cell r="P13">
            <v>935000</v>
          </cell>
          <cell r="Q13">
            <v>239627444.74000001</v>
          </cell>
          <cell r="R13">
            <v>199677444.74000001</v>
          </cell>
          <cell r="S13">
            <v>199727444.74000001</v>
          </cell>
          <cell r="T13">
            <v>199827444.74000001</v>
          </cell>
          <cell r="U13">
            <v>206575084.74000001</v>
          </cell>
          <cell r="V13">
            <v>226625084.74000001</v>
          </cell>
          <cell r="W13">
            <v>226575084.74000001</v>
          </cell>
          <cell r="X13">
            <v>226625084.74000001</v>
          </cell>
          <cell r="Y13">
            <v>226675084.74000001</v>
          </cell>
          <cell r="Z13">
            <v>549037993.24000001</v>
          </cell>
          <cell r="AA13">
            <v>588901390.77999997</v>
          </cell>
          <cell r="AB13">
            <v>606020528.87</v>
          </cell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>
            <v>935000</v>
          </cell>
          <cell r="AP13">
            <v>434845965.20999998</v>
          </cell>
          <cell r="AQ13">
            <v>434895965.20999998</v>
          </cell>
          <cell r="AR13">
            <v>439945965.20999998</v>
          </cell>
          <cell r="AS13">
            <v>409995965.20999998</v>
          </cell>
          <cell r="AT13">
            <v>400045965.20999998</v>
          </cell>
          <cell r="AU13">
            <v>400122507.25999999</v>
          </cell>
          <cell r="AV13">
            <v>350122507.25999999</v>
          </cell>
          <cell r="AW13">
            <v>400276474.06999999</v>
          </cell>
          <cell r="AX13">
            <v>380326474.06999999</v>
          </cell>
          <cell r="AY13">
            <v>310376474.06999999</v>
          </cell>
          <cell r="AZ13">
            <v>310376474.06999999</v>
          </cell>
          <cell r="BA13">
            <v>60476474.07</v>
          </cell>
          <cell r="BB13">
            <v>54537561</v>
          </cell>
          <cell r="BC13">
            <v>60476474.07</v>
          </cell>
          <cell r="BD13">
            <v>60526474.07</v>
          </cell>
          <cell r="BE13">
            <v>60576474.07</v>
          </cell>
          <cell r="BF13">
            <v>60676474.07</v>
          </cell>
          <cell r="BG13">
            <v>60726474.07</v>
          </cell>
          <cell r="BH13">
            <v>60806573.530000001</v>
          </cell>
          <cell r="BI13">
            <v>60856573.530000001</v>
          </cell>
          <cell r="BJ13">
            <v>60906573.530000001</v>
          </cell>
          <cell r="BK13">
            <v>60956573.530000001</v>
          </cell>
          <cell r="BL13">
            <v>61006573.530000001</v>
          </cell>
          <cell r="BM13">
            <v>61119478.43</v>
          </cell>
          <cell r="BN13">
            <v>61169478.43</v>
          </cell>
          <cell r="BO13"/>
        </row>
        <row r="14">
          <cell r="B14">
            <v>112905266</v>
          </cell>
          <cell r="C14">
            <v>685110959</v>
          </cell>
          <cell r="D14">
            <v>672566881.88999999</v>
          </cell>
          <cell r="E14">
            <v>673849166.5999999</v>
          </cell>
          <cell r="F14">
            <v>677628004.57999992</v>
          </cell>
          <cell r="G14">
            <v>678377070.57000005</v>
          </cell>
          <cell r="H14">
            <v>682267335.1500001</v>
          </cell>
          <cell r="I14">
            <v>682668361.53999996</v>
          </cell>
          <cell r="J14">
            <v>676223775.87</v>
          </cell>
          <cell r="K14">
            <v>673819468.60000002</v>
          </cell>
          <cell r="L14">
            <v>678451149.19000006</v>
          </cell>
          <cell r="M14">
            <v>512602227.41999996</v>
          </cell>
          <cell r="N14">
            <v>558996576.93000007</v>
          </cell>
          <cell r="O14">
            <v>578467516.33000004</v>
          </cell>
          <cell r="P14">
            <v>627967516</v>
          </cell>
          <cell r="Q14">
            <v>595868657.73000002</v>
          </cell>
          <cell r="R14">
            <v>619780266.39999998</v>
          </cell>
          <cell r="S14">
            <v>620977124.93999994</v>
          </cell>
          <cell r="T14">
            <v>622776537.63999999</v>
          </cell>
          <cell r="U14">
            <v>632271922.41999996</v>
          </cell>
          <cell r="V14">
            <v>622159904.50999999</v>
          </cell>
          <cell r="W14">
            <v>624088163.13000011</v>
          </cell>
          <cell r="X14">
            <v>638184802.01999998</v>
          </cell>
          <cell r="Y14">
            <v>647872602.8499999</v>
          </cell>
          <cell r="Z14">
            <v>187379675.84</v>
          </cell>
          <cell r="AA14">
            <v>187382238.84</v>
          </cell>
          <cell r="AB14">
            <v>163849196.50999999</v>
          </cell>
          <cell r="AC14">
            <v>653020530</v>
          </cell>
          <cell r="AD14">
            <v>620642309.44000006</v>
          </cell>
          <cell r="AE14">
            <v>623139830.22000003</v>
          </cell>
          <cell r="AF14">
            <v>627483868.50999999</v>
          </cell>
          <cell r="AG14">
            <v>617768669.22000003</v>
          </cell>
          <cell r="AH14">
            <v>608116852.81999993</v>
          </cell>
          <cell r="AI14">
            <v>607323442.12</v>
          </cell>
          <cell r="AJ14">
            <v>1229507079.1400001</v>
          </cell>
          <cell r="AK14">
            <v>627624130.81999993</v>
          </cell>
          <cell r="AL14">
            <v>538834648.62</v>
          </cell>
          <cell r="AM14">
            <v>579606528.29999995</v>
          </cell>
          <cell r="AN14">
            <v>591900325.82000005</v>
          </cell>
          <cell r="AO14">
            <v>635195558</v>
          </cell>
          <cell r="AP14">
            <v>594487368.42000008</v>
          </cell>
          <cell r="AQ14">
            <v>603909135.78999996</v>
          </cell>
          <cell r="AR14">
            <v>608678221.24000001</v>
          </cell>
          <cell r="AS14">
            <v>603786035.83000004</v>
          </cell>
          <cell r="AT14">
            <v>616552782.24000001</v>
          </cell>
          <cell r="AU14">
            <v>629704340.90999997</v>
          </cell>
          <cell r="AV14">
            <v>639287168.13</v>
          </cell>
          <cell r="AW14">
            <v>660365462.88999999</v>
          </cell>
          <cell r="AX14">
            <v>666042966.85000002</v>
          </cell>
          <cell r="AY14">
            <v>588061505.60000002</v>
          </cell>
          <cell r="AZ14">
            <v>626141705.76999998</v>
          </cell>
          <cell r="BA14">
            <v>644458806.98000002</v>
          </cell>
          <cell r="BB14">
            <v>571668726</v>
          </cell>
          <cell r="BC14">
            <v>655539406.21000004</v>
          </cell>
          <cell r="BD14">
            <v>545948792.97000003</v>
          </cell>
          <cell r="BE14">
            <v>544358233.1099999</v>
          </cell>
          <cell r="BF14">
            <v>545844518.15999997</v>
          </cell>
          <cell r="BG14">
            <v>544448333.01999998</v>
          </cell>
          <cell r="BH14">
            <v>555758423.6400001</v>
          </cell>
          <cell r="BI14">
            <v>499338001.74000001</v>
          </cell>
          <cell r="BJ14">
            <v>519476133.25</v>
          </cell>
          <cell r="BK14">
            <v>547038296.41000009</v>
          </cell>
          <cell r="BL14">
            <v>556972580.58999991</v>
          </cell>
          <cell r="BM14">
            <v>572871537.08000004</v>
          </cell>
          <cell r="BN14">
            <v>598390915.98000002</v>
          </cell>
          <cell r="BO14">
            <v>0</v>
          </cell>
        </row>
        <row r="15">
          <cell r="B15">
            <v>112905266</v>
          </cell>
          <cell r="C15">
            <v>832525078</v>
          </cell>
          <cell r="D15">
            <v>821899977.79999995</v>
          </cell>
          <cell r="E15">
            <v>825101613.66999996</v>
          </cell>
          <cell r="F15">
            <v>830799802.80999994</v>
          </cell>
          <cell r="G15">
            <v>833468219.96000004</v>
          </cell>
          <cell r="H15">
            <v>839278209.70000005</v>
          </cell>
          <cell r="I15">
            <v>841598587.25</v>
          </cell>
          <cell r="J15">
            <v>835154001.58000004</v>
          </cell>
          <cell r="K15">
            <v>836600646.63</v>
          </cell>
          <cell r="L15">
            <v>843151678.38</v>
          </cell>
          <cell r="M15">
            <v>679222107.76999998</v>
          </cell>
          <cell r="N15">
            <v>729455159.60000002</v>
          </cell>
          <cell r="O15">
            <v>742040870.32000005</v>
          </cell>
          <cell r="P15">
            <v>791540870</v>
          </cell>
          <cell r="Q15">
            <v>759442011.72000003</v>
          </cell>
          <cell r="R15">
            <v>783913689.25</v>
          </cell>
          <cell r="S15">
            <v>785670616.64999998</v>
          </cell>
          <cell r="T15">
            <v>789513847.00999999</v>
          </cell>
          <cell r="U15">
            <v>799798207.14999998</v>
          </cell>
          <cell r="V15">
            <v>797996164.53999996</v>
          </cell>
          <cell r="W15">
            <v>801968240.83000004</v>
          </cell>
          <cell r="X15">
            <v>816064879.72000003</v>
          </cell>
          <cell r="Y15">
            <v>827077008.04999995</v>
          </cell>
          <cell r="Z15">
            <v>187379675.84</v>
          </cell>
          <cell r="AA15">
            <v>187382238.84</v>
          </cell>
          <cell r="AB15">
            <v>163849196.50999999</v>
          </cell>
          <cell r="AC15">
            <v>816869727</v>
          </cell>
          <cell r="AD15">
            <v>785491505.95000005</v>
          </cell>
          <cell r="AE15">
            <v>790040444.40999997</v>
          </cell>
          <cell r="AF15">
            <v>796476215.38999999</v>
          </cell>
          <cell r="AG15">
            <v>788907626.88999999</v>
          </cell>
          <cell r="AH15">
            <v>781327508.67999995</v>
          </cell>
          <cell r="AI15">
            <v>782586804.65999997</v>
          </cell>
          <cell r="AJ15">
            <v>1588341935.9200001</v>
          </cell>
          <cell r="AK15">
            <v>809089876.88999999</v>
          </cell>
          <cell r="AL15">
            <v>724061278.88999999</v>
          </cell>
          <cell r="AM15">
            <v>755036109.05999994</v>
          </cell>
          <cell r="AN15">
            <v>766445318.70000005</v>
          </cell>
          <cell r="AO15">
            <v>810945319</v>
          </cell>
          <cell r="AP15">
            <v>771737893.21000004</v>
          </cell>
          <cell r="AQ15">
            <v>782477346.47000003</v>
          </cell>
          <cell r="AR15">
            <v>788289120.19000006</v>
          </cell>
          <cell r="AS15">
            <v>785444941.46000004</v>
          </cell>
          <cell r="AT15">
            <v>800416177.94000006</v>
          </cell>
          <cell r="AU15">
            <v>815623623.28999996</v>
          </cell>
          <cell r="AV15">
            <v>827249668.13</v>
          </cell>
          <cell r="AW15">
            <v>851274019.63</v>
          </cell>
          <cell r="AX15">
            <v>858987261.26999998</v>
          </cell>
          <cell r="AY15">
            <v>782842450.70000005</v>
          </cell>
          <cell r="AZ15">
            <v>822967568.54999995</v>
          </cell>
          <cell r="BA15">
            <v>830832172</v>
          </cell>
          <cell r="BB15">
            <v>758041891</v>
          </cell>
          <cell r="BC15">
            <v>843450261.76999998</v>
          </cell>
          <cell r="BD15">
            <v>735094990.26999998</v>
          </cell>
          <cell r="BE15">
            <v>735759323.17999995</v>
          </cell>
          <cell r="BF15">
            <v>738972982.00999999</v>
          </cell>
          <cell r="BG15">
            <v>739303391.60000002</v>
          </cell>
          <cell r="BH15">
            <v>754346534.34000003</v>
          </cell>
          <cell r="BI15">
            <v>702662755.75999999</v>
          </cell>
          <cell r="BJ15">
            <v>722800887.26999998</v>
          </cell>
          <cell r="BK15">
            <v>752433572.47000003</v>
          </cell>
          <cell r="BL15">
            <v>763817643.04999995</v>
          </cell>
          <cell r="BM15">
            <v>784759225.62</v>
          </cell>
          <cell r="BN15">
            <v>812066463.89999998</v>
          </cell>
          <cell r="BO15"/>
        </row>
        <row r="16">
          <cell r="B16"/>
          <cell r="C16">
            <v>147414119</v>
          </cell>
          <cell r="D16">
            <v>149333095.91</v>
          </cell>
          <cell r="E16">
            <v>151252447.06999999</v>
          </cell>
          <cell r="F16">
            <v>153171798.22999999</v>
          </cell>
          <cell r="G16">
            <v>155091149.38999999</v>
          </cell>
          <cell r="H16">
            <v>157010874.55000001</v>
          </cell>
          <cell r="I16">
            <v>158930225.71000001</v>
          </cell>
          <cell r="J16">
            <v>158930225.71000001</v>
          </cell>
          <cell r="K16">
            <v>162781178.03</v>
          </cell>
          <cell r="L16">
            <v>164700529.19</v>
          </cell>
          <cell r="M16">
            <v>166619880.34999999</v>
          </cell>
          <cell r="N16">
            <v>170458582.66999999</v>
          </cell>
          <cell r="O16">
            <v>163573353.99000001</v>
          </cell>
          <cell r="P16">
            <v>163573354</v>
          </cell>
          <cell r="Q16">
            <v>163573353.99000001</v>
          </cell>
          <cell r="R16">
            <v>164133422.84999999</v>
          </cell>
          <cell r="S16">
            <v>164693491.71000001</v>
          </cell>
          <cell r="T16">
            <v>166737309.37</v>
          </cell>
          <cell r="U16">
            <v>167526284.72999999</v>
          </cell>
          <cell r="V16">
            <v>175836260.03</v>
          </cell>
          <cell r="W16">
            <v>177880077.69999999</v>
          </cell>
          <cell r="X16">
            <v>177880077.69999999</v>
          </cell>
          <cell r="Y16">
            <v>179204405.19999999</v>
          </cell>
          <cell r="Z16">
            <v>0</v>
          </cell>
          <cell r="AA16">
            <v>0</v>
          </cell>
          <cell r="AB16">
            <v>0</v>
          </cell>
          <cell r="AC16">
            <v>163849197</v>
          </cell>
          <cell r="AD16">
            <v>164849196.50999999</v>
          </cell>
          <cell r="AE16">
            <v>166900614.19</v>
          </cell>
          <cell r="AF16">
            <v>168992346.88</v>
          </cell>
          <cell r="AG16">
            <v>171138957.66999999</v>
          </cell>
          <cell r="AH16">
            <v>173210655.86000001</v>
          </cell>
          <cell r="AI16">
            <v>175263362.53999999</v>
          </cell>
          <cell r="AJ16">
            <v>358834856.77999997</v>
          </cell>
          <cell r="AK16">
            <v>181465746.06999999</v>
          </cell>
          <cell r="AL16">
            <v>185226630.27000001</v>
          </cell>
          <cell r="AM16">
            <v>175429580.75999999</v>
          </cell>
          <cell r="AN16">
            <v>174544992.88</v>
          </cell>
          <cell r="AO16">
            <v>175749761</v>
          </cell>
          <cell r="AP16">
            <v>177250524.78999999</v>
          </cell>
          <cell r="AQ16">
            <v>178568210.68000001</v>
          </cell>
          <cell r="AR16">
            <v>179610898.94999999</v>
          </cell>
          <cell r="AS16">
            <v>181658905.63</v>
          </cell>
          <cell r="AT16">
            <v>183863395.69999999</v>
          </cell>
          <cell r="AU16">
            <v>185919282.38</v>
          </cell>
          <cell r="AV16">
            <v>187962500</v>
          </cell>
          <cell r="AW16">
            <v>190908556.74000001</v>
          </cell>
          <cell r="AX16">
            <v>192944294.41999999</v>
          </cell>
          <cell r="AY16">
            <v>194780945.09999999</v>
          </cell>
          <cell r="AZ16">
            <v>196825862.78</v>
          </cell>
          <cell r="BA16">
            <v>186373365.02000001</v>
          </cell>
          <cell r="BB16">
            <v>186373165</v>
          </cell>
          <cell r="BC16">
            <v>187910855.56</v>
          </cell>
          <cell r="BD16">
            <v>189146197.30000001</v>
          </cell>
          <cell r="BE16">
            <v>191401090.06999999</v>
          </cell>
          <cell r="BF16">
            <v>193128463.84999999</v>
          </cell>
          <cell r="BG16">
            <v>194855058.58000001</v>
          </cell>
          <cell r="BH16">
            <v>198588110.69999999</v>
          </cell>
          <cell r="BI16">
            <v>203324754.02000001</v>
          </cell>
          <cell r="BJ16">
            <v>203324754.02000001</v>
          </cell>
          <cell r="BK16">
            <v>205395276.06</v>
          </cell>
          <cell r="BL16">
            <v>206845062.46000001</v>
          </cell>
          <cell r="BM16">
            <v>211887688.53999999</v>
          </cell>
          <cell r="BN16">
            <v>213675547.91999999</v>
          </cell>
          <cell r="BO16"/>
        </row>
        <row r="21">
          <cell r="B21">
            <v>4874587</v>
          </cell>
          <cell r="C21">
            <v>74636034</v>
          </cell>
          <cell r="D21">
            <v>108073754.82999998</v>
          </cell>
          <cell r="E21">
            <v>103342661.86</v>
          </cell>
          <cell r="F21">
            <v>102837606.83</v>
          </cell>
          <cell r="G21">
            <v>100956336.83</v>
          </cell>
          <cell r="H21">
            <v>103595980.81999999</v>
          </cell>
          <cell r="I21">
            <v>94868992.019999996</v>
          </cell>
          <cell r="J21">
            <v>103217454</v>
          </cell>
          <cell r="K21">
            <v>95012464.399999991</v>
          </cell>
          <cell r="L21">
            <v>93424006.909999996</v>
          </cell>
          <cell r="M21">
            <v>234031494.97</v>
          </cell>
          <cell r="N21">
            <v>198233104.04000002</v>
          </cell>
          <cell r="O21">
            <v>102303730.72</v>
          </cell>
          <cell r="P21">
            <v>75196680</v>
          </cell>
          <cell r="Q21">
            <v>100614078.32000001</v>
          </cell>
          <cell r="R21">
            <v>96621424.560000002</v>
          </cell>
          <cell r="S21">
            <v>97993702.069999993</v>
          </cell>
          <cell r="T21">
            <v>103002372.25999999</v>
          </cell>
          <cell r="U21">
            <v>98809951.060000002</v>
          </cell>
          <cell r="V21">
            <v>74335972.770000011</v>
          </cell>
          <cell r="W21">
            <v>73663809.200000003</v>
          </cell>
          <cell r="X21">
            <v>74538414.210000008</v>
          </cell>
          <cell r="Y21">
            <v>74048731.359999999</v>
          </cell>
          <cell r="Z21">
            <v>1551803306.73</v>
          </cell>
          <cell r="AA21">
            <v>1378222145.72</v>
          </cell>
          <cell r="AB21">
            <v>1328829590.74</v>
          </cell>
          <cell r="AC21">
            <v>72519355</v>
          </cell>
          <cell r="AD21">
            <v>83871754.469999999</v>
          </cell>
          <cell r="AE21">
            <v>83372019.329999998</v>
          </cell>
          <cell r="AF21">
            <v>80966507.75</v>
          </cell>
          <cell r="AG21">
            <v>69814919.539999992</v>
          </cell>
          <cell r="AH21">
            <v>80497018.180000007</v>
          </cell>
          <cell r="AI21">
            <v>82084567.090000004</v>
          </cell>
          <cell r="AJ21">
            <v>161824318.75999999</v>
          </cell>
          <cell r="AK21">
            <v>80331842.890000001</v>
          </cell>
          <cell r="AL21">
            <v>183422264.57999998</v>
          </cell>
          <cell r="AM21">
            <v>82570105.379999995</v>
          </cell>
          <cell r="AN21">
            <v>77354117.25</v>
          </cell>
          <cell r="AO21">
            <v>69889398</v>
          </cell>
          <cell r="AP21">
            <v>81320401.299999997</v>
          </cell>
          <cell r="AQ21">
            <v>82907851.969999999</v>
          </cell>
          <cell r="AR21">
            <v>82255177.460000008</v>
          </cell>
          <cell r="AS21">
            <v>81484756.74000001</v>
          </cell>
          <cell r="AT21">
            <v>80909597.150000006</v>
          </cell>
          <cell r="AU21">
            <v>82534221.080000013</v>
          </cell>
          <cell r="AV21">
            <v>81970889.629999995</v>
          </cell>
          <cell r="AW21">
            <v>79980202.950000003</v>
          </cell>
          <cell r="AX21">
            <v>89607389.289999992</v>
          </cell>
          <cell r="AY21">
            <v>181625538.23000002</v>
          </cell>
          <cell r="AZ21">
            <v>237230715.80000001</v>
          </cell>
          <cell r="BA21">
            <v>95299902.699999988</v>
          </cell>
          <cell r="BB21">
            <v>92572456</v>
          </cell>
          <cell r="BC21">
            <v>95845807.86999999</v>
          </cell>
          <cell r="BD21">
            <v>222614571.14999998</v>
          </cell>
          <cell r="BE21">
            <v>222492183.85999998</v>
          </cell>
          <cell r="BF21">
            <v>226814555.73000002</v>
          </cell>
          <cell r="BG21">
            <v>228608118.02000001</v>
          </cell>
          <cell r="BH21">
            <v>229203799.72999999</v>
          </cell>
          <cell r="BI21">
            <v>310694414.89999998</v>
          </cell>
          <cell r="BJ21">
            <v>246353899.38</v>
          </cell>
          <cell r="BK21">
            <v>239492773.75999999</v>
          </cell>
          <cell r="BL21">
            <v>237765568.65000001</v>
          </cell>
          <cell r="BM21">
            <v>243196786.68000001</v>
          </cell>
          <cell r="BN21">
            <v>261645676.85999998</v>
          </cell>
          <cell r="BO21">
            <v>0</v>
          </cell>
        </row>
        <row r="23">
          <cell r="B23">
            <v>4123114</v>
          </cell>
          <cell r="C23">
            <v>67228532</v>
          </cell>
          <cell r="D23">
            <v>16506537.95999998</v>
          </cell>
          <cell r="E23">
            <v>26113022.849999994</v>
          </cell>
          <cell r="F23">
            <v>25596867.849999994</v>
          </cell>
          <cell r="G23">
            <v>25080712.849999994</v>
          </cell>
          <cell r="H23">
            <v>26464471.849999994</v>
          </cell>
          <cell r="I23">
            <v>26486316.849999994</v>
          </cell>
          <cell r="J23">
            <v>26483316.850000001</v>
          </cell>
          <cell r="K23">
            <v>25451006.850000001</v>
          </cell>
          <cell r="L23">
            <v>24934851.850000001</v>
          </cell>
          <cell r="M23">
            <v>24461161.600000001</v>
          </cell>
          <cell r="N23">
            <v>25614712.120000001</v>
          </cell>
          <cell r="O23">
            <v>25338887.120000001</v>
          </cell>
          <cell r="P23">
            <v>67832698</v>
          </cell>
          <cell r="Q23">
            <v>25488887.120000001</v>
          </cell>
          <cell r="R23">
            <v>24874196.27</v>
          </cell>
          <cell r="S23">
            <v>24874196.27</v>
          </cell>
          <cell r="T23">
            <v>25822093.27</v>
          </cell>
          <cell r="U23">
            <v>25822093.27</v>
          </cell>
          <cell r="V23">
            <v>24004439.210000001</v>
          </cell>
          <cell r="W23">
            <v>23670653.210000001</v>
          </cell>
          <cell r="X23">
            <v>23780448.399999999</v>
          </cell>
          <cell r="Y23">
            <v>23290976.550000001</v>
          </cell>
          <cell r="Z23">
            <v>0</v>
          </cell>
          <cell r="AA23">
            <v>0</v>
          </cell>
          <cell r="AB23">
            <v>0</v>
          </cell>
          <cell r="AC23">
            <v>66854836</v>
          </cell>
          <cell r="AD23">
            <v>22740843.120000001</v>
          </cell>
          <cell r="AE23">
            <v>25700265.530000001</v>
          </cell>
          <cell r="AF23">
            <v>25235438.949999999</v>
          </cell>
          <cell r="AG23">
            <v>23531332.350000001</v>
          </cell>
          <cell r="AH23">
            <v>23022090.760000002</v>
          </cell>
          <cell r="AI23">
            <v>24631959.170000002</v>
          </cell>
          <cell r="AJ23">
            <v>47226351.979999997</v>
          </cell>
          <cell r="AK23">
            <v>23103784.399999999</v>
          </cell>
          <cell r="AL23">
            <v>22245959.629999999</v>
          </cell>
          <cell r="AM23">
            <v>22245959.629999999</v>
          </cell>
          <cell r="AN23">
            <v>22751002.829999998</v>
          </cell>
          <cell r="AO23">
            <v>64842765</v>
          </cell>
          <cell r="AP23">
            <v>23992331.059999999</v>
          </cell>
          <cell r="AQ23">
            <v>24641986.120000001</v>
          </cell>
          <cell r="AR23">
            <v>23921986.120000001</v>
          </cell>
          <cell r="AS23">
            <v>23412594.530000001</v>
          </cell>
          <cell r="AT23">
            <v>24037331.280000001</v>
          </cell>
          <cell r="AU23">
            <v>25713555.210000001</v>
          </cell>
          <cell r="AV23">
            <v>25209163.620000001</v>
          </cell>
          <cell r="AW23">
            <v>24699772.030000001</v>
          </cell>
          <cell r="AX23">
            <v>24306830.440000001</v>
          </cell>
          <cell r="AY23">
            <v>24029438.850000001</v>
          </cell>
          <cell r="AZ23">
            <v>24200769.190000001</v>
          </cell>
          <cell r="BA23">
            <v>23349717.57</v>
          </cell>
          <cell r="BB23">
            <v>86313178</v>
          </cell>
          <cell r="BC23">
            <v>23050892.739999998</v>
          </cell>
          <cell r="BD23">
            <v>22633452.940000001</v>
          </cell>
          <cell r="BE23">
            <v>23492235.809999999</v>
          </cell>
          <cell r="BF23">
            <v>23275519.309999999</v>
          </cell>
          <cell r="BG23">
            <v>23163747.98</v>
          </cell>
          <cell r="BH23">
            <v>22815423.149999999</v>
          </cell>
          <cell r="BI23">
            <v>22428857.32</v>
          </cell>
          <cell r="BJ23">
            <v>22750343.82</v>
          </cell>
          <cell r="BK23">
            <v>22600119.82</v>
          </cell>
          <cell r="BL23">
            <v>22246492.82</v>
          </cell>
          <cell r="BM23">
            <v>21662861.68</v>
          </cell>
          <cell r="BN23">
            <v>21822979.960000001</v>
          </cell>
          <cell r="BO23"/>
        </row>
        <row r="27">
          <cell r="B27">
            <v>151015729</v>
          </cell>
          <cell r="C27">
            <v>1148549670</v>
          </cell>
          <cell r="D27">
            <v>1115492114.8</v>
          </cell>
          <cell r="E27">
            <v>1097473603.8699999</v>
          </cell>
          <cell r="F27">
            <v>1075347312.01</v>
          </cell>
          <cell r="G27">
            <v>1137712140.6199999</v>
          </cell>
          <cell r="H27">
            <v>1132099697.5</v>
          </cell>
          <cell r="I27">
            <v>1143539808.75</v>
          </cell>
          <cell r="J27">
            <v>1132733199.52</v>
          </cell>
          <cell r="K27">
            <v>1122803347.75</v>
          </cell>
          <cell r="L27">
            <v>1110947024.8300002</v>
          </cell>
          <cell r="M27">
            <v>1471574579.5799997</v>
          </cell>
          <cell r="N27">
            <v>1340038318.8699999</v>
          </cell>
          <cell r="O27">
            <v>1271812614.7</v>
          </cell>
          <cell r="P27">
            <v>1274664305</v>
          </cell>
          <cell r="Q27">
            <v>1242608076.73</v>
          </cell>
          <cell r="R27">
            <v>1245660446.54</v>
          </cell>
          <cell r="S27">
            <v>1212962879.7899997</v>
          </cell>
          <cell r="T27">
            <v>1214202270.72</v>
          </cell>
          <cell r="U27">
            <v>1173621180.9299998</v>
          </cell>
          <cell r="V27">
            <v>1197421612.51</v>
          </cell>
          <cell r="W27">
            <v>1181707375.2200003</v>
          </cell>
          <cell r="X27">
            <v>1174627588.74</v>
          </cell>
          <cell r="Y27">
            <v>1176545077.05</v>
          </cell>
          <cell r="Z27">
            <v>2974140107.3800001</v>
          </cell>
          <cell r="AA27">
            <v>2813808172.1599998</v>
          </cell>
          <cell r="AB27">
            <v>2696433376.1500001</v>
          </cell>
          <cell r="AC27">
            <v>1292476096</v>
          </cell>
          <cell r="AD27">
            <v>1255145740.77</v>
          </cell>
          <cell r="AE27">
            <v>1248182133.99</v>
          </cell>
          <cell r="AF27">
            <v>1230432804.6500001</v>
          </cell>
          <cell r="AG27">
            <v>1255164086.24</v>
          </cell>
          <cell r="AH27">
            <v>1251561382.6499999</v>
          </cell>
          <cell r="AI27">
            <v>1265242789.5999999</v>
          </cell>
          <cell r="AJ27">
            <v>2518733084.3400002</v>
          </cell>
          <cell r="AK27">
            <v>1256646426.9300001</v>
          </cell>
          <cell r="AL27">
            <v>1490000780.6599998</v>
          </cell>
          <cell r="AM27">
            <v>1421587242.75</v>
          </cell>
          <cell r="AN27">
            <v>1362879984.7800002</v>
          </cell>
          <cell r="AO27">
            <v>1367873753</v>
          </cell>
          <cell r="AP27">
            <v>1344379229.03</v>
          </cell>
          <cell r="AQ27">
            <v>1344209164.22</v>
          </cell>
          <cell r="AR27">
            <v>1334356045.6199999</v>
          </cell>
          <cell r="AS27">
            <v>1369098114.8</v>
          </cell>
          <cell r="AT27">
            <v>1349478001.4400001</v>
          </cell>
          <cell r="AU27">
            <v>1345640991.71</v>
          </cell>
          <cell r="AV27">
            <v>1348653091.3000002</v>
          </cell>
          <cell r="AW27">
            <v>1332832167.2900002</v>
          </cell>
          <cell r="AX27">
            <v>1321064426.3200002</v>
          </cell>
          <cell r="AY27">
            <v>1403742642.7600002</v>
          </cell>
          <cell r="AZ27">
            <v>1415895179.26</v>
          </cell>
          <cell r="BA27">
            <v>1378250800.5400002</v>
          </cell>
          <cell r="BB27">
            <v>1384915572</v>
          </cell>
          <cell r="BC27">
            <v>1364233559.3199999</v>
          </cell>
          <cell r="BD27">
            <v>1353830620.2000003</v>
          </cell>
          <cell r="BE27">
            <v>1327401987.6599998</v>
          </cell>
          <cell r="BF27">
            <v>1353431194.01</v>
          </cell>
          <cell r="BG27">
            <v>1350418309.4200001</v>
          </cell>
          <cell r="BH27">
            <v>1357304122.5300002</v>
          </cell>
          <cell r="BI27">
            <v>1578408898.1900001</v>
          </cell>
          <cell r="BJ27">
            <v>1520693171.4299998</v>
          </cell>
          <cell r="BK27">
            <v>1469147025.72</v>
          </cell>
          <cell r="BL27">
            <v>1452709669.6100001</v>
          </cell>
          <cell r="BM27">
            <v>1429829218.0600002</v>
          </cell>
          <cell r="BN27">
            <v>1421215209.2</v>
          </cell>
          <cell r="BO27">
            <v>0</v>
          </cell>
        </row>
        <row r="28">
          <cell r="B28">
            <v>8112861</v>
          </cell>
          <cell r="C28">
            <v>485766253</v>
          </cell>
          <cell r="D28">
            <v>442322179.75999999</v>
          </cell>
          <cell r="E28">
            <v>424897659.82999998</v>
          </cell>
          <cell r="F28">
            <v>403145799.60000002</v>
          </cell>
          <cell r="G28">
            <v>421821793.17000002</v>
          </cell>
          <cell r="H28">
            <v>408546537.68000001</v>
          </cell>
          <cell r="I28">
            <v>400809903.44999999</v>
          </cell>
          <cell r="J28">
            <v>392838444.19999999</v>
          </cell>
          <cell r="K28">
            <v>372739958.68000001</v>
          </cell>
          <cell r="L28">
            <v>356547955.92000002</v>
          </cell>
          <cell r="M28">
            <v>750540335.01999998</v>
          </cell>
          <cell r="N28">
            <v>601123321.79999995</v>
          </cell>
          <cell r="O28">
            <v>533636032.98000002</v>
          </cell>
          <cell r="P28">
            <v>533637032</v>
          </cell>
          <cell r="Q28">
            <v>504334447.49000001</v>
          </cell>
          <cell r="R28">
            <v>486349858.99000001</v>
          </cell>
          <cell r="S28">
            <v>470999942.42000002</v>
          </cell>
          <cell r="T28">
            <v>475631836.98000002</v>
          </cell>
          <cell r="U28">
            <v>430505007.54000002</v>
          </cell>
          <cell r="V28">
            <v>428624185.19999999</v>
          </cell>
          <cell r="W28">
            <v>431569396.05000001</v>
          </cell>
          <cell r="X28">
            <v>415130036.13999999</v>
          </cell>
          <cell r="Y28">
            <v>410294290.19</v>
          </cell>
          <cell r="Z28">
            <v>120694652.75</v>
          </cell>
          <cell r="AA28">
            <v>121609964.34999999</v>
          </cell>
          <cell r="AB28">
            <v>116421109.15000001</v>
          </cell>
          <cell r="AC28">
            <v>491860828</v>
          </cell>
          <cell r="AD28">
            <v>451011543.87</v>
          </cell>
          <cell r="AE28">
            <v>436919118.88</v>
          </cell>
          <cell r="AF28">
            <v>431059141.86000001</v>
          </cell>
          <cell r="AG28">
            <v>453967530.05000001</v>
          </cell>
          <cell r="AH28">
            <v>447348066.06999999</v>
          </cell>
          <cell r="AI28">
            <v>456406672.62</v>
          </cell>
          <cell r="AJ28">
            <v>873836767.15999997</v>
          </cell>
          <cell r="AK28">
            <v>426166433.43000001</v>
          </cell>
          <cell r="AL28">
            <v>651812188.98000002</v>
          </cell>
          <cell r="AM28">
            <v>563275805.61000001</v>
          </cell>
          <cell r="AN28">
            <v>506660958.08999997</v>
          </cell>
          <cell r="AO28">
            <v>506660959</v>
          </cell>
          <cell r="AP28">
            <v>487040266.22000003</v>
          </cell>
          <cell r="AQ28">
            <v>483877700.75</v>
          </cell>
          <cell r="AR28">
            <v>486301931.88</v>
          </cell>
          <cell r="AS28">
            <v>497243607.83999997</v>
          </cell>
          <cell r="AT28">
            <v>476737019.55000001</v>
          </cell>
          <cell r="AU28">
            <v>475013530.83999997</v>
          </cell>
          <cell r="AV28">
            <v>468055159.33999997</v>
          </cell>
          <cell r="AW28">
            <v>444435054.20999998</v>
          </cell>
          <cell r="AX28">
            <v>430505022.06999999</v>
          </cell>
          <cell r="AY28">
            <v>509330749.56</v>
          </cell>
          <cell r="AZ28">
            <v>517668226.63</v>
          </cell>
          <cell r="BA28">
            <v>508451644.89999998</v>
          </cell>
          <cell r="BB28">
            <v>508451644.89999998</v>
          </cell>
          <cell r="BC28">
            <v>490167490.94999999</v>
          </cell>
          <cell r="BD28">
            <v>478301369.25</v>
          </cell>
          <cell r="BE28">
            <v>469412991.04000002</v>
          </cell>
          <cell r="BF28">
            <v>492083339.99000001</v>
          </cell>
          <cell r="BG28">
            <v>483982446.33999997</v>
          </cell>
          <cell r="BH28">
            <v>462848423.25999999</v>
          </cell>
          <cell r="BI28">
            <v>646926258</v>
          </cell>
          <cell r="BJ28">
            <v>589901250.40999997</v>
          </cell>
          <cell r="BK28">
            <v>544014752.63999999</v>
          </cell>
          <cell r="BL28">
            <v>525551777.19</v>
          </cell>
          <cell r="BM28">
            <v>497225625.77999997</v>
          </cell>
          <cell r="BN28">
            <v>471384838.31</v>
          </cell>
          <cell r="BO28"/>
        </row>
        <row r="29">
          <cell r="B29">
            <v>8350444</v>
          </cell>
          <cell r="C29">
            <v>94948114</v>
          </cell>
          <cell r="D29">
            <v>97099755.150000006</v>
          </cell>
          <cell r="E29">
            <v>97735836.25</v>
          </cell>
          <cell r="F29">
            <v>103529661.25</v>
          </cell>
          <cell r="G29">
            <v>99792072.200000003</v>
          </cell>
          <cell r="H29">
            <v>100082000.25</v>
          </cell>
          <cell r="I29">
            <v>114426332.25</v>
          </cell>
          <cell r="J29">
            <v>113606816.25</v>
          </cell>
          <cell r="K29">
            <v>112844046.25</v>
          </cell>
          <cell r="L29">
            <v>116423540.25</v>
          </cell>
          <cell r="M29">
            <v>117647695.40000001</v>
          </cell>
          <cell r="N29">
            <v>127358881.40000001</v>
          </cell>
          <cell r="O29">
            <v>112160582.40000001</v>
          </cell>
          <cell r="P29">
            <v>112160581</v>
          </cell>
          <cell r="Q29">
            <v>111811985.25</v>
          </cell>
          <cell r="R29">
            <v>121759094</v>
          </cell>
          <cell r="S29">
            <v>119074161</v>
          </cell>
          <cell r="T29">
            <v>116058726</v>
          </cell>
          <cell r="U29">
            <v>116042236.59999999</v>
          </cell>
          <cell r="V29">
            <v>115814724</v>
          </cell>
          <cell r="W29">
            <v>114550663</v>
          </cell>
          <cell r="X29">
            <v>116731557.65000001</v>
          </cell>
          <cell r="Y29">
            <v>118987396.65000001</v>
          </cell>
          <cell r="Z29">
            <v>296583902.94999999</v>
          </cell>
          <cell r="AA29">
            <v>299117138.57999998</v>
          </cell>
          <cell r="AB29">
            <v>300651292.52999997</v>
          </cell>
          <cell r="AC29">
            <v>116421109</v>
          </cell>
          <cell r="AD29">
            <v>117172309.15000001</v>
          </cell>
          <cell r="AE29">
            <v>121778339.15000001</v>
          </cell>
          <cell r="AF29">
            <v>120705350</v>
          </cell>
          <cell r="AG29">
            <v>118323045</v>
          </cell>
          <cell r="AH29">
            <v>123073928.59999999</v>
          </cell>
          <cell r="AI29">
            <v>124026830.5</v>
          </cell>
          <cell r="AJ29">
            <v>256255333.46000001</v>
          </cell>
          <cell r="AK29">
            <v>128725534.98</v>
          </cell>
          <cell r="AL29">
            <v>122446181.7</v>
          </cell>
          <cell r="AM29">
            <v>125272597.84999999</v>
          </cell>
          <cell r="AN29">
            <v>140432581.69999999</v>
          </cell>
          <cell r="AO29">
            <v>140432582</v>
          </cell>
          <cell r="AP29">
            <v>138436700</v>
          </cell>
          <cell r="AQ29">
            <v>140939314.80000001</v>
          </cell>
          <cell r="AR29">
            <v>145462424.69999999</v>
          </cell>
          <cell r="AS29">
            <v>135984775.15000001</v>
          </cell>
          <cell r="AT29">
            <v>142270775.15000001</v>
          </cell>
          <cell r="AU29">
            <v>142846086.5</v>
          </cell>
          <cell r="AV29">
            <v>147646734.44999999</v>
          </cell>
          <cell r="AW29">
            <v>142846372.80000001</v>
          </cell>
          <cell r="AX29">
            <v>145927250</v>
          </cell>
          <cell r="AY29">
            <v>141118375.69999999</v>
          </cell>
          <cell r="AZ29">
            <v>137128050</v>
          </cell>
          <cell r="BA29">
            <v>109280050</v>
          </cell>
          <cell r="BB29">
            <v>109280050</v>
          </cell>
          <cell r="BC29">
            <v>107159100</v>
          </cell>
          <cell r="BD29">
            <v>103774243.84999999</v>
          </cell>
          <cell r="BE29">
            <v>106326089.55</v>
          </cell>
          <cell r="BF29">
            <v>109573492.7</v>
          </cell>
          <cell r="BG29">
            <v>110927699.65000001</v>
          </cell>
          <cell r="BH29">
            <v>112628084.55</v>
          </cell>
          <cell r="BI29">
            <v>130041751.75</v>
          </cell>
          <cell r="BJ29">
            <v>132099007.75</v>
          </cell>
          <cell r="BK29">
            <v>132761785.8</v>
          </cell>
          <cell r="BL29">
            <v>129376832.55</v>
          </cell>
          <cell r="BM29">
            <v>137825300</v>
          </cell>
          <cell r="BN29">
            <v>135348465</v>
          </cell>
          <cell r="BO29"/>
        </row>
        <row r="30">
          <cell r="B30">
            <v>112140909</v>
          </cell>
          <cell r="C30">
            <v>271523495</v>
          </cell>
          <cell r="D30">
            <v>271440379.66000003</v>
          </cell>
          <cell r="E30">
            <v>272102363.5</v>
          </cell>
          <cell r="F30">
            <v>275215911.81</v>
          </cell>
          <cell r="G30">
            <v>275942440.27999997</v>
          </cell>
          <cell r="H30">
            <v>278554208.33999997</v>
          </cell>
          <cell r="I30">
            <v>279980022.32999998</v>
          </cell>
          <cell r="J30">
            <v>281300354.61000001</v>
          </cell>
          <cell r="K30">
            <v>281983349.44</v>
          </cell>
          <cell r="L30">
            <v>281221645.70999998</v>
          </cell>
          <cell r="M30">
            <v>281992159.07999998</v>
          </cell>
          <cell r="N30">
            <v>285229828.56999999</v>
          </cell>
          <cell r="O30">
            <v>285539578.05000001</v>
          </cell>
          <cell r="P30">
            <v>285538578</v>
          </cell>
          <cell r="Q30">
            <v>286341070</v>
          </cell>
          <cell r="R30">
            <v>288628737.07999998</v>
          </cell>
          <cell r="S30">
            <v>290381478.44</v>
          </cell>
          <cell r="T30">
            <v>290806289.63999999</v>
          </cell>
          <cell r="U30">
            <v>290924750.27999997</v>
          </cell>
          <cell r="V30">
            <v>291941906.38999999</v>
          </cell>
          <cell r="W30">
            <v>292534082.38</v>
          </cell>
          <cell r="X30">
            <v>295020581.49000001</v>
          </cell>
          <cell r="Y30">
            <v>295627278.47000003</v>
          </cell>
          <cell r="Z30">
            <v>1052467219.11</v>
          </cell>
          <cell r="AA30">
            <v>967440088.25999999</v>
          </cell>
          <cell r="AB30">
            <v>908933231.12</v>
          </cell>
          <cell r="AC30">
            <v>300651292</v>
          </cell>
          <cell r="AD30">
            <v>299424989.75999999</v>
          </cell>
          <cell r="AE30">
            <v>303007290.68000001</v>
          </cell>
          <cell r="AF30">
            <v>303950035.49000001</v>
          </cell>
          <cell r="AG30">
            <v>304133851.13999999</v>
          </cell>
          <cell r="AH30">
            <v>303974818.43000001</v>
          </cell>
          <cell r="AI30">
            <v>303408792.72000003</v>
          </cell>
          <cell r="AJ30">
            <v>611319617.34000003</v>
          </cell>
          <cell r="AK30">
            <v>307785563.66000003</v>
          </cell>
          <cell r="AL30">
            <v>309472558.52999997</v>
          </cell>
          <cell r="AM30">
            <v>310299767.80000001</v>
          </cell>
          <cell r="AN30">
            <v>299415781.75999999</v>
          </cell>
          <cell r="AO30">
            <v>299415783</v>
          </cell>
          <cell r="AP30">
            <v>299133083</v>
          </cell>
          <cell r="AQ30">
            <v>300154126.70999998</v>
          </cell>
          <cell r="AR30">
            <v>300346981.61000001</v>
          </cell>
          <cell r="AS30">
            <v>301036380.93000001</v>
          </cell>
          <cell r="AT30">
            <v>302998421.13</v>
          </cell>
          <cell r="AU30">
            <v>304208876.87</v>
          </cell>
          <cell r="AV30">
            <v>305458489.27999997</v>
          </cell>
          <cell r="AW30">
            <v>308352827.19999999</v>
          </cell>
          <cell r="AX30">
            <v>308042777.74000001</v>
          </cell>
          <cell r="AY30">
            <v>309084047.00999999</v>
          </cell>
          <cell r="AZ30">
            <v>311397283.72000003</v>
          </cell>
          <cell r="BA30">
            <v>311674453.23000002</v>
          </cell>
          <cell r="BB30">
            <v>311674453.23000002</v>
          </cell>
          <cell r="BC30">
            <v>313638043.49000001</v>
          </cell>
          <cell r="BD30">
            <v>314871886.69999999</v>
          </cell>
          <cell r="BE30">
            <v>315415168.10000002</v>
          </cell>
          <cell r="BF30">
            <v>316657077.45999998</v>
          </cell>
          <cell r="BG30">
            <v>316965875.41000003</v>
          </cell>
          <cell r="BH30">
            <v>318024917.51999998</v>
          </cell>
          <cell r="BI30">
            <v>320612635.45999998</v>
          </cell>
          <cell r="BJ30">
            <v>321281157.38</v>
          </cell>
          <cell r="BK30">
            <v>321943884.27999997</v>
          </cell>
          <cell r="BL30">
            <v>323624328.94999999</v>
          </cell>
          <cell r="BM30">
            <v>326437915.85000002</v>
          </cell>
          <cell r="BN30">
            <v>328291050.24000001</v>
          </cell>
          <cell r="BO30"/>
        </row>
        <row r="31">
          <cell r="B31">
            <v>128604214</v>
          </cell>
          <cell r="C31">
            <v>852237862</v>
          </cell>
          <cell r="D31">
            <v>810862314.56999993</v>
          </cell>
          <cell r="E31">
            <v>794735859.57999992</v>
          </cell>
          <cell r="F31">
            <v>781891372.66000009</v>
          </cell>
          <cell r="G31">
            <v>797556305.64999998</v>
          </cell>
          <cell r="H31">
            <v>787182746.26999998</v>
          </cell>
          <cell r="I31">
            <v>795216258.02999997</v>
          </cell>
          <cell r="J31">
            <v>787745615.05999994</v>
          </cell>
          <cell r="K31">
            <v>767567354.37</v>
          </cell>
          <cell r="L31">
            <v>754193141.88</v>
          </cell>
          <cell r="M31">
            <v>1150180189.5</v>
          </cell>
          <cell r="N31">
            <v>1013712031.77</v>
          </cell>
          <cell r="O31">
            <v>931336193.43000007</v>
          </cell>
          <cell r="P31">
            <v>931336191</v>
          </cell>
          <cell r="Q31">
            <v>902487502.74000001</v>
          </cell>
          <cell r="R31">
            <v>896737690.06999993</v>
          </cell>
          <cell r="S31">
            <v>880455581.86000013</v>
          </cell>
          <cell r="T31">
            <v>882496852.62</v>
          </cell>
          <cell r="U31">
            <v>837471994.41999996</v>
          </cell>
          <cell r="V31">
            <v>836380815.59000003</v>
          </cell>
          <cell r="W31">
            <v>838654141.42999995</v>
          </cell>
          <cell r="X31">
            <v>826882175.27999997</v>
          </cell>
          <cell r="Y31">
            <v>824908965.31000006</v>
          </cell>
          <cell r="Z31">
            <v>1469745774.8099999</v>
          </cell>
          <cell r="AA31">
            <v>1388167191.1900001</v>
          </cell>
          <cell r="AB31">
            <v>1326005632.8</v>
          </cell>
          <cell r="AC31">
            <v>908933229</v>
          </cell>
          <cell r="AD31">
            <v>867608842.77999997</v>
          </cell>
          <cell r="AE31">
            <v>861704748.71000004</v>
          </cell>
          <cell r="AF31">
            <v>855714527.35000002</v>
          </cell>
          <cell r="AG31">
            <v>876424426.18999994</v>
          </cell>
          <cell r="AH31">
            <v>874396813.0999999</v>
          </cell>
          <cell r="AI31">
            <v>883842295.84000003</v>
          </cell>
          <cell r="AJ31">
            <v>1741411717.96</v>
          </cell>
          <cell r="AK31">
            <v>862677532.06999993</v>
          </cell>
          <cell r="AL31">
            <v>1083730929.21</v>
          </cell>
          <cell r="AM31">
            <v>998848171.25999999</v>
          </cell>
          <cell r="AN31">
            <v>946509321.54999995</v>
          </cell>
          <cell r="AO31">
            <v>946509324</v>
          </cell>
          <cell r="AP31">
            <v>924610049.22000003</v>
          </cell>
          <cell r="AQ31">
            <v>924971142.25999999</v>
          </cell>
          <cell r="AR31">
            <v>932111338.18999994</v>
          </cell>
          <cell r="AS31">
            <v>934264763.92000008</v>
          </cell>
          <cell r="AT31">
            <v>922006215.83000004</v>
          </cell>
          <cell r="AU31">
            <v>922068494.20999992</v>
          </cell>
          <cell r="AV31">
            <v>921160383.06999993</v>
          </cell>
          <cell r="AW31">
            <v>895634254.21000004</v>
          </cell>
          <cell r="AX31">
            <v>884475049.80999994</v>
          </cell>
          <cell r="AY31">
            <v>959533172.26999998</v>
          </cell>
          <cell r="AZ31">
            <v>966193560.35000002</v>
          </cell>
          <cell r="BA31">
            <v>929406148.13</v>
          </cell>
          <cell r="BB31">
            <v>929406148.13</v>
          </cell>
          <cell r="BC31">
            <v>910964634.44000006</v>
          </cell>
          <cell r="BD31">
            <v>896947499.79999995</v>
          </cell>
          <cell r="BE31">
            <v>891154248.69000006</v>
          </cell>
          <cell r="BF31">
            <v>918313910.1500001</v>
          </cell>
          <cell r="BG31">
            <v>911876021.4000001</v>
          </cell>
          <cell r="BH31">
            <v>893501425.32999992</v>
          </cell>
          <cell r="BI31">
            <v>1097580645.21</v>
          </cell>
          <cell r="BJ31">
            <v>1043281415.54</v>
          </cell>
          <cell r="BK31">
            <v>998720422.71999991</v>
          </cell>
          <cell r="BL31">
            <v>978552938.69000006</v>
          </cell>
          <cell r="BM31">
            <v>961488841.63</v>
          </cell>
          <cell r="BN31">
            <v>935024353.54999995</v>
          </cell>
          <cell r="BO31">
            <v>0</v>
          </cell>
        </row>
        <row r="37">
          <cell r="B37">
            <v>2291669</v>
          </cell>
          <cell r="C37"/>
          <cell r="D37">
            <v>0</v>
          </cell>
          <cell r="E37">
            <v>0</v>
          </cell>
          <cell r="F37">
            <v>0</v>
          </cell>
          <cell r="G37">
            <v>50000000</v>
          </cell>
          <cell r="H37">
            <v>50000000</v>
          </cell>
          <cell r="I37">
            <v>50000000</v>
          </cell>
          <cell r="J37">
            <v>50000000</v>
          </cell>
          <cell r="K37">
            <v>50000000</v>
          </cell>
          <cell r="L37">
            <v>50000000</v>
          </cell>
          <cell r="M37">
            <v>0</v>
          </cell>
          <cell r="N37">
            <v>0</v>
          </cell>
          <cell r="O37">
            <v>0</v>
          </cell>
          <cell r="P37"/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1108105286.6400001</v>
          </cell>
          <cell r="AA37">
            <v>1020903474.34</v>
          </cell>
          <cell r="AB37">
            <v>963955519.12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/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/>
        </row>
        <row r="39">
          <cell r="B39">
            <v>10494697</v>
          </cell>
          <cell r="C39">
            <v>140665447</v>
          </cell>
          <cell r="D39">
            <v>141254381.75</v>
          </cell>
          <cell r="E39">
            <v>141798724.71000001</v>
          </cell>
          <cell r="F39">
            <v>142412759.40000001</v>
          </cell>
          <cell r="G39">
            <v>142997614.62</v>
          </cell>
          <cell r="H39">
            <v>143647732.24000001</v>
          </cell>
          <cell r="I39">
            <v>144244738.03</v>
          </cell>
          <cell r="J39">
            <v>144742971.71000001</v>
          </cell>
          <cell r="K39">
            <v>145294302.69999999</v>
          </cell>
          <cell r="L39">
            <v>146359757.47</v>
          </cell>
          <cell r="M39">
            <v>154260050.71000001</v>
          </cell>
          <cell r="N39">
            <v>155498451.99000001</v>
          </cell>
          <cell r="O39">
            <v>156700171.75999999</v>
          </cell>
          <cell r="P39">
            <v>156700172</v>
          </cell>
          <cell r="Q39">
            <v>158031466.09</v>
          </cell>
          <cell r="R39">
            <v>159248740.00999999</v>
          </cell>
          <cell r="S39">
            <v>160714923.49000001</v>
          </cell>
          <cell r="T39">
            <v>162141252.30000001</v>
          </cell>
          <cell r="U39">
            <v>163118219.94</v>
          </cell>
          <cell r="V39">
            <v>164434119.02000001</v>
          </cell>
          <cell r="W39">
            <v>165664416.97</v>
          </cell>
          <cell r="X39">
            <v>167112370.97</v>
          </cell>
          <cell r="Y39">
            <v>168298212</v>
          </cell>
          <cell r="Z39">
            <v>0</v>
          </cell>
          <cell r="AA39">
            <v>0</v>
          </cell>
          <cell r="AB39">
            <v>0</v>
          </cell>
          <cell r="AC39">
            <v>172698282</v>
          </cell>
          <cell r="AD39">
            <v>174143525</v>
          </cell>
          <cell r="AE39">
            <v>175727812.84999999</v>
          </cell>
          <cell r="AF39">
            <v>176245577.56</v>
          </cell>
          <cell r="AG39">
            <v>176750604.88999999</v>
          </cell>
          <cell r="AH39">
            <v>177219887.28</v>
          </cell>
          <cell r="AI39">
            <v>177664029.03999999</v>
          </cell>
          <cell r="AJ39">
            <v>357419110.57999998</v>
          </cell>
          <cell r="AK39">
            <v>179209261.5</v>
          </cell>
          <cell r="AL39">
            <v>188131876.41</v>
          </cell>
          <cell r="AM39">
            <v>188671227.61000001</v>
          </cell>
          <cell r="AN39">
            <v>188369039.46000001</v>
          </cell>
          <cell r="AO39">
            <v>188369039</v>
          </cell>
          <cell r="AP39">
            <v>188821977.69</v>
          </cell>
          <cell r="AQ39">
            <v>189196268.03</v>
          </cell>
          <cell r="AR39">
            <v>189997778.78999999</v>
          </cell>
          <cell r="AS39">
            <v>191175041.00999999</v>
          </cell>
          <cell r="AT39">
            <v>192088477.11000001</v>
          </cell>
          <cell r="AU39">
            <v>192925519.96000001</v>
          </cell>
          <cell r="AV39">
            <v>193586256.53</v>
          </cell>
          <cell r="AW39">
            <v>194124798.27000001</v>
          </cell>
          <cell r="AX39">
            <v>194715722.78</v>
          </cell>
          <cell r="AY39">
            <v>201232394.75</v>
          </cell>
          <cell r="AZ39">
            <v>201852563.50999999</v>
          </cell>
          <cell r="BA39">
            <v>202568436.62</v>
          </cell>
          <cell r="BB39">
            <v>202568436.62</v>
          </cell>
          <cell r="BC39">
            <v>203367322.74000001</v>
          </cell>
          <cell r="BD39">
            <v>204016774.34999999</v>
          </cell>
          <cell r="BE39">
            <v>205429655.58000001</v>
          </cell>
          <cell r="BF39">
            <v>206351776.5</v>
          </cell>
          <cell r="BG39">
            <v>207480238.38</v>
          </cell>
          <cell r="BH39">
            <v>208408190.75</v>
          </cell>
          <cell r="BI39">
            <v>212612105.33000001</v>
          </cell>
          <cell r="BJ39">
            <v>213402875.44</v>
          </cell>
          <cell r="BK39">
            <v>214291430.75</v>
          </cell>
          <cell r="BL39">
            <v>215081078.81999999</v>
          </cell>
          <cell r="BM39">
            <v>216105362.46000001</v>
          </cell>
          <cell r="BN39">
            <v>217120314.03999999</v>
          </cell>
          <cell r="BO39"/>
        </row>
        <row r="41">
          <cell r="B41">
            <v>351220</v>
          </cell>
          <cell r="C41">
            <v>14978344</v>
          </cell>
          <cell r="D41">
            <v>27664229.100000001</v>
          </cell>
          <cell r="E41">
            <v>20813817.100000001</v>
          </cell>
          <cell r="F41">
            <v>20813817.100000001</v>
          </cell>
          <cell r="G41">
            <v>20813817.100000001</v>
          </cell>
          <cell r="H41">
            <v>20813817.100000001</v>
          </cell>
          <cell r="I41">
            <v>20813817.100000001</v>
          </cell>
          <cell r="J41">
            <v>20813817.100000001</v>
          </cell>
          <cell r="K41">
            <v>20813817.100000001</v>
          </cell>
          <cell r="L41">
            <v>20813817.100000001</v>
          </cell>
          <cell r="M41">
            <v>20813817.100000001</v>
          </cell>
          <cell r="N41">
            <v>20813817.100000001</v>
          </cell>
          <cell r="O41">
            <v>20813817.100000001</v>
          </cell>
          <cell r="P41">
            <v>20813820</v>
          </cell>
          <cell r="Q41">
            <v>44640847.950000003</v>
          </cell>
          <cell r="R41">
            <v>33206439.949999999</v>
          </cell>
          <cell r="S41">
            <v>33206439.949999999</v>
          </cell>
          <cell r="T41">
            <v>33206439.949999999</v>
          </cell>
          <cell r="U41">
            <v>33206439.949999999</v>
          </cell>
          <cell r="V41">
            <v>33206439.949999999</v>
          </cell>
          <cell r="W41">
            <v>33206439.949999999</v>
          </cell>
          <cell r="X41">
            <v>33206439.949999999</v>
          </cell>
          <cell r="Y41">
            <v>33206439.949999999</v>
          </cell>
          <cell r="Z41">
            <v>7594989.1799999997</v>
          </cell>
          <cell r="AA41">
            <v>13282646.789999999</v>
          </cell>
          <cell r="AB41">
            <v>21945690.300000001</v>
          </cell>
          <cell r="AC41">
            <v>33206443</v>
          </cell>
          <cell r="AD41">
            <v>57730843.890000001</v>
          </cell>
          <cell r="AE41">
            <v>44826109.890000001</v>
          </cell>
          <cell r="AF41">
            <v>44826109.890000001</v>
          </cell>
          <cell r="AG41">
            <v>44826109.890000001</v>
          </cell>
          <cell r="AH41">
            <v>44825388.850000001</v>
          </cell>
          <cell r="AI41">
            <v>44822490.850000001</v>
          </cell>
          <cell r="AJ41">
            <v>89644981.700000003</v>
          </cell>
          <cell r="AK41">
            <v>44822490.850000001</v>
          </cell>
          <cell r="AL41">
            <v>44822490.850000001</v>
          </cell>
          <cell r="AM41">
            <v>44822490.850000001</v>
          </cell>
          <cell r="AN41">
            <v>44822490.850000001</v>
          </cell>
          <cell r="AO41">
            <v>44825378</v>
          </cell>
          <cell r="AP41">
            <v>72593813.189999998</v>
          </cell>
          <cell r="AQ41">
            <v>53317385.189999998</v>
          </cell>
          <cell r="AR41">
            <v>53317385.189999998</v>
          </cell>
          <cell r="AS41">
            <v>53317385.189999998</v>
          </cell>
          <cell r="AT41">
            <v>53317385.189999998</v>
          </cell>
          <cell r="AU41">
            <v>53317385.189999998</v>
          </cell>
          <cell r="AV41">
            <v>53317385.189999998</v>
          </cell>
          <cell r="AW41">
            <v>53317385.189999998</v>
          </cell>
          <cell r="AX41">
            <v>53317377.189999998</v>
          </cell>
          <cell r="AY41">
            <v>53317377.189999998</v>
          </cell>
          <cell r="AZ41">
            <v>53317377.189999998</v>
          </cell>
          <cell r="BA41">
            <v>53317372.850000001</v>
          </cell>
          <cell r="BB41">
            <v>53317384</v>
          </cell>
          <cell r="BC41">
            <v>75638698.390000001</v>
          </cell>
          <cell r="BD41">
            <v>72899349.280000001</v>
          </cell>
          <cell r="BE41">
            <v>54195789.960000001</v>
          </cell>
          <cell r="BF41">
            <v>54195789.960000001</v>
          </cell>
          <cell r="BG41">
            <v>54195789.960000001</v>
          </cell>
          <cell r="BH41">
            <v>54195789.960000001</v>
          </cell>
          <cell r="BI41">
            <v>54195789.960000001</v>
          </cell>
          <cell r="BJ41">
            <v>54195789.960000001</v>
          </cell>
          <cell r="BK41">
            <v>54148616.159999996</v>
          </cell>
          <cell r="BL41">
            <v>54195789.960000001</v>
          </cell>
          <cell r="BM41">
            <v>54195789.960000001</v>
          </cell>
          <cell r="BN41">
            <v>32336456.960000001</v>
          </cell>
          <cell r="BO41"/>
        </row>
        <row r="42">
          <cell r="B42">
            <v>3541956</v>
          </cell>
          <cell r="C42">
            <v>5835476</v>
          </cell>
          <cell r="D42">
            <v>9337095</v>
          </cell>
          <cell r="E42">
            <v>6504356.6699999999</v>
          </cell>
          <cell r="F42">
            <v>7436870.5700000003</v>
          </cell>
          <cell r="G42">
            <v>6071812.0099999998</v>
          </cell>
          <cell r="H42">
            <v>4366474.6900000004</v>
          </cell>
          <cell r="I42">
            <v>4663857.97</v>
          </cell>
          <cell r="J42">
            <v>4946815.82</v>
          </cell>
          <cell r="K42">
            <v>10990213.869999999</v>
          </cell>
          <cell r="L42">
            <v>10296055.029999999</v>
          </cell>
          <cell r="M42">
            <v>14289779.539999999</v>
          </cell>
          <cell r="N42">
            <v>16311410.68</v>
          </cell>
          <cell r="O42">
            <v>23827030.850000001</v>
          </cell>
          <cell r="P42">
            <v>13061625</v>
          </cell>
          <cell r="Q42">
            <v>3752898.54</v>
          </cell>
          <cell r="R42">
            <v>1222702.74</v>
          </cell>
          <cell r="S42">
            <v>1599641.22</v>
          </cell>
          <cell r="T42">
            <v>2379802.31</v>
          </cell>
          <cell r="U42">
            <v>1972446.13</v>
          </cell>
          <cell r="V42">
            <v>5036313.8899999997</v>
          </cell>
          <cell r="W42">
            <v>1573466.69</v>
          </cell>
          <cell r="X42">
            <v>4704502.66</v>
          </cell>
          <cell r="Y42">
            <v>5175944.21</v>
          </cell>
          <cell r="Z42">
            <v>36468878</v>
          </cell>
          <cell r="AA42">
            <v>36468878</v>
          </cell>
          <cell r="AB42">
            <v>36468878</v>
          </cell>
          <cell r="AC42">
            <v>11618934</v>
          </cell>
          <cell r="AD42">
            <v>4204913.5599999996</v>
          </cell>
          <cell r="AE42">
            <v>3002478.01</v>
          </cell>
          <cell r="AF42">
            <v>2008460.85</v>
          </cell>
          <cell r="AG42">
            <v>3946586.27</v>
          </cell>
          <cell r="AH42">
            <v>4231703.5999999996</v>
          </cell>
          <cell r="AI42">
            <v>6148706.46</v>
          </cell>
          <cell r="AJ42">
            <v>14872506.68</v>
          </cell>
          <cell r="AK42">
            <v>5073515.9000000004</v>
          </cell>
          <cell r="AL42">
            <v>9673220.0299999993</v>
          </cell>
          <cell r="AM42">
            <v>20813587.780000001</v>
          </cell>
          <cell r="AN42">
            <v>27034600</v>
          </cell>
          <cell r="AO42">
            <v>8748957</v>
          </cell>
          <cell r="AP42">
            <v>2294299.09</v>
          </cell>
          <cell r="AQ42">
            <v>398257.88</v>
          </cell>
          <cell r="AR42">
            <v>3064887.42</v>
          </cell>
          <cell r="AS42">
            <v>3661793.81</v>
          </cell>
          <cell r="AT42">
            <v>5850402.5599999996</v>
          </cell>
          <cell r="AU42">
            <v>5938418.6100000003</v>
          </cell>
          <cell r="AV42">
            <v>6753168.9299999997</v>
          </cell>
          <cell r="AW42">
            <v>7930110.0899999999</v>
          </cell>
          <cell r="AX42">
            <v>8733514.4199999999</v>
          </cell>
          <cell r="AY42">
            <v>12047730.15</v>
          </cell>
          <cell r="AZ42">
            <v>15063251.449999999</v>
          </cell>
          <cell r="BA42">
            <v>22321321.199999999</v>
          </cell>
          <cell r="BB42">
            <v>878407</v>
          </cell>
          <cell r="BC42">
            <v>895726.83</v>
          </cell>
          <cell r="BD42">
            <v>1526619.79</v>
          </cell>
          <cell r="BE42">
            <v>2513660.63</v>
          </cell>
          <cell r="BF42">
            <v>4337750.46</v>
          </cell>
          <cell r="BG42">
            <v>5661253.9299999997</v>
          </cell>
          <cell r="BH42">
            <v>6323436.8300000001</v>
          </cell>
          <cell r="BI42">
            <v>8134736.21</v>
          </cell>
          <cell r="BJ42">
            <v>8419733.4199999999</v>
          </cell>
          <cell r="BK42">
            <v>8935840.6199999992</v>
          </cell>
          <cell r="BL42">
            <v>11807849.58</v>
          </cell>
          <cell r="BM42">
            <v>13189937.359999999</v>
          </cell>
          <cell r="BN42">
            <v>24002152.109999999</v>
          </cell>
          <cell r="BO42"/>
        </row>
        <row r="43">
          <cell r="B43">
            <v>531274</v>
          </cell>
          <cell r="C43">
            <v>31870722</v>
          </cell>
          <cell r="D43">
            <v>29333544</v>
          </cell>
          <cell r="E43">
            <v>31870722</v>
          </cell>
          <cell r="F43">
            <v>31870722</v>
          </cell>
          <cell r="G43">
            <v>31870722</v>
          </cell>
          <cell r="H43">
            <v>31870722</v>
          </cell>
          <cell r="I43">
            <v>31870722</v>
          </cell>
          <cell r="J43">
            <v>31870722</v>
          </cell>
          <cell r="K43">
            <v>31870722</v>
          </cell>
          <cell r="L43">
            <v>31870722</v>
          </cell>
          <cell r="M43">
            <v>31870722</v>
          </cell>
          <cell r="N43">
            <v>31870722</v>
          </cell>
          <cell r="O43">
            <v>31870722</v>
          </cell>
          <cell r="P43">
            <v>36636128</v>
          </cell>
          <cell r="Q43">
            <v>31870722</v>
          </cell>
          <cell r="R43">
            <v>36468878</v>
          </cell>
          <cell r="S43">
            <v>36468878</v>
          </cell>
          <cell r="T43">
            <v>36468878</v>
          </cell>
          <cell r="U43">
            <v>36468878</v>
          </cell>
          <cell r="V43">
            <v>36468878</v>
          </cell>
          <cell r="W43">
            <v>36468878</v>
          </cell>
          <cell r="X43">
            <v>36468878</v>
          </cell>
          <cell r="Y43">
            <v>36468878</v>
          </cell>
          <cell r="Z43">
            <v>20871074.100000001</v>
          </cell>
          <cell r="AA43">
            <v>20871074.100000001</v>
          </cell>
          <cell r="AB43">
            <v>20871074.100000001</v>
          </cell>
          <cell r="AC43">
            <v>41373612</v>
          </cell>
          <cell r="AD43">
            <v>36468878</v>
          </cell>
          <cell r="AE43">
            <v>41373612</v>
          </cell>
          <cell r="AF43">
            <v>41373612</v>
          </cell>
          <cell r="AG43">
            <v>41373612</v>
          </cell>
          <cell r="AH43">
            <v>41373612</v>
          </cell>
          <cell r="AI43">
            <v>41373612</v>
          </cell>
          <cell r="AJ43">
            <v>82747224</v>
          </cell>
          <cell r="AK43">
            <v>41373612</v>
          </cell>
          <cell r="AL43">
            <v>41373612</v>
          </cell>
          <cell r="AM43">
            <v>41373612</v>
          </cell>
          <cell r="AN43">
            <v>41373612</v>
          </cell>
          <cell r="AO43">
            <v>46927876</v>
          </cell>
          <cell r="AP43">
            <v>41373612</v>
          </cell>
          <cell r="AQ43">
            <v>46863639</v>
          </cell>
          <cell r="AR43">
            <v>46863639</v>
          </cell>
          <cell r="AS43">
            <v>46863639</v>
          </cell>
          <cell r="AT43">
            <v>46863639</v>
          </cell>
          <cell r="AU43">
            <v>46863639</v>
          </cell>
          <cell r="AV43">
            <v>46863639</v>
          </cell>
          <cell r="AW43">
            <v>46863639</v>
          </cell>
          <cell r="AX43">
            <v>46863639</v>
          </cell>
          <cell r="AY43">
            <v>46863639</v>
          </cell>
          <cell r="AZ43">
            <v>46863639</v>
          </cell>
          <cell r="BA43">
            <v>46863639</v>
          </cell>
          <cell r="BB43">
            <v>50780140</v>
          </cell>
          <cell r="BC43">
            <v>46863639</v>
          </cell>
          <cell r="BD43">
            <v>46863639</v>
          </cell>
          <cell r="BE43">
            <v>50780140</v>
          </cell>
          <cell r="BF43">
            <v>50780140</v>
          </cell>
          <cell r="BG43">
            <v>50780140</v>
          </cell>
          <cell r="BH43">
            <v>50780140</v>
          </cell>
          <cell r="BI43">
            <v>50780140</v>
          </cell>
          <cell r="BJ43">
            <v>50780140</v>
          </cell>
          <cell r="BK43">
            <v>50780140</v>
          </cell>
          <cell r="BL43">
            <v>50780140</v>
          </cell>
          <cell r="BM43">
            <v>50780140</v>
          </cell>
          <cell r="BN43">
            <v>55580570</v>
          </cell>
          <cell r="BO43"/>
        </row>
        <row r="44">
          <cell r="B44"/>
          <cell r="C44">
            <v>58441770</v>
          </cell>
          <cell r="D44">
            <v>20871074.100000001</v>
          </cell>
          <cell r="E44">
            <v>20871074.100000001</v>
          </cell>
          <cell r="F44">
            <v>20871074.100000001</v>
          </cell>
          <cell r="G44">
            <v>20871074.100000001</v>
          </cell>
          <cell r="H44">
            <v>20871074.100000001</v>
          </cell>
          <cell r="I44">
            <v>20871074.100000001</v>
          </cell>
          <cell r="J44">
            <v>20871074.100000001</v>
          </cell>
          <cell r="K44">
            <v>20871074.100000001</v>
          </cell>
          <cell r="L44">
            <v>20871074.100000001</v>
          </cell>
          <cell r="M44">
            <v>20871074.100000001</v>
          </cell>
          <cell r="N44">
            <v>20871074.100000001</v>
          </cell>
          <cell r="O44">
            <v>20871074.100000001</v>
          </cell>
          <cell r="P44">
            <v>20871074</v>
          </cell>
          <cell r="Q44">
            <v>20871074.100000001</v>
          </cell>
          <cell r="R44">
            <v>20871074.100000001</v>
          </cell>
          <cell r="S44">
            <v>20871074.100000001</v>
          </cell>
          <cell r="T44">
            <v>20871074.100000001</v>
          </cell>
          <cell r="U44">
            <v>20871074.100000001</v>
          </cell>
          <cell r="V44">
            <v>20871074.100000001</v>
          </cell>
          <cell r="W44">
            <v>20871074.100000001</v>
          </cell>
          <cell r="X44">
            <v>20871074.100000001</v>
          </cell>
          <cell r="Y44">
            <v>20871074.100000001</v>
          </cell>
          <cell r="Z44">
            <v>37570696</v>
          </cell>
          <cell r="AA44">
            <v>37570696</v>
          </cell>
          <cell r="AB44">
            <v>37570696</v>
          </cell>
          <cell r="AC44">
            <v>20871074</v>
          </cell>
          <cell r="AD44">
            <v>20871074.100000001</v>
          </cell>
          <cell r="AE44">
            <v>20871074.100000001</v>
          </cell>
          <cell r="AF44">
            <v>20871074.100000001</v>
          </cell>
          <cell r="AG44">
            <v>20871074.100000001</v>
          </cell>
          <cell r="AH44">
            <v>20871074.100000001</v>
          </cell>
          <cell r="AI44">
            <v>20871074.100000001</v>
          </cell>
          <cell r="AJ44">
            <v>41742148.200000003</v>
          </cell>
          <cell r="AK44">
            <v>20871074.100000001</v>
          </cell>
          <cell r="AL44">
            <v>20871074.100000001</v>
          </cell>
          <cell r="AM44">
            <v>20871074.100000001</v>
          </cell>
          <cell r="AN44">
            <v>20871074.100000001</v>
          </cell>
          <cell r="AO44">
            <v>20871074</v>
          </cell>
          <cell r="AP44">
            <v>20871074.100000001</v>
          </cell>
          <cell r="AQ44">
            <v>20871074.100000001</v>
          </cell>
          <cell r="AR44">
            <v>20871074.100000001</v>
          </cell>
          <cell r="AS44">
            <v>20871074.100000001</v>
          </cell>
          <cell r="AT44">
            <v>20871074.100000001</v>
          </cell>
          <cell r="AU44">
            <v>20871074.100000001</v>
          </cell>
          <cell r="AV44">
            <v>20871074.100000001</v>
          </cell>
          <cell r="AW44">
            <v>20871074.100000001</v>
          </cell>
          <cell r="AX44">
            <v>20871074.100000001</v>
          </cell>
          <cell r="AY44">
            <v>20871074.100000001</v>
          </cell>
          <cell r="AZ44">
            <v>20871074.100000001</v>
          </cell>
          <cell r="BA44">
            <v>20871074.100000001</v>
          </cell>
          <cell r="BB44">
            <v>20871074.100000001</v>
          </cell>
          <cell r="BC44">
            <v>20871074.100000001</v>
          </cell>
          <cell r="BD44">
            <v>20871074.100000001</v>
          </cell>
          <cell r="BE44">
            <v>20871074.100000001</v>
          </cell>
          <cell r="BF44">
            <v>20871074.100000001</v>
          </cell>
          <cell r="BG44">
            <v>20871074.100000001</v>
          </cell>
          <cell r="BH44">
            <v>20871074.100000001</v>
          </cell>
          <cell r="BI44">
            <v>20871074.100000001</v>
          </cell>
          <cell r="BJ44">
            <v>20871074.100000001</v>
          </cell>
          <cell r="BK44">
            <v>20871074.100000001</v>
          </cell>
          <cell r="BL44">
            <v>20871074.100000001</v>
          </cell>
          <cell r="BM44">
            <v>20871074.100000001</v>
          </cell>
          <cell r="BN44">
            <v>20871074.100000001</v>
          </cell>
          <cell r="BO44"/>
        </row>
        <row r="46">
          <cell r="B46"/>
          <cell r="C46">
            <v>4313234</v>
          </cell>
          <cell r="D46"/>
          <cell r="E46">
            <v>4313234</v>
          </cell>
          <cell r="F46">
            <v>0</v>
          </cell>
          <cell r="G46">
            <v>0</v>
          </cell>
          <cell r="H46">
            <v>0</v>
          </cell>
          <cell r="I46"/>
          <cell r="J46"/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6000000</v>
          </cell>
          <cell r="Q46">
            <v>0</v>
          </cell>
          <cell r="R46">
            <v>6000000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8000000</v>
          </cell>
          <cell r="AD46">
            <v>0</v>
          </cell>
          <cell r="AE46">
            <v>8000000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13465213</v>
          </cell>
          <cell r="AP46">
            <v>0</v>
          </cell>
          <cell r="AQ46">
            <v>13465213</v>
          </cell>
          <cell r="AR46">
            <v>0</v>
          </cell>
          <cell r="AS46">
            <v>0</v>
          </cell>
          <cell r="AT46">
            <v>78715.600000000006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14787592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/>
        </row>
      </sheetData>
      <sheetData sheetId="9">
        <row r="5">
          <cell r="B5">
            <v>11945.43491</v>
          </cell>
          <cell r="C5">
            <v>101379709</v>
          </cell>
          <cell r="D5">
            <v>8717884.6500000004</v>
          </cell>
          <cell r="E5">
            <v>16536521.34</v>
          </cell>
          <cell r="F5">
            <v>24769551.989999998</v>
          </cell>
          <cell r="G5">
            <v>33029522.690000001</v>
          </cell>
          <cell r="H5">
            <v>41174092.969999999</v>
          </cell>
          <cell r="I5">
            <v>49592524.439999998</v>
          </cell>
          <cell r="J5">
            <v>58018275.740000002</v>
          </cell>
          <cell r="K5">
            <v>66482266.640000001</v>
          </cell>
          <cell r="L5">
            <v>75089316.890000001</v>
          </cell>
          <cell r="M5">
            <v>84006736.519999996</v>
          </cell>
          <cell r="N5">
            <v>91947335.670000002</v>
          </cell>
          <cell r="O5">
            <v>99290901.420000002</v>
          </cell>
          <cell r="P5">
            <v>99290901</v>
          </cell>
          <cell r="Q5">
            <v>7290707.7999999998</v>
          </cell>
          <cell r="R5">
            <v>14689937.1</v>
          </cell>
          <cell r="S5">
            <v>22258080.100000001</v>
          </cell>
          <cell r="T5">
            <v>29806767.780000001</v>
          </cell>
          <cell r="U5">
            <v>37459750.280000001</v>
          </cell>
          <cell r="V5">
            <v>44863922.579999998</v>
          </cell>
          <cell r="W5">
            <v>52609185.579999998</v>
          </cell>
          <cell r="X5">
            <v>60508706.329999998</v>
          </cell>
          <cell r="Y5">
            <v>68756023.480000004</v>
          </cell>
          <cell r="Z5">
            <v>77040674.629999995</v>
          </cell>
          <cell r="AA5">
            <v>86064271.230000004</v>
          </cell>
          <cell r="AB5">
            <v>93202278.980000004</v>
          </cell>
          <cell r="AC5">
            <v>93202429</v>
          </cell>
          <cell r="AD5">
            <v>8958073.4299999997</v>
          </cell>
          <cell r="AE5">
            <v>17474185.670000002</v>
          </cell>
          <cell r="AF5">
            <v>25199719.77</v>
          </cell>
          <cell r="AG5">
            <v>32915641.07</v>
          </cell>
          <cell r="AH5">
            <v>38840640.369999997</v>
          </cell>
          <cell r="AI5">
            <v>46510235.520000003</v>
          </cell>
          <cell r="AJ5">
            <v>123750947.64</v>
          </cell>
          <cell r="AK5">
            <v>69812015.480000004</v>
          </cell>
          <cell r="AL5">
            <v>78070440.629999995</v>
          </cell>
          <cell r="AM5">
            <v>86279820.680000007</v>
          </cell>
          <cell r="AN5">
            <v>93908093.689999998</v>
          </cell>
          <cell r="AO5">
            <v>93908094</v>
          </cell>
          <cell r="AP5">
            <v>7398131.0999999996</v>
          </cell>
          <cell r="AQ5">
            <v>14908274.689999999</v>
          </cell>
          <cell r="AR5">
            <v>22633023.59</v>
          </cell>
          <cell r="AS5">
            <v>30164131.440000001</v>
          </cell>
          <cell r="AT5">
            <v>37845372.890000001</v>
          </cell>
          <cell r="AU5">
            <v>45763059.049999997</v>
          </cell>
          <cell r="AV5">
            <v>53850209.75</v>
          </cell>
          <cell r="AW5">
            <v>65242809.350000001</v>
          </cell>
          <cell r="AX5">
            <v>70568440.799999997</v>
          </cell>
          <cell r="AY5">
            <v>79126543.569999993</v>
          </cell>
          <cell r="AZ5">
            <v>87585411.359999999</v>
          </cell>
          <cell r="BA5">
            <v>95746454.659999996</v>
          </cell>
          <cell r="BB5">
            <v>95746454.659999996</v>
          </cell>
          <cell r="BC5">
            <v>8405722.0500000007</v>
          </cell>
          <cell r="BD5">
            <v>16823189.149999999</v>
          </cell>
          <cell r="BE5">
            <v>24963077.050000001</v>
          </cell>
          <cell r="BF5">
            <v>33817846.5</v>
          </cell>
          <cell r="BG5">
            <v>42666290.600000001</v>
          </cell>
          <cell r="BH5">
            <v>51743614.549999997</v>
          </cell>
          <cell r="BI5">
            <v>64292625.100000001</v>
          </cell>
          <cell r="BJ5">
            <v>70303509.159999996</v>
          </cell>
          <cell r="BK5">
            <v>79458534.790000007</v>
          </cell>
          <cell r="BL5">
            <v>88762900.890000001</v>
          </cell>
          <cell r="BM5">
            <v>98709164.909999996</v>
          </cell>
          <cell r="BN5">
            <v>28685477.530000001</v>
          </cell>
        </row>
        <row r="6">
          <cell r="B6">
            <v>910.37099999999998</v>
          </cell>
          <cell r="C6"/>
          <cell r="D6">
            <v>5984797.7599999998</v>
          </cell>
          <cell r="E6">
            <v>8329807.6200000001</v>
          </cell>
          <cell r="F6">
            <v>10168093.779999999</v>
          </cell>
          <cell r="G6">
            <v>11580724.99</v>
          </cell>
          <cell r="H6">
            <v>13320476.050000001</v>
          </cell>
          <cell r="I6">
            <v>14963597.41</v>
          </cell>
          <cell r="J6">
            <v>16062461.1</v>
          </cell>
          <cell r="K6">
            <v>17318212.800000001</v>
          </cell>
          <cell r="L6">
            <v>18868826.300000001</v>
          </cell>
          <cell r="M6">
            <v>20348148.300000001</v>
          </cell>
          <cell r="N6">
            <v>25607478.199999999</v>
          </cell>
          <cell r="O6">
            <v>29817359.600000001</v>
          </cell>
          <cell r="P6">
            <v>81548175</v>
          </cell>
          <cell r="Q6">
            <v>3517907.4</v>
          </cell>
          <cell r="R6">
            <v>5535316.7999999998</v>
          </cell>
          <cell r="S6">
            <v>7116614.2999999998</v>
          </cell>
          <cell r="T6">
            <v>8247186.0999999996</v>
          </cell>
          <cell r="U6">
            <v>10079237.4</v>
          </cell>
          <cell r="V6">
            <v>11251999.1</v>
          </cell>
          <cell r="W6">
            <v>12505783.300000001</v>
          </cell>
          <cell r="X6">
            <v>13766952.5</v>
          </cell>
          <cell r="Y6">
            <v>15106725.6</v>
          </cell>
          <cell r="Z6">
            <v>16346488</v>
          </cell>
          <cell r="AA6">
            <v>20822826.800000001</v>
          </cell>
          <cell r="AB6">
            <v>21677247.699999999</v>
          </cell>
          <cell r="AC6"/>
          <cell r="AD6">
            <v>3868442.9</v>
          </cell>
          <cell r="AE6">
            <v>5305052.9000000004</v>
          </cell>
          <cell r="AF6">
            <v>6701819.5</v>
          </cell>
          <cell r="AG6">
            <v>7576018</v>
          </cell>
          <cell r="AH6">
            <v>9051697.1999999993</v>
          </cell>
          <cell r="AI6">
            <v>10693031.300000001</v>
          </cell>
          <cell r="AJ6">
            <v>26337947.399999999</v>
          </cell>
          <cell r="AK6">
            <v>15210850</v>
          </cell>
          <cell r="AL6">
            <v>17122230.199999999</v>
          </cell>
          <cell r="AM6">
            <v>22170482.800000001</v>
          </cell>
          <cell r="AN6">
            <v>28188090.199999999</v>
          </cell>
          <cell r="AO6">
            <v>0</v>
          </cell>
          <cell r="AP6">
            <v>2711447.5</v>
          </cell>
          <cell r="AQ6">
            <v>4285662.4000000004</v>
          </cell>
          <cell r="AR6">
            <v>6049417.7999999998</v>
          </cell>
          <cell r="AS6">
            <v>6982233.5999999996</v>
          </cell>
          <cell r="AT6">
            <v>9161633.5</v>
          </cell>
          <cell r="AU6">
            <v>10936216.9</v>
          </cell>
          <cell r="AV6">
            <v>12654073</v>
          </cell>
          <cell r="AW6">
            <v>14648554.6</v>
          </cell>
          <cell r="AX6">
            <v>16429201.800000001</v>
          </cell>
          <cell r="AY6">
            <v>17918241.399999999</v>
          </cell>
          <cell r="AZ6">
            <v>23184600.199999999</v>
          </cell>
          <cell r="BA6">
            <v>26800583.300000001</v>
          </cell>
          <cell r="BB6"/>
          <cell r="BC6">
            <v>3298517.3</v>
          </cell>
          <cell r="BD6">
            <v>4866170.7</v>
          </cell>
          <cell r="BE6">
            <v>6441570.7999999998</v>
          </cell>
          <cell r="BF6">
            <v>8737798.6999999993</v>
          </cell>
          <cell r="BG6">
            <v>10575357.4</v>
          </cell>
          <cell r="BH6">
            <v>12654264.9</v>
          </cell>
          <cell r="BI6">
            <v>15766920.800000001</v>
          </cell>
          <cell r="BJ6">
            <v>18394985.300000001</v>
          </cell>
          <cell r="BK6">
            <v>21608191.800000001</v>
          </cell>
          <cell r="BL6">
            <v>23346746.5</v>
          </cell>
          <cell r="BM6">
            <v>26230768.899999999</v>
          </cell>
          <cell r="BN6">
            <v>110031920.59999999</v>
          </cell>
        </row>
        <row r="7">
          <cell r="B7">
            <v>1743.4416368990005</v>
          </cell>
          <cell r="C7">
            <v>95308252</v>
          </cell>
          <cell r="D7">
            <v>5930081.5300000003</v>
          </cell>
          <cell r="E7">
            <v>8931664.0199999996</v>
          </cell>
          <cell r="F7">
            <v>14342069.029999999</v>
          </cell>
          <cell r="G7">
            <v>18749493.609999999</v>
          </cell>
          <cell r="H7">
            <v>22435086.960000001</v>
          </cell>
          <cell r="I7">
            <v>28316851.460000001</v>
          </cell>
          <cell r="J7">
            <v>32155761.48</v>
          </cell>
          <cell r="K7">
            <v>45594757.329999998</v>
          </cell>
          <cell r="L7">
            <v>50126049.989999995</v>
          </cell>
          <cell r="M7">
            <v>61154814.819999993</v>
          </cell>
          <cell r="N7">
            <v>72861724.400000006</v>
          </cell>
          <cell r="O7">
            <v>82930783.890000001</v>
          </cell>
          <cell r="P7">
            <v>29342276</v>
          </cell>
          <cell r="Q7">
            <v>3533884.53</v>
          </cell>
          <cell r="R7">
            <v>6969597.0199999996</v>
          </cell>
          <cell r="S7">
            <v>14257808.01</v>
          </cell>
          <cell r="T7">
            <v>19490652.68</v>
          </cell>
          <cell r="U7">
            <v>24817122.609999999</v>
          </cell>
          <cell r="V7">
            <v>47238043.030000001</v>
          </cell>
          <cell r="W7">
            <v>50681049.130000003</v>
          </cell>
          <cell r="X7">
            <v>55662876.789999999</v>
          </cell>
          <cell r="Y7">
            <v>61598095.170000002</v>
          </cell>
          <cell r="Z7">
            <v>83136932.319999993</v>
          </cell>
          <cell r="AA7">
            <v>88857711.400000006</v>
          </cell>
          <cell r="AB7">
            <v>105370147.53999999</v>
          </cell>
          <cell r="AC7">
            <v>127039971</v>
          </cell>
          <cell r="AD7">
            <v>3689317.06</v>
          </cell>
          <cell r="AE7">
            <v>10841786.57</v>
          </cell>
          <cell r="AF7">
            <v>17007289.73</v>
          </cell>
          <cell r="AG7">
            <v>23886869.990000002</v>
          </cell>
          <cell r="AH7">
            <v>29807634.799999997</v>
          </cell>
          <cell r="AI7">
            <v>36222859.350000001</v>
          </cell>
          <cell r="AJ7">
            <v>99213426.060000002</v>
          </cell>
          <cell r="AK7">
            <v>54122994.450000003</v>
          </cell>
          <cell r="AL7">
            <v>77900780.370000005</v>
          </cell>
          <cell r="AM7">
            <v>89822563.269999996</v>
          </cell>
          <cell r="AN7">
            <v>99900672.650000006</v>
          </cell>
          <cell r="AO7">
            <v>129360851</v>
          </cell>
          <cell r="AP7">
            <v>4387964.9000000004</v>
          </cell>
          <cell r="AQ7">
            <v>11672585.600000001</v>
          </cell>
          <cell r="AR7">
            <v>19192885.73</v>
          </cell>
          <cell r="AS7">
            <v>24924946.779999997</v>
          </cell>
          <cell r="AT7">
            <v>33068406.509999998</v>
          </cell>
          <cell r="AU7">
            <v>39950355.719999999</v>
          </cell>
          <cell r="AV7">
            <v>46004359.770000003</v>
          </cell>
          <cell r="AW7">
            <v>48421546.609999999</v>
          </cell>
          <cell r="AX7">
            <v>61167019.979999997</v>
          </cell>
          <cell r="AY7">
            <v>70735692.260000005</v>
          </cell>
          <cell r="AZ7">
            <v>77681616.829999998</v>
          </cell>
          <cell r="BA7">
            <v>103924725.53</v>
          </cell>
          <cell r="BB7">
            <v>129834046</v>
          </cell>
          <cell r="BC7">
            <v>6043474.5899999999</v>
          </cell>
          <cell r="BD7">
            <v>11782014.08</v>
          </cell>
          <cell r="BE7">
            <v>23900746.469999999</v>
          </cell>
          <cell r="BF7">
            <v>30603178.669999998</v>
          </cell>
          <cell r="BG7">
            <v>36952213.539999999</v>
          </cell>
          <cell r="BH7">
            <v>45653930.480000004</v>
          </cell>
          <cell r="BI7">
            <v>58027030.920000002</v>
          </cell>
          <cell r="BJ7">
            <v>63350156.480000004</v>
          </cell>
          <cell r="BK7">
            <v>68186988.820000008</v>
          </cell>
          <cell r="BL7">
            <v>75330069.25</v>
          </cell>
          <cell r="BM7">
            <v>92410841.719999999</v>
          </cell>
          <cell r="BN7">
            <v>110475525.03</v>
          </cell>
          <cell r="BO7">
            <v>0</v>
          </cell>
        </row>
        <row r="13">
          <cell r="B13">
            <v>185.36</v>
          </cell>
          <cell r="C13">
            <v>14766796</v>
          </cell>
          <cell r="D13">
            <v>588165.55000000005</v>
          </cell>
          <cell r="E13">
            <v>1014759.5</v>
          </cell>
          <cell r="F13">
            <v>1486405.85</v>
          </cell>
          <cell r="G13">
            <v>2076187.75</v>
          </cell>
          <cell r="H13">
            <v>6320227.5800000001</v>
          </cell>
          <cell r="I13">
            <v>8020486.6699999999</v>
          </cell>
          <cell r="J13">
            <v>9694002.0600000005</v>
          </cell>
          <cell r="K13">
            <v>11248585.07</v>
          </cell>
          <cell r="L13">
            <v>12742100.560000001</v>
          </cell>
          <cell r="M13">
            <v>14751978.4</v>
          </cell>
          <cell r="N13">
            <v>17219789.129999999</v>
          </cell>
          <cell r="O13">
            <v>18459703.829999998</v>
          </cell>
          <cell r="P13">
            <v>18459704</v>
          </cell>
          <cell r="Q13">
            <v>739198.65</v>
          </cell>
          <cell r="R13">
            <v>1257955.3999999999</v>
          </cell>
          <cell r="S13">
            <v>2225826.4</v>
          </cell>
          <cell r="T13">
            <v>2648297.5</v>
          </cell>
          <cell r="U13">
            <v>6818095.0999999996</v>
          </cell>
          <cell r="V13">
            <v>12624925.890000001</v>
          </cell>
          <cell r="W13">
            <v>14806184.359999999</v>
          </cell>
          <cell r="X13">
            <v>15240192.460000001</v>
          </cell>
          <cell r="Y13">
            <v>17435434.760000002</v>
          </cell>
          <cell r="Z13">
            <v>23933925.760000002</v>
          </cell>
          <cell r="AA13">
            <v>24446528.109999999</v>
          </cell>
          <cell r="AB13">
            <v>25491733.809999999</v>
          </cell>
          <cell r="AC13">
            <v>25491734</v>
          </cell>
          <cell r="AD13">
            <v>895797.3</v>
          </cell>
          <cell r="AE13">
            <v>3045494.36</v>
          </cell>
          <cell r="AF13">
            <v>5378648.3200000003</v>
          </cell>
          <cell r="AG13">
            <v>6236991.4699999997</v>
          </cell>
          <cell r="AH13">
            <v>8332408.71</v>
          </cell>
          <cell r="AI13">
            <v>10463843.82</v>
          </cell>
          <cell r="AJ13">
            <v>30343248.079999998</v>
          </cell>
          <cell r="AK13">
            <v>17294473.149999999</v>
          </cell>
          <cell r="AL13">
            <v>22571873.370000001</v>
          </cell>
          <cell r="AM13">
            <v>24964376.260000002</v>
          </cell>
          <cell r="AN13">
            <v>20712158.210000001</v>
          </cell>
          <cell r="AO13">
            <v>20712158</v>
          </cell>
          <cell r="AP13">
            <v>1384244.11</v>
          </cell>
          <cell r="AQ13">
            <v>2668128.34</v>
          </cell>
          <cell r="AR13">
            <v>3535902.84</v>
          </cell>
          <cell r="AS13">
            <v>4013128.04</v>
          </cell>
          <cell r="AT13">
            <v>6095721.0999999996</v>
          </cell>
          <cell r="AU13">
            <v>9124081.0899999999</v>
          </cell>
          <cell r="AV13">
            <v>11179952.25</v>
          </cell>
          <cell r="AW13">
            <v>13509786.359999999</v>
          </cell>
          <cell r="AX13">
            <v>16647427.460000001</v>
          </cell>
          <cell r="AY13">
            <v>18209763.010000002</v>
          </cell>
          <cell r="AZ13">
            <v>20523361.219999999</v>
          </cell>
          <cell r="BA13">
            <v>23470698.82</v>
          </cell>
          <cell r="BB13">
            <v>23470698.82</v>
          </cell>
          <cell r="BC13">
            <v>269373.45</v>
          </cell>
          <cell r="BD13">
            <v>840650.45</v>
          </cell>
          <cell r="BE13">
            <v>3928451.86</v>
          </cell>
          <cell r="BF13">
            <v>5855531.29</v>
          </cell>
          <cell r="BG13">
            <v>7902593.9699999997</v>
          </cell>
          <cell r="BH13">
            <v>10618872.939999999</v>
          </cell>
          <cell r="BI13">
            <v>14894537.74</v>
          </cell>
          <cell r="BJ13">
            <v>16223640.880000001</v>
          </cell>
          <cell r="BK13">
            <v>18112636.300000001</v>
          </cell>
          <cell r="BL13">
            <v>20488225.469999999</v>
          </cell>
          <cell r="BM13">
            <v>30383393.390000001</v>
          </cell>
          <cell r="BN13">
            <v>24699335.280000001</v>
          </cell>
        </row>
        <row r="14">
          <cell r="B14">
            <v>363.72469999999998</v>
          </cell>
          <cell r="C14">
            <v>17546381</v>
          </cell>
          <cell r="D14">
            <v>0</v>
          </cell>
          <cell r="E14">
            <v>0</v>
          </cell>
          <cell r="F14">
            <v>0</v>
          </cell>
          <cell r="G14">
            <v>500000</v>
          </cell>
          <cell r="H14">
            <v>1289041.1100000001</v>
          </cell>
          <cell r="I14">
            <v>1798630.16</v>
          </cell>
          <cell r="J14">
            <v>2291680.85</v>
          </cell>
          <cell r="K14">
            <v>2846576.33</v>
          </cell>
          <cell r="L14">
            <v>3356165.38</v>
          </cell>
          <cell r="M14">
            <v>3865754.48</v>
          </cell>
          <cell r="N14">
            <v>3865754.48</v>
          </cell>
          <cell r="O14">
            <v>3865754.48</v>
          </cell>
          <cell r="P14">
            <v>3865754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/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/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</row>
        <row r="15">
          <cell r="B15"/>
          <cell r="C15"/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/>
          <cell r="J15"/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/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/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/>
          <cell r="BC15">
            <v>0</v>
          </cell>
          <cell r="BD15">
            <v>0</v>
          </cell>
          <cell r="BE15">
            <v>0</v>
          </cell>
          <cell r="BF15">
            <v>476614.7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</row>
        <row r="16">
          <cell r="B16"/>
          <cell r="C16">
            <v>4141006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/>
          <cell r="J16"/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13321596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29234818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22348004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/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</row>
        <row r="23">
          <cell r="B23">
            <v>11019.3799</v>
          </cell>
          <cell r="C23">
            <v>130812951</v>
          </cell>
          <cell r="D23">
            <v>8692895.1699999999</v>
          </cell>
          <cell r="E23">
            <v>20809524.350000001</v>
          </cell>
          <cell r="F23">
            <v>32704863.390000001</v>
          </cell>
          <cell r="G23">
            <v>44864604.099999994</v>
          </cell>
          <cell r="H23">
            <v>54164843.930000007</v>
          </cell>
          <cell r="I23">
            <v>65251483.5</v>
          </cell>
          <cell r="J23">
            <v>75095956.829999998</v>
          </cell>
          <cell r="K23">
            <v>86074674.99000001</v>
          </cell>
          <cell r="L23">
            <v>97124100.599999994</v>
          </cell>
          <cell r="M23">
            <v>109496217.03</v>
          </cell>
          <cell r="N23">
            <v>123143463.98</v>
          </cell>
          <cell r="O23">
            <v>135604285.91</v>
          </cell>
          <cell r="P23">
            <v>135384285</v>
          </cell>
          <cell r="Q23">
            <v>9748632.2800000012</v>
          </cell>
          <cell r="R23">
            <v>24013690.780000001</v>
          </cell>
          <cell r="S23">
            <v>37219420.850000001</v>
          </cell>
          <cell r="T23">
            <v>47828052.519999996</v>
          </cell>
          <cell r="U23">
            <v>57992593.290000007</v>
          </cell>
          <cell r="V23">
            <v>71746416.879999995</v>
          </cell>
          <cell r="W23">
            <v>83333607.099999994</v>
          </cell>
          <cell r="X23">
            <v>93882022.730000004</v>
          </cell>
          <cell r="Y23">
            <v>104637596.72999999</v>
          </cell>
          <cell r="Z23">
            <v>118081337.06999999</v>
          </cell>
          <cell r="AA23">
            <v>128364579.49000001</v>
          </cell>
          <cell r="AB23">
            <v>142023141.47</v>
          </cell>
          <cell r="AC23">
            <v>140716337</v>
          </cell>
          <cell r="AD23">
            <v>10315395.25</v>
          </cell>
          <cell r="AE23">
            <v>22969819.640000001</v>
          </cell>
          <cell r="AF23">
            <v>34842816.799999997</v>
          </cell>
          <cell r="AG23">
            <v>45276878.490000002</v>
          </cell>
          <cell r="AH23">
            <v>54120004.509999998</v>
          </cell>
          <cell r="AI23">
            <v>63580524.550000012</v>
          </cell>
          <cell r="AJ23">
            <v>168870806.62</v>
          </cell>
          <cell r="AK23">
            <v>97073635.039999992</v>
          </cell>
          <cell r="AL23">
            <v>114553532.06999999</v>
          </cell>
          <cell r="AM23">
            <v>125148166.73999999</v>
          </cell>
          <cell r="AN23">
            <v>139380216.76999998</v>
          </cell>
          <cell r="AO23">
            <v>139387067</v>
          </cell>
          <cell r="AP23">
            <v>9289916.4199999999</v>
          </cell>
          <cell r="AQ23">
            <v>23585344.18</v>
          </cell>
          <cell r="AR23">
            <v>35892672.980000004</v>
          </cell>
          <cell r="AS23">
            <v>46921233.600000001</v>
          </cell>
          <cell r="AT23">
            <v>58518404.140000001</v>
          </cell>
          <cell r="AU23">
            <v>70388712.420000002</v>
          </cell>
          <cell r="AV23">
            <v>81294518.549999997</v>
          </cell>
          <cell r="AW23">
            <v>90582647.109999999</v>
          </cell>
          <cell r="AX23">
            <v>103602759.05</v>
          </cell>
          <cell r="AY23">
            <v>114952499.5</v>
          </cell>
          <cell r="AZ23">
            <v>128251208.46000001</v>
          </cell>
          <cell r="BA23">
            <v>147018411.06999999</v>
          </cell>
          <cell r="BB23">
            <v>144998798</v>
          </cell>
          <cell r="BC23">
            <v>13375883.310000001</v>
          </cell>
          <cell r="BD23">
            <v>26716911.609999999</v>
          </cell>
          <cell r="BE23">
            <v>42200104.939999998</v>
          </cell>
          <cell r="BF23">
            <v>54122869.379999995</v>
          </cell>
          <cell r="BG23">
            <v>66466835.529999994</v>
          </cell>
          <cell r="BH23">
            <v>78624176.789999992</v>
          </cell>
          <cell r="BI23">
            <v>95673435.349999994</v>
          </cell>
          <cell r="BJ23">
            <v>107964120.22</v>
          </cell>
          <cell r="BK23">
            <v>121098440.70999998</v>
          </cell>
          <cell r="BL23">
            <v>132532794.91999999</v>
          </cell>
          <cell r="BM23">
            <v>146060138</v>
          </cell>
          <cell r="BN23">
            <v>162446753.38999999</v>
          </cell>
          <cell r="BO23">
            <v>0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3"/>
  <sheetViews>
    <sheetView workbookViewId="0">
      <pane xSplit="1" ySplit="3" topLeftCell="B32" activePane="bottomRight" state="frozen"/>
      <selection pane="bottomRight" activeCell="R43" sqref="R43"/>
      <selection pane="bottomLeft"/>
      <selection pane="topRight"/>
    </sheetView>
  </sheetViews>
  <sheetFormatPr defaultRowHeight="14.45"/>
  <cols>
    <col min="1" max="1" width="33.7109375" bestFit="1" customWidth="1"/>
    <col min="2" max="2" width="13.28515625" style="48" bestFit="1" customWidth="1"/>
    <col min="3" max="3" width="13.85546875" style="49" bestFit="1" customWidth="1"/>
    <col min="4" max="4" width="13.7109375" style="50" bestFit="1" customWidth="1"/>
    <col min="5" max="5" width="14.7109375" style="32" bestFit="1" customWidth="1"/>
    <col min="6" max="7" width="13.7109375" style="32" bestFit="1" customWidth="1"/>
    <col min="8" max="8" width="13.7109375" style="51" bestFit="1" customWidth="1"/>
    <col min="9" max="10" width="13.7109375" bestFit="1" customWidth="1"/>
    <col min="11" max="11" width="2.140625" customWidth="1"/>
    <col min="12" max="15" width="13.7109375" hidden="1" customWidth="1"/>
    <col min="16" max="17" width="13.7109375" bestFit="1" customWidth="1"/>
    <col min="18" max="18" width="15.7109375" style="77" customWidth="1"/>
    <col min="19" max="19" width="0.140625" customWidth="1"/>
    <col min="20" max="20" width="13.7109375" hidden="1" customWidth="1"/>
    <col min="21" max="21" width="12.5703125" hidden="1" customWidth="1"/>
    <col min="22" max="22" width="8.85546875" hidden="1" customWidth="1"/>
    <col min="23" max="23" width="14.7109375" bestFit="1" customWidth="1"/>
    <col min="24" max="24" width="12" bestFit="1" customWidth="1"/>
    <col min="25" max="25" width="12.5703125" bestFit="1" customWidth="1"/>
    <col min="29" max="29" width="9.140625" bestFit="1" customWidth="1"/>
  </cols>
  <sheetData>
    <row r="1" spans="1:24" ht="15" customHeight="1">
      <c r="A1" s="173"/>
      <c r="B1" s="173"/>
      <c r="C1" s="173"/>
    </row>
    <row r="3" spans="1:24" ht="44.25" customHeight="1">
      <c r="A3" s="52"/>
      <c r="B3" s="53" t="s">
        <v>0</v>
      </c>
      <c r="C3" s="54" t="s">
        <v>1</v>
      </c>
      <c r="D3" s="54" t="s">
        <v>2</v>
      </c>
      <c r="E3" s="72" t="s">
        <v>3</v>
      </c>
      <c r="F3" s="114">
        <v>44562</v>
      </c>
      <c r="G3" s="114">
        <v>44593</v>
      </c>
      <c r="H3" s="114">
        <v>44621</v>
      </c>
      <c r="I3" s="114">
        <v>44652</v>
      </c>
      <c r="J3" s="114">
        <v>44682</v>
      </c>
      <c r="K3" s="114">
        <v>44713</v>
      </c>
      <c r="L3" s="114">
        <v>44743</v>
      </c>
      <c r="M3" s="114">
        <v>44774</v>
      </c>
      <c r="N3" s="114">
        <v>44805</v>
      </c>
      <c r="O3" s="114">
        <v>44835</v>
      </c>
      <c r="P3" s="114">
        <v>44866</v>
      </c>
      <c r="Q3" s="114">
        <v>44896</v>
      </c>
      <c r="R3" s="119" t="s">
        <v>4</v>
      </c>
      <c r="S3" s="116">
        <v>44927</v>
      </c>
      <c r="T3" s="116">
        <v>44958</v>
      </c>
      <c r="U3" s="116">
        <v>44986</v>
      </c>
      <c r="V3" s="116">
        <v>45017</v>
      </c>
    </row>
    <row r="4" spans="1:24">
      <c r="A4" s="55" t="s">
        <v>5</v>
      </c>
      <c r="B4" s="56">
        <f>SUM(B5:B6)</f>
        <v>5868125.79</v>
      </c>
      <c r="C4" s="56">
        <f t="shared" ref="C4:U4" si="0">SUM(C5:C6)</f>
        <v>1234979</v>
      </c>
      <c r="D4" s="56">
        <f t="shared" si="0"/>
        <v>1043286</v>
      </c>
      <c r="E4" s="56">
        <f t="shared" si="0"/>
        <v>30124363.199999999</v>
      </c>
      <c r="F4" s="56">
        <f t="shared" si="0"/>
        <v>40657637.219999999</v>
      </c>
      <c r="G4" s="56">
        <f t="shared" si="0"/>
        <v>46805516.229999997</v>
      </c>
      <c r="H4" s="56">
        <f t="shared" si="0"/>
        <v>47044839.229999997</v>
      </c>
      <c r="I4" s="56">
        <f t="shared" si="0"/>
        <v>3886065</v>
      </c>
      <c r="J4" s="56">
        <f t="shared" si="0"/>
        <v>11314395.119999999</v>
      </c>
      <c r="K4" s="56">
        <f t="shared" si="0"/>
        <v>16506986.689999999</v>
      </c>
      <c r="L4" s="56">
        <f t="shared" si="0"/>
        <v>12021687.25</v>
      </c>
      <c r="M4" s="56">
        <f t="shared" si="0"/>
        <v>9717422.7300000004</v>
      </c>
      <c r="N4" s="56">
        <f t="shared" si="0"/>
        <v>8239064.2999999998</v>
      </c>
      <c r="O4" s="56">
        <f t="shared" si="0"/>
        <v>8514607.2899999991</v>
      </c>
      <c r="P4" s="56">
        <f t="shared" si="0"/>
        <v>13561806.470000001</v>
      </c>
      <c r="Q4" s="56">
        <f t="shared" si="0"/>
        <v>15401207</v>
      </c>
      <c r="R4" s="120">
        <f t="shared" si="0"/>
        <v>14844277.229999999</v>
      </c>
      <c r="S4" s="56">
        <f t="shared" si="0"/>
        <v>7197529.1100000003</v>
      </c>
      <c r="T4" s="56">
        <f t="shared" si="0"/>
        <v>14793026.300000001</v>
      </c>
      <c r="U4" s="56">
        <f t="shared" si="0"/>
        <v>0</v>
      </c>
    </row>
    <row r="5" spans="1:24">
      <c r="A5" s="57" t="s">
        <v>6</v>
      </c>
      <c r="B5" s="58"/>
      <c r="C5" s="59"/>
      <c r="D5" s="49"/>
      <c r="F5" s="191">
        <v>4283259</v>
      </c>
      <c r="G5" s="191">
        <v>5100800</v>
      </c>
      <c r="H5" s="191">
        <v>4039323</v>
      </c>
      <c r="I5" s="191">
        <v>3291760</v>
      </c>
      <c r="J5" s="191">
        <v>1367523</v>
      </c>
      <c r="K5" s="191">
        <v>1960209</v>
      </c>
      <c r="L5" s="191">
        <v>3836371</v>
      </c>
      <c r="M5" s="191">
        <v>3520515</v>
      </c>
      <c r="N5" s="191">
        <v>2558686</v>
      </c>
      <c r="O5" s="108">
        <v>4787981</v>
      </c>
      <c r="P5" s="108">
        <v>2713475</v>
      </c>
      <c r="Q5" s="110">
        <v>4330885</v>
      </c>
      <c r="R5" s="118">
        <v>4324245</v>
      </c>
      <c r="S5" s="108">
        <v>2851070</v>
      </c>
      <c r="T5" s="108">
        <v>3907656</v>
      </c>
    </row>
    <row r="6" spans="1:24">
      <c r="A6" s="57" t="s">
        <v>7</v>
      </c>
      <c r="B6" s="59">
        <v>5868125.79</v>
      </c>
      <c r="C6" s="60">
        <v>1234979</v>
      </c>
      <c r="D6" s="59">
        <v>1043286</v>
      </c>
      <c r="E6" s="32">
        <f>26917487.4+5000+5315+12746+1703812+1480002.8</f>
        <v>30124363.199999999</v>
      </c>
      <c r="F6" s="191">
        <v>36374378.219999999</v>
      </c>
      <c r="G6" s="191">
        <v>41704716.229999997</v>
      </c>
      <c r="H6" s="191">
        <v>43005516.229999997</v>
      </c>
      <c r="I6" s="191">
        <v>594305</v>
      </c>
      <c r="J6" s="191">
        <v>9946872.1199999992</v>
      </c>
      <c r="K6" s="191">
        <v>14546777.689999999</v>
      </c>
      <c r="L6" s="191">
        <v>8185316.25</v>
      </c>
      <c r="M6" s="191">
        <v>6196907.7300000004</v>
      </c>
      <c r="N6" s="191">
        <v>5680378.2999999998</v>
      </c>
      <c r="O6" s="108">
        <v>3726626.29</v>
      </c>
      <c r="P6" s="108">
        <v>10848331.470000001</v>
      </c>
      <c r="Q6" s="110">
        <v>11070322</v>
      </c>
      <c r="R6" s="118">
        <f>8471796.79+5000+5315+10826.24+219916+1807178.2</f>
        <v>10520032.229999999</v>
      </c>
      <c r="S6" s="108">
        <v>4346459.1100000003</v>
      </c>
      <c r="T6" s="108">
        <v>10885370.300000001</v>
      </c>
    </row>
    <row r="7" spans="1:24" s="31" customFormat="1">
      <c r="A7" s="55" t="s">
        <v>8</v>
      </c>
      <c r="B7" s="61">
        <v>8797645.1999999993</v>
      </c>
      <c r="C7" s="61">
        <v>36925582</v>
      </c>
      <c r="D7" s="61">
        <v>37280987</v>
      </c>
      <c r="E7" s="43">
        <v>42014210.270000003</v>
      </c>
      <c r="F7" s="191">
        <v>37540860.880000003</v>
      </c>
      <c r="G7" s="191">
        <v>40064321.700000003</v>
      </c>
      <c r="H7" s="191">
        <v>42968831.43</v>
      </c>
      <c r="I7" s="191">
        <v>53782957.710000001</v>
      </c>
      <c r="J7" s="191">
        <v>55268955.659999996</v>
      </c>
      <c r="K7" s="191">
        <v>55585579.149999999</v>
      </c>
      <c r="L7" s="191">
        <v>57301539.880000003</v>
      </c>
      <c r="M7" s="191">
        <v>57289863.450000003</v>
      </c>
      <c r="N7" s="191">
        <v>42102580.409999996</v>
      </c>
      <c r="O7" s="108">
        <v>52670808.270000003</v>
      </c>
      <c r="P7" s="108">
        <v>50321655.079999998</v>
      </c>
      <c r="Q7" s="110">
        <v>44340045.5</v>
      </c>
      <c r="R7" s="118">
        <v>43538535.210000001</v>
      </c>
      <c r="S7" s="108">
        <v>46175742.770000003</v>
      </c>
      <c r="T7" s="108">
        <v>47181747.310000002</v>
      </c>
    </row>
    <row r="8" spans="1:24">
      <c r="A8" s="55" t="s">
        <v>9</v>
      </c>
      <c r="B8" s="56">
        <f>SUM(B9:B12)</f>
        <v>10619075.539999999</v>
      </c>
      <c r="C8" s="56">
        <f t="shared" ref="C8:U8" si="1">SUM(C9:C12)</f>
        <v>10004941</v>
      </c>
      <c r="D8" s="56">
        <f t="shared" si="1"/>
        <v>33592821</v>
      </c>
      <c r="E8" s="56">
        <f t="shared" si="1"/>
        <v>7484698.8300000001</v>
      </c>
      <c r="F8" s="56">
        <f t="shared" si="1"/>
        <v>7486115.7600000007</v>
      </c>
      <c r="G8" s="56">
        <f t="shared" si="1"/>
        <v>7486115.7600000007</v>
      </c>
      <c r="H8" s="56">
        <f t="shared" si="1"/>
        <v>7486115.7600000007</v>
      </c>
      <c r="I8" s="56">
        <f t="shared" si="1"/>
        <v>27486115.760000002</v>
      </c>
      <c r="J8" s="56">
        <f t="shared" si="1"/>
        <v>27486115.760000002</v>
      </c>
      <c r="K8" s="56">
        <f t="shared" si="1"/>
        <v>27714994.560000002</v>
      </c>
      <c r="L8" s="56">
        <f t="shared" si="1"/>
        <v>27714994.560000002</v>
      </c>
      <c r="M8" s="56">
        <f t="shared" si="1"/>
        <v>28368735.060000002</v>
      </c>
      <c r="N8" s="56">
        <f t="shared" si="1"/>
        <v>28903311.23</v>
      </c>
      <c r="O8" s="56">
        <f t="shared" si="1"/>
        <v>34510034.280000001</v>
      </c>
      <c r="P8" s="56">
        <f t="shared" si="1"/>
        <v>39788750.280000001</v>
      </c>
      <c r="Q8" s="56">
        <f t="shared" si="1"/>
        <v>47102895.539999999</v>
      </c>
      <c r="R8" s="120">
        <f t="shared" si="1"/>
        <v>47407232.129999995</v>
      </c>
      <c r="S8" s="56">
        <f t="shared" si="1"/>
        <v>47102895.539999999</v>
      </c>
      <c r="T8" s="56">
        <f t="shared" si="1"/>
        <v>42102895.539999999</v>
      </c>
      <c r="U8" s="56">
        <f t="shared" si="1"/>
        <v>0</v>
      </c>
    </row>
    <row r="9" spans="1:24">
      <c r="A9" s="57" t="s">
        <v>10</v>
      </c>
      <c r="B9" s="58"/>
      <c r="C9" s="60"/>
      <c r="D9" s="49"/>
      <c r="F9" s="191">
        <v>0</v>
      </c>
      <c r="G9" s="191">
        <v>0</v>
      </c>
      <c r="H9" s="191">
        <v>0</v>
      </c>
      <c r="I9" s="191">
        <v>0</v>
      </c>
      <c r="J9" s="191">
        <v>0</v>
      </c>
      <c r="K9" s="191">
        <v>0</v>
      </c>
      <c r="L9" s="191">
        <v>0</v>
      </c>
      <c r="M9" s="191">
        <v>0</v>
      </c>
      <c r="N9" s="191">
        <v>0</v>
      </c>
      <c r="O9" s="108">
        <v>15749970.689999999</v>
      </c>
      <c r="P9" s="108">
        <v>20749970.690000001</v>
      </c>
      <c r="Q9" s="110">
        <v>28064115.949999999</v>
      </c>
      <c r="R9" s="118">
        <v>28064115</v>
      </c>
      <c r="S9" s="108">
        <v>28064115.949999999</v>
      </c>
      <c r="T9" s="108">
        <v>23064115.949999999</v>
      </c>
    </row>
    <row r="10" spans="1:24">
      <c r="A10" s="57" t="s">
        <v>11</v>
      </c>
      <c r="B10" s="58"/>
      <c r="C10" s="60"/>
      <c r="D10" s="49"/>
      <c r="F10" s="191">
        <v>188418.73</v>
      </c>
      <c r="G10" s="191">
        <v>188418.73</v>
      </c>
      <c r="H10" s="191">
        <v>188418.73</v>
      </c>
      <c r="I10" s="191">
        <v>10188418.73</v>
      </c>
      <c r="J10" s="191">
        <v>10188418.73</v>
      </c>
      <c r="K10" s="191">
        <v>10417297.529999999</v>
      </c>
      <c r="L10" s="191">
        <v>10417297.529999999</v>
      </c>
      <c r="M10" s="191">
        <v>10571038.029999999</v>
      </c>
      <c r="N10" s="191">
        <v>10646826.210000001</v>
      </c>
      <c r="O10" s="108">
        <v>0</v>
      </c>
      <c r="P10" s="108">
        <v>0</v>
      </c>
      <c r="Q10" s="108">
        <v>0</v>
      </c>
      <c r="R10" s="121">
        <v>0</v>
      </c>
      <c r="S10" s="108">
        <v>0</v>
      </c>
      <c r="T10" s="108">
        <v>0</v>
      </c>
    </row>
    <row r="11" spans="1:24">
      <c r="A11" s="57" t="s">
        <v>12</v>
      </c>
      <c r="B11" s="58">
        <f>10619075.54-B12</f>
        <v>10452545.539999999</v>
      </c>
      <c r="C11" s="60">
        <f>10004941-C12</f>
        <v>9838411</v>
      </c>
      <c r="D11" s="48">
        <f>33592821-D12</f>
        <v>33426291</v>
      </c>
      <c r="E11" s="32">
        <f>6403100+187001.83+727567</f>
        <v>7317668.8300000001</v>
      </c>
      <c r="F11" s="191">
        <v>7130667.0300000003</v>
      </c>
      <c r="G11" s="191">
        <v>7130667.0300000003</v>
      </c>
      <c r="H11" s="191">
        <v>7130667.0300000003</v>
      </c>
      <c r="I11" s="191">
        <v>17130667.030000001</v>
      </c>
      <c r="J11" s="191">
        <v>17130667.030000001</v>
      </c>
      <c r="K11" s="191">
        <v>17130667.030000001</v>
      </c>
      <c r="L11" s="191">
        <v>17130667.030000001</v>
      </c>
      <c r="M11" s="191">
        <v>17630667.030000001</v>
      </c>
      <c r="N11" s="191">
        <v>18089455.02</v>
      </c>
      <c r="O11" s="108">
        <v>18593033.59</v>
      </c>
      <c r="P11" s="108">
        <v>18871749.59</v>
      </c>
      <c r="Q11" s="110">
        <v>18871749.59</v>
      </c>
      <c r="R11" s="118">
        <f>1939339.13+17236748+10500</f>
        <v>19186587.129999999</v>
      </c>
      <c r="S11" s="108">
        <v>18871749.59</v>
      </c>
      <c r="T11" s="108">
        <v>18871749.59</v>
      </c>
      <c r="X11">
        <f>30496614-21102731</f>
        <v>9393883</v>
      </c>
    </row>
    <row r="12" spans="1:24">
      <c r="A12" s="57" t="s">
        <v>13</v>
      </c>
      <c r="B12" s="59">
        <f>21530+10000+135000</f>
        <v>166530</v>
      </c>
      <c r="C12" s="59">
        <f>21530+10000+135000</f>
        <v>166530</v>
      </c>
      <c r="D12" s="59">
        <f>21530+10000+135000</f>
        <v>166530</v>
      </c>
      <c r="E12" s="32">
        <f>21530+135000+10500</f>
        <v>167030</v>
      </c>
      <c r="F12" s="191">
        <v>167030</v>
      </c>
      <c r="G12" s="191">
        <v>167030</v>
      </c>
      <c r="H12" s="191">
        <v>167030</v>
      </c>
      <c r="I12" s="191">
        <v>167030</v>
      </c>
      <c r="J12" s="191">
        <v>167030</v>
      </c>
      <c r="K12" s="191">
        <v>167030</v>
      </c>
      <c r="L12" s="191">
        <v>167030</v>
      </c>
      <c r="M12" s="191">
        <v>167030</v>
      </c>
      <c r="N12" s="191">
        <v>167030</v>
      </c>
      <c r="O12" s="108">
        <v>167030</v>
      </c>
      <c r="P12" s="108">
        <v>167030</v>
      </c>
      <c r="Q12" s="110">
        <v>167030</v>
      </c>
      <c r="R12" s="118">
        <f>135000+21530</f>
        <v>156530</v>
      </c>
      <c r="S12" s="108">
        <v>167030</v>
      </c>
      <c r="T12" s="108">
        <v>167030</v>
      </c>
    </row>
    <row r="13" spans="1:24">
      <c r="A13" s="55" t="s">
        <v>14</v>
      </c>
      <c r="B13" s="56">
        <f>B14-B15</f>
        <v>220553979</v>
      </c>
      <c r="C13" s="56">
        <f t="shared" ref="C13:U13" si="2">C14-C15</f>
        <v>226294587.21000001</v>
      </c>
      <c r="D13" s="56">
        <f t="shared" si="2"/>
        <v>227332655</v>
      </c>
      <c r="E13" s="56">
        <f t="shared" si="2"/>
        <v>263690737.47999999</v>
      </c>
      <c r="F13" s="56">
        <f t="shared" si="2"/>
        <v>274067997.52999997</v>
      </c>
      <c r="G13" s="56">
        <f t="shared" si="2"/>
        <v>274743507.81</v>
      </c>
      <c r="H13" s="56">
        <f t="shared" si="2"/>
        <v>268117878.15000001</v>
      </c>
      <c r="I13" s="56">
        <f t="shared" si="2"/>
        <v>289049917.16000003</v>
      </c>
      <c r="J13" s="56">
        <f t="shared" si="2"/>
        <v>288477587.28000003</v>
      </c>
      <c r="K13" s="56">
        <f t="shared" si="2"/>
        <v>282547042.23000002</v>
      </c>
      <c r="L13" s="56">
        <f t="shared" si="2"/>
        <v>291390562.44</v>
      </c>
      <c r="M13" s="56">
        <f t="shared" si="2"/>
        <v>301618270.29000002</v>
      </c>
      <c r="N13" s="56">
        <f t="shared" si="2"/>
        <v>328737526.42000002</v>
      </c>
      <c r="O13" s="56">
        <f t="shared" si="2"/>
        <v>331570661.66000003</v>
      </c>
      <c r="P13" s="56">
        <f t="shared" si="2"/>
        <v>336972329.06</v>
      </c>
      <c r="Q13" s="56">
        <f t="shared" si="2"/>
        <v>324454405.41000003</v>
      </c>
      <c r="R13" s="120">
        <f t="shared" si="2"/>
        <v>296055057.31999999</v>
      </c>
      <c r="S13" s="56">
        <f t="shared" si="2"/>
        <v>329518744.67000002</v>
      </c>
      <c r="T13" s="56">
        <f t="shared" si="2"/>
        <v>329492700.67000002</v>
      </c>
      <c r="U13" s="56">
        <f t="shared" si="2"/>
        <v>0</v>
      </c>
    </row>
    <row r="14" spans="1:24" ht="15" thickBot="1">
      <c r="A14" s="57" t="s">
        <v>15</v>
      </c>
      <c r="B14" s="59">
        <f>222853979</f>
        <v>222853979</v>
      </c>
      <c r="C14" s="59">
        <f>228694587.21</f>
        <v>228694587.21000001</v>
      </c>
      <c r="D14" s="59">
        <f>231258250</f>
        <v>231258250</v>
      </c>
      <c r="E14" s="32">
        <v>277813578.31999999</v>
      </c>
      <c r="F14" s="191">
        <v>277993592.52999997</v>
      </c>
      <c r="G14" s="191">
        <v>278669102.81</v>
      </c>
      <c r="H14" s="191">
        <v>282240718.99000001</v>
      </c>
      <c r="I14" s="191">
        <v>303172758</v>
      </c>
      <c r="J14" s="191">
        <v>302600428.12</v>
      </c>
      <c r="K14" s="191">
        <v>296669883.06999999</v>
      </c>
      <c r="L14" s="191">
        <v>305513403.27999997</v>
      </c>
      <c r="M14" s="191">
        <v>315741111.13</v>
      </c>
      <c r="N14" s="191">
        <v>328737526.42000002</v>
      </c>
      <c r="O14" s="108">
        <v>331570661.66000003</v>
      </c>
      <c r="P14" s="108">
        <v>336972329.06</v>
      </c>
      <c r="Q14" s="110">
        <v>324454405.41000003</v>
      </c>
      <c r="R14" s="117">
        <v>313713341.18000001</v>
      </c>
      <c r="S14" s="108">
        <v>329518744.67000002</v>
      </c>
      <c r="T14" s="108">
        <v>329492700.67000002</v>
      </c>
    </row>
    <row r="15" spans="1:24" ht="15" thickTop="1">
      <c r="A15" s="57" t="s">
        <v>16</v>
      </c>
      <c r="B15" s="58">
        <v>2300000</v>
      </c>
      <c r="C15" s="60">
        <v>2400000</v>
      </c>
      <c r="D15" s="49">
        <v>3925595</v>
      </c>
      <c r="E15" s="32">
        <v>14122840.84</v>
      </c>
      <c r="F15" s="191">
        <v>3925595</v>
      </c>
      <c r="G15" s="191">
        <v>3925595</v>
      </c>
      <c r="H15" s="191">
        <v>14122840.84</v>
      </c>
      <c r="I15" s="191">
        <v>14122840.84</v>
      </c>
      <c r="J15" s="191">
        <v>14122840.84</v>
      </c>
      <c r="K15" s="191">
        <v>14122840.84</v>
      </c>
      <c r="L15" s="191">
        <v>14122840.84</v>
      </c>
      <c r="M15" s="191">
        <v>14122840.84</v>
      </c>
      <c r="N15" s="191">
        <v>0</v>
      </c>
      <c r="O15" s="108">
        <v>0</v>
      </c>
      <c r="P15" s="108">
        <v>0</v>
      </c>
      <c r="Q15" s="110">
        <v>0</v>
      </c>
      <c r="R15" s="118">
        <v>17658283.859999999</v>
      </c>
      <c r="S15" s="108">
        <v>0</v>
      </c>
      <c r="T15" s="108">
        <v>0</v>
      </c>
    </row>
    <row r="16" spans="1:24">
      <c r="A16" s="55" t="s">
        <v>17</v>
      </c>
      <c r="B16" s="56">
        <v>0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120">
        <v>0</v>
      </c>
      <c r="S16" s="56">
        <v>0</v>
      </c>
      <c r="T16" s="56">
        <v>0</v>
      </c>
      <c r="U16" s="56">
        <v>0</v>
      </c>
      <c r="W16" s="47">
        <f>R15-'[1]note 8-10'!$C$38</f>
        <v>28189.859999999404</v>
      </c>
    </row>
    <row r="17" spans="1:24">
      <c r="A17" s="57" t="s">
        <v>18</v>
      </c>
      <c r="B17" s="58"/>
      <c r="C17" s="60"/>
      <c r="D17" s="60"/>
      <c r="F17" s="191">
        <v>0</v>
      </c>
      <c r="G17" s="191">
        <v>0</v>
      </c>
      <c r="H17" s="191">
        <v>0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08">
        <v>0</v>
      </c>
      <c r="P17" s="108">
        <v>0</v>
      </c>
      <c r="Q17" s="110">
        <v>0</v>
      </c>
      <c r="R17" s="118"/>
      <c r="S17" s="108">
        <v>0</v>
      </c>
      <c r="T17" s="108">
        <v>0</v>
      </c>
    </row>
    <row r="18" spans="1:24">
      <c r="A18" s="57" t="s">
        <v>19</v>
      </c>
      <c r="B18" s="58"/>
      <c r="C18" s="60"/>
      <c r="F18" s="191">
        <v>0</v>
      </c>
      <c r="G18" s="191">
        <v>0</v>
      </c>
      <c r="H18" s="191">
        <v>0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08">
        <v>0</v>
      </c>
      <c r="P18" s="108">
        <v>0</v>
      </c>
      <c r="Q18" s="110">
        <v>0</v>
      </c>
      <c r="R18" s="118"/>
      <c r="S18" s="108">
        <v>0</v>
      </c>
      <c r="T18" s="108">
        <v>0</v>
      </c>
    </row>
    <row r="19" spans="1:24">
      <c r="A19" s="57" t="s">
        <v>20</v>
      </c>
      <c r="B19" s="58"/>
      <c r="C19" s="60"/>
      <c r="F19" s="191">
        <v>0</v>
      </c>
      <c r="G19" s="191">
        <v>0</v>
      </c>
      <c r="H19" s="191">
        <v>0</v>
      </c>
      <c r="I19" s="191">
        <v>0</v>
      </c>
      <c r="J19" s="191">
        <v>0</v>
      </c>
      <c r="K19" s="191">
        <v>0</v>
      </c>
      <c r="L19" s="191">
        <v>0</v>
      </c>
      <c r="M19" s="191">
        <v>0</v>
      </c>
      <c r="N19" s="191">
        <v>0</v>
      </c>
      <c r="O19" s="108">
        <v>0</v>
      </c>
      <c r="P19" s="108">
        <v>0</v>
      </c>
      <c r="Q19" s="110">
        <v>0</v>
      </c>
      <c r="R19" s="118"/>
      <c r="S19" s="108">
        <v>0</v>
      </c>
      <c r="T19" s="108">
        <v>0</v>
      </c>
    </row>
    <row r="20" spans="1:24">
      <c r="A20" s="55" t="s">
        <v>21</v>
      </c>
      <c r="B20" s="56">
        <f>SUM(B21:B25)</f>
        <v>20493085.75</v>
      </c>
      <c r="C20" s="56">
        <f t="shared" ref="C20:V20" si="3">SUM(C21:C25)</f>
        <v>20920446.370000001</v>
      </c>
      <c r="D20" s="56">
        <f t="shared" si="3"/>
        <v>22397895</v>
      </c>
      <c r="E20" s="56">
        <f t="shared" si="3"/>
        <v>20974222.18</v>
      </c>
      <c r="F20" s="56">
        <f t="shared" si="3"/>
        <v>24340508.57</v>
      </c>
      <c r="G20" s="56">
        <f t="shared" si="3"/>
        <v>24518502.07</v>
      </c>
      <c r="H20" s="56">
        <f t="shared" si="3"/>
        <v>23189546.030000001</v>
      </c>
      <c r="I20" s="56">
        <f t="shared" si="3"/>
        <v>23200829.129999999</v>
      </c>
      <c r="J20" s="56">
        <f t="shared" si="3"/>
        <v>23566181.129999999</v>
      </c>
      <c r="K20" s="56">
        <f t="shared" si="3"/>
        <v>23398991.129999999</v>
      </c>
      <c r="L20" s="56">
        <f t="shared" si="3"/>
        <v>23466562.129999999</v>
      </c>
      <c r="M20" s="56">
        <f t="shared" si="3"/>
        <v>23409514.129999999</v>
      </c>
      <c r="N20" s="56">
        <f t="shared" si="3"/>
        <v>22898941.98</v>
      </c>
      <c r="O20" s="56">
        <f t="shared" si="3"/>
        <v>23264960.129999999</v>
      </c>
      <c r="P20" s="56">
        <f t="shared" si="3"/>
        <v>23757829.129999999</v>
      </c>
      <c r="Q20" s="56">
        <f t="shared" si="3"/>
        <v>22358119.129999999</v>
      </c>
      <c r="R20" s="120">
        <f t="shared" si="3"/>
        <v>21168861.18</v>
      </c>
      <c r="S20" s="56">
        <f t="shared" si="3"/>
        <v>22429930.300000001</v>
      </c>
      <c r="T20" s="56">
        <f t="shared" si="3"/>
        <v>20696029.449999999</v>
      </c>
      <c r="U20" s="56">
        <f t="shared" si="3"/>
        <v>1.3228697451348567E-2</v>
      </c>
      <c r="V20" s="56">
        <f t="shared" si="3"/>
        <v>0</v>
      </c>
    </row>
    <row r="21" spans="1:24">
      <c r="A21" s="57" t="s">
        <v>22</v>
      </c>
      <c r="B21" s="59"/>
      <c r="C21" s="59"/>
      <c r="D21" s="59"/>
      <c r="F21" s="191">
        <v>0</v>
      </c>
      <c r="G21" s="191">
        <v>0</v>
      </c>
      <c r="H21" s="191">
        <v>0</v>
      </c>
      <c r="I21" s="191">
        <v>0</v>
      </c>
      <c r="J21" s="191">
        <v>0</v>
      </c>
      <c r="K21" s="191">
        <v>0</v>
      </c>
      <c r="L21" s="191">
        <v>0</v>
      </c>
      <c r="M21" s="191">
        <v>0</v>
      </c>
      <c r="N21" s="191">
        <v>0</v>
      </c>
      <c r="O21" s="108">
        <v>0</v>
      </c>
      <c r="P21" s="108">
        <v>0</v>
      </c>
      <c r="Q21" s="110">
        <v>0</v>
      </c>
      <c r="R21" s="118">
        <v>14460283</v>
      </c>
      <c r="S21" s="108">
        <v>0</v>
      </c>
      <c r="T21" s="108">
        <v>0</v>
      </c>
      <c r="W21" s="92"/>
    </row>
    <row r="22" spans="1:24">
      <c r="A22" s="57" t="s">
        <v>23</v>
      </c>
      <c r="B22" s="58">
        <v>20215735.75</v>
      </c>
      <c r="C22" s="60">
        <v>20219796.370000001</v>
      </c>
      <c r="D22" s="49">
        <v>21989873</v>
      </c>
      <c r="E22" s="32">
        <f>22597281-1651234</f>
        <v>20946047</v>
      </c>
      <c r="F22" s="191">
        <v>23433591.98</v>
      </c>
      <c r="G22" s="191">
        <v>23681921.98</v>
      </c>
      <c r="H22" s="191">
        <v>22159562.98</v>
      </c>
      <c r="I22" s="191">
        <v>22168562.98</v>
      </c>
      <c r="J22" s="191">
        <v>22458562.98</v>
      </c>
      <c r="K22" s="191">
        <v>22458562.98</v>
      </c>
      <c r="L22" s="191">
        <v>22458562.98</v>
      </c>
      <c r="M22" s="191">
        <v>22460562.98</v>
      </c>
      <c r="N22" s="191">
        <v>20241805.300000001</v>
      </c>
      <c r="O22" s="108">
        <v>20320805.300000001</v>
      </c>
      <c r="P22" s="108">
        <v>20320805.300000001</v>
      </c>
      <c r="Q22" s="110">
        <v>19350630.300000001</v>
      </c>
      <c r="R22" s="118">
        <f>610233+504374+634195+696102</f>
        <v>2444904</v>
      </c>
      <c r="S22" s="108">
        <v>19350630.300000001</v>
      </c>
      <c r="T22" s="108">
        <v>19350630.300000001</v>
      </c>
      <c r="W22" s="47"/>
    </row>
    <row r="23" spans="1:24">
      <c r="A23" s="57" t="s">
        <v>24</v>
      </c>
      <c r="B23" s="58"/>
      <c r="C23" s="60"/>
      <c r="D23" s="49"/>
      <c r="F23" s="191">
        <v>0</v>
      </c>
      <c r="G23" s="191">
        <v>0</v>
      </c>
      <c r="H23" s="191">
        <v>0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08">
        <v>0</v>
      </c>
      <c r="P23" s="108">
        <v>438379</v>
      </c>
      <c r="Q23" s="110">
        <v>438379</v>
      </c>
      <c r="R23" s="118"/>
      <c r="S23" s="108">
        <v>438379</v>
      </c>
      <c r="T23" s="108">
        <v>438379</v>
      </c>
    </row>
    <row r="24" spans="1:24">
      <c r="A24" s="57" t="s">
        <v>25</v>
      </c>
      <c r="B24" s="58"/>
      <c r="C24" s="60"/>
      <c r="D24" s="49"/>
      <c r="F24" s="191">
        <v>0</v>
      </c>
      <c r="G24" s="191">
        <v>0</v>
      </c>
      <c r="H24" s="191">
        <v>0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2218757.6800000002</v>
      </c>
      <c r="O24" s="108">
        <v>2218757.6800000002</v>
      </c>
      <c r="P24" s="108">
        <v>2218757.6800000002</v>
      </c>
      <c r="Q24" s="110">
        <v>1775005.68</v>
      </c>
      <c r="R24" s="118">
        <f>2422538+1775006</f>
        <v>4197544</v>
      </c>
      <c r="S24" s="108">
        <v>0</v>
      </c>
      <c r="T24" s="108">
        <v>0</v>
      </c>
      <c r="W24" s="47"/>
    </row>
    <row r="25" spans="1:24">
      <c r="A25" s="57" t="s">
        <v>26</v>
      </c>
      <c r="B25" s="58">
        <v>277350</v>
      </c>
      <c r="C25" s="60">
        <v>700650</v>
      </c>
      <c r="D25" s="49">
        <v>408022</v>
      </c>
      <c r="E25" s="32">
        <f>28175.18</f>
        <v>28175.18</v>
      </c>
      <c r="F25" s="191">
        <v>906916.59</v>
      </c>
      <c r="G25" s="191">
        <v>836580.09</v>
      </c>
      <c r="H25" s="191">
        <v>1029983.05</v>
      </c>
      <c r="I25" s="191">
        <v>1032266.15</v>
      </c>
      <c r="J25" s="191">
        <v>1107618.1499999999</v>
      </c>
      <c r="K25" s="191">
        <v>940428.15</v>
      </c>
      <c r="L25" s="191">
        <v>1007999.15</v>
      </c>
      <c r="M25" s="191">
        <v>948951.15</v>
      </c>
      <c r="N25" s="191">
        <v>438379</v>
      </c>
      <c r="O25" s="108">
        <v>725397.15</v>
      </c>
      <c r="P25" s="108">
        <v>779887.15</v>
      </c>
      <c r="Q25" s="110">
        <v>794104.15</v>
      </c>
      <c r="R25" s="118">
        <f>66130.18</f>
        <v>66130.179999999993</v>
      </c>
      <c r="S25" s="108">
        <v>2640921</v>
      </c>
      <c r="T25" s="108">
        <v>907020.15</v>
      </c>
      <c r="U25" s="47">
        <f>5700000/N26</f>
        <v>1.3228697451348567E-2</v>
      </c>
      <c r="W25" s="47">
        <f>423042153.88-R26</f>
        <v>28190.810000002384</v>
      </c>
    </row>
    <row r="26" spans="1:24">
      <c r="A26" s="55" t="s">
        <v>27</v>
      </c>
      <c r="B26" s="56">
        <f>B20+B16+B13+B8+B7+B4</f>
        <v>266331911.27999997</v>
      </c>
      <c r="C26" s="56">
        <f t="shared" ref="C26:V26" si="4">C20+C16+C13+C8+C7+C4</f>
        <v>295380535.58000004</v>
      </c>
      <c r="D26" s="56">
        <f t="shared" si="4"/>
        <v>321647644</v>
      </c>
      <c r="E26" s="56">
        <f t="shared" si="4"/>
        <v>364288231.95999992</v>
      </c>
      <c r="F26" s="56">
        <f t="shared" si="4"/>
        <v>384093119.95999992</v>
      </c>
      <c r="G26" s="56">
        <f t="shared" si="4"/>
        <v>393617963.56999999</v>
      </c>
      <c r="H26" s="56">
        <f t="shared" si="4"/>
        <v>388807210.60000002</v>
      </c>
      <c r="I26" s="56">
        <f t="shared" si="4"/>
        <v>397405884.75999999</v>
      </c>
      <c r="J26" s="56">
        <f t="shared" si="4"/>
        <v>406113234.95000005</v>
      </c>
      <c r="K26" s="56">
        <f t="shared" si="4"/>
        <v>405753593.75999999</v>
      </c>
      <c r="L26" s="56">
        <f t="shared" si="4"/>
        <v>411895346.25999999</v>
      </c>
      <c r="M26" s="56">
        <f t="shared" si="4"/>
        <v>420403805.66000003</v>
      </c>
      <c r="N26" s="56">
        <f t="shared" si="4"/>
        <v>430881424.34000009</v>
      </c>
      <c r="O26" s="56">
        <f t="shared" si="4"/>
        <v>450531071.63000005</v>
      </c>
      <c r="P26" s="56">
        <f t="shared" si="4"/>
        <v>464402370.02000004</v>
      </c>
      <c r="Q26" s="56">
        <f t="shared" si="4"/>
        <v>453656672.58000004</v>
      </c>
      <c r="R26" s="120">
        <f t="shared" si="4"/>
        <v>423013963.06999999</v>
      </c>
      <c r="S26" s="56">
        <f t="shared" si="4"/>
        <v>452424842.39000005</v>
      </c>
      <c r="T26" s="56">
        <f t="shared" si="4"/>
        <v>454266399.27000004</v>
      </c>
      <c r="U26" s="56">
        <f t="shared" si="4"/>
        <v>1.3228697451348567E-2</v>
      </c>
      <c r="V26" s="56">
        <f t="shared" si="4"/>
        <v>0</v>
      </c>
      <c r="X26">
        <v>432014495.24000001</v>
      </c>
    </row>
    <row r="27" spans="1:24">
      <c r="A27" s="57" t="s">
        <v>28</v>
      </c>
      <c r="B27" s="58"/>
      <c r="C27" s="60"/>
      <c r="D27" s="49"/>
      <c r="F27" s="191">
        <v>4366133.7300000004</v>
      </c>
      <c r="G27" s="191">
        <v>5241591.43</v>
      </c>
      <c r="H27" s="191">
        <v>11405693.779999999</v>
      </c>
      <c r="I27" s="191">
        <v>13825247.859999999</v>
      </c>
      <c r="J27" s="191">
        <v>14757630.67</v>
      </c>
      <c r="K27" s="191">
        <v>8101147.2199999997</v>
      </c>
      <c r="L27" s="191">
        <v>8562298.1300000008</v>
      </c>
      <c r="M27" s="191">
        <v>11900390.42</v>
      </c>
      <c r="N27" s="191">
        <v>11455963.779999999</v>
      </c>
      <c r="O27" s="108">
        <v>10350408.539999999</v>
      </c>
      <c r="P27" s="108">
        <v>11083717.869999999</v>
      </c>
      <c r="Q27" s="110">
        <v>8088637.3499999996</v>
      </c>
      <c r="R27" s="118">
        <f>7469086.85</f>
        <v>7469086.8499999996</v>
      </c>
      <c r="S27" s="108">
        <v>10554909.98</v>
      </c>
      <c r="T27" s="108">
        <v>9793243.1199999992</v>
      </c>
      <c r="X27" s="92">
        <f>X26-R26</f>
        <v>9000532.1700000167</v>
      </c>
    </row>
    <row r="28" spans="1:24">
      <c r="A28" s="57" t="s">
        <v>29</v>
      </c>
      <c r="B28" s="58"/>
      <c r="C28" s="60"/>
      <c r="D28" s="49"/>
      <c r="H28" s="191">
        <v>0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08">
        <v>0</v>
      </c>
      <c r="P28" s="108">
        <v>0</v>
      </c>
      <c r="Q28" s="110">
        <v>0</v>
      </c>
      <c r="R28" s="118"/>
      <c r="S28" s="108">
        <v>0</v>
      </c>
      <c r="T28" s="108">
        <v>0</v>
      </c>
    </row>
    <row r="29" spans="1:24">
      <c r="A29" s="57" t="s">
        <v>30</v>
      </c>
      <c r="B29" s="59">
        <f>225331694.99+710517</f>
        <v>226042211.99000001</v>
      </c>
      <c r="C29" s="59">
        <f>244550254.46+2435</f>
        <v>244552689.46000001</v>
      </c>
      <c r="D29" s="59">
        <f>269114517</f>
        <v>269114517</v>
      </c>
      <c r="E29" s="32">
        <v>307639794.06999999</v>
      </c>
      <c r="F29" s="191">
        <v>311565260.29000002</v>
      </c>
      <c r="G29" s="191">
        <v>318137609.19</v>
      </c>
      <c r="H29" s="191">
        <v>322202743.04000002</v>
      </c>
      <c r="I29" s="191">
        <v>325387485.43000001</v>
      </c>
      <c r="J29" s="191">
        <v>330593446.66000003</v>
      </c>
      <c r="K29" s="191">
        <v>331529951.43000001</v>
      </c>
      <c r="L29" s="191">
        <v>335084671.91000003</v>
      </c>
      <c r="M29" s="191">
        <v>337123270.23000002</v>
      </c>
      <c r="N29" s="191">
        <v>343648950.51999998</v>
      </c>
      <c r="O29" s="108">
        <v>348168789.80000001</v>
      </c>
      <c r="P29" s="108">
        <v>351981501</v>
      </c>
      <c r="Q29" s="110">
        <v>344222790.74000001</v>
      </c>
      <c r="R29" s="118">
        <v>340924676.63</v>
      </c>
      <c r="S29" s="108">
        <v>349814922.67000002</v>
      </c>
      <c r="T29" s="108">
        <v>355530405.60000002</v>
      </c>
      <c r="W29" s="47"/>
    </row>
    <row r="30" spans="1:24">
      <c r="A30" s="55" t="s">
        <v>31</v>
      </c>
      <c r="B30" s="56">
        <f>B27+B29</f>
        <v>226042211.99000001</v>
      </c>
      <c r="C30" s="56">
        <f t="shared" ref="C30:V30" si="5">C27+C29</f>
        <v>244552689.46000001</v>
      </c>
      <c r="D30" s="56">
        <f t="shared" si="5"/>
        <v>269114517</v>
      </c>
      <c r="E30" s="56">
        <f t="shared" si="5"/>
        <v>307639794.06999999</v>
      </c>
      <c r="F30" s="56">
        <f t="shared" si="5"/>
        <v>315931394.02000004</v>
      </c>
      <c r="G30" s="56">
        <f t="shared" si="5"/>
        <v>323379200.62</v>
      </c>
      <c r="H30" s="56">
        <f t="shared" si="5"/>
        <v>333608436.81999999</v>
      </c>
      <c r="I30" s="56">
        <f t="shared" si="5"/>
        <v>339212733.29000002</v>
      </c>
      <c r="J30" s="56">
        <f t="shared" si="5"/>
        <v>345351077.33000004</v>
      </c>
      <c r="K30" s="56">
        <f t="shared" si="5"/>
        <v>339631098.65000004</v>
      </c>
      <c r="L30" s="56">
        <f t="shared" si="5"/>
        <v>343646970.04000002</v>
      </c>
      <c r="M30" s="56">
        <f t="shared" si="5"/>
        <v>349023660.65000004</v>
      </c>
      <c r="N30" s="56">
        <f t="shared" si="5"/>
        <v>355104914.29999995</v>
      </c>
      <c r="O30" s="56">
        <f t="shared" si="5"/>
        <v>358519198.34000003</v>
      </c>
      <c r="P30" s="56">
        <f t="shared" si="5"/>
        <v>363065218.87</v>
      </c>
      <c r="Q30" s="56">
        <f t="shared" si="5"/>
        <v>352311428.09000003</v>
      </c>
      <c r="R30" s="120">
        <f t="shared" si="5"/>
        <v>348393763.48000002</v>
      </c>
      <c r="S30" s="56">
        <f t="shared" si="5"/>
        <v>360369832.65000004</v>
      </c>
      <c r="T30" s="56">
        <f t="shared" si="5"/>
        <v>365323648.72000003</v>
      </c>
      <c r="U30" s="56">
        <f t="shared" si="5"/>
        <v>0</v>
      </c>
      <c r="V30" s="56">
        <f t="shared" si="5"/>
        <v>0</v>
      </c>
    </row>
    <row r="31" spans="1:24">
      <c r="A31" s="57" t="s">
        <v>32</v>
      </c>
      <c r="B31" s="58"/>
      <c r="C31" s="60"/>
      <c r="D31" s="49"/>
      <c r="E31" s="32">
        <v>367892</v>
      </c>
      <c r="F31" s="191">
        <v>973207.76</v>
      </c>
      <c r="G31" s="191">
        <v>1002357.26</v>
      </c>
      <c r="H31" s="191">
        <v>842144.36</v>
      </c>
      <c r="I31" s="191">
        <v>902359.56</v>
      </c>
      <c r="J31" s="191">
        <v>961903.72</v>
      </c>
      <c r="K31" s="191">
        <v>906271.64</v>
      </c>
      <c r="L31" s="191">
        <v>1024261.1</v>
      </c>
      <c r="M31" s="191">
        <v>1017308.2</v>
      </c>
      <c r="N31" s="191">
        <v>725368.84</v>
      </c>
      <c r="O31" s="108">
        <v>269494.34000000003</v>
      </c>
      <c r="P31" s="108">
        <v>313413.18</v>
      </c>
      <c r="Q31" s="110">
        <v>413222.52</v>
      </c>
      <c r="R31" s="118"/>
      <c r="S31" s="108">
        <v>493721.81</v>
      </c>
      <c r="T31" s="108">
        <v>229287.18</v>
      </c>
      <c r="X31">
        <v>340924676.63</v>
      </c>
    </row>
    <row r="32" spans="1:24">
      <c r="A32" s="57" t="s">
        <v>33</v>
      </c>
      <c r="B32" s="59">
        <v>7794707</v>
      </c>
      <c r="C32" s="59">
        <v>11716152</v>
      </c>
      <c r="D32" s="59">
        <v>3533393</v>
      </c>
      <c r="E32" s="73">
        <v>145186</v>
      </c>
      <c r="F32" s="191">
        <v>0</v>
      </c>
      <c r="G32" s="191">
        <v>0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08">
        <v>0</v>
      </c>
      <c r="P32" s="108">
        <v>0</v>
      </c>
      <c r="Q32" s="110">
        <v>0</v>
      </c>
      <c r="R32" s="118"/>
      <c r="S32" s="108">
        <v>0</v>
      </c>
      <c r="T32" s="108">
        <v>0</v>
      </c>
      <c r="U32" s="76">
        <f>U30/N26</f>
        <v>0</v>
      </c>
      <c r="X32">
        <v>14113777.689999999</v>
      </c>
    </row>
    <row r="33" spans="1:30">
      <c r="A33" s="57" t="s">
        <v>34</v>
      </c>
      <c r="B33" s="58"/>
      <c r="C33" s="60"/>
      <c r="D33" s="49"/>
      <c r="F33" s="191">
        <v>0</v>
      </c>
      <c r="G33" s="191">
        <v>0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08">
        <v>0</v>
      </c>
      <c r="P33" s="108">
        <v>0</v>
      </c>
      <c r="Q33" s="110">
        <v>0</v>
      </c>
      <c r="R33" s="118"/>
      <c r="S33" s="108">
        <v>0</v>
      </c>
      <c r="T33" s="108">
        <v>0</v>
      </c>
      <c r="X33">
        <v>14000000</v>
      </c>
    </row>
    <row r="34" spans="1:30">
      <c r="A34" s="57" t="s">
        <v>35</v>
      </c>
      <c r="B34" s="58"/>
      <c r="C34" s="60"/>
      <c r="D34" s="49"/>
      <c r="F34" s="191">
        <v>0</v>
      </c>
      <c r="G34" s="191">
        <v>0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08">
        <v>0</v>
      </c>
      <c r="P34" s="108">
        <v>0</v>
      </c>
      <c r="Q34" s="110">
        <v>0</v>
      </c>
      <c r="R34" s="118"/>
      <c r="S34" s="108">
        <v>0</v>
      </c>
      <c r="T34" s="108">
        <v>0</v>
      </c>
      <c r="X34">
        <v>2539742.7999999998</v>
      </c>
    </row>
    <row r="35" spans="1:30">
      <c r="A35" s="57" t="s">
        <v>36</v>
      </c>
      <c r="B35" s="59">
        <v>2185052.42</v>
      </c>
      <c r="C35" s="59">
        <v>3492826</v>
      </c>
      <c r="D35" s="59">
        <v>3604098</v>
      </c>
      <c r="E35" s="32">
        <f>3909715.31-E32-E31+434478.8+4614596.91</f>
        <v>8445713.0199999996</v>
      </c>
      <c r="F35" s="191">
        <v>1536334.5</v>
      </c>
      <c r="G35" s="191">
        <v>1767026</v>
      </c>
      <c r="H35" s="191">
        <v>1059065.5</v>
      </c>
      <c r="I35" s="191">
        <v>783149</v>
      </c>
      <c r="J35" s="191">
        <v>831369.5</v>
      </c>
      <c r="K35" s="191">
        <v>1085500</v>
      </c>
      <c r="L35" s="191">
        <v>1761345.5</v>
      </c>
      <c r="M35" s="191">
        <v>1495522.5</v>
      </c>
      <c r="N35" s="191">
        <v>1644735</v>
      </c>
      <c r="O35" s="108">
        <v>4083198.6</v>
      </c>
      <c r="P35" s="108">
        <v>9851371.5999999996</v>
      </c>
      <c r="Q35" s="110">
        <v>11724782.1</v>
      </c>
      <c r="R35" s="118">
        <f>2197283.92+10500000+2539742.8+380742.28</f>
        <v>15617768.999999998</v>
      </c>
      <c r="S35" s="108">
        <v>2386521.1</v>
      </c>
      <c r="T35" s="108">
        <v>1604797.6</v>
      </c>
      <c r="X35">
        <v>380742.28</v>
      </c>
    </row>
    <row r="36" spans="1:30">
      <c r="A36" s="57" t="s">
        <v>37</v>
      </c>
      <c r="B36" s="59"/>
      <c r="C36" s="59"/>
      <c r="D36" s="59"/>
      <c r="F36" s="191">
        <v>0</v>
      </c>
      <c r="G36" s="191">
        <v>0</v>
      </c>
      <c r="H36" s="191">
        <v>0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08">
        <v>0</v>
      </c>
      <c r="P36" s="108">
        <v>0</v>
      </c>
      <c r="Q36" s="110">
        <v>0</v>
      </c>
      <c r="R36" s="118"/>
      <c r="S36" s="108">
        <v>0</v>
      </c>
      <c r="T36" s="108">
        <v>0</v>
      </c>
      <c r="X36">
        <v>5437632.0800000001</v>
      </c>
    </row>
    <row r="37" spans="1:30">
      <c r="A37" s="55" t="s">
        <v>38</v>
      </c>
      <c r="B37" s="56">
        <f>SUM(B30:B36)</f>
        <v>236021971.41</v>
      </c>
      <c r="C37" s="56">
        <f t="shared" ref="C37:V37" si="6">SUM(C30:C36)</f>
        <v>259761667.46000001</v>
      </c>
      <c r="D37" s="56">
        <f t="shared" si="6"/>
        <v>276252008</v>
      </c>
      <c r="E37" s="56">
        <f t="shared" si="6"/>
        <v>316598585.08999997</v>
      </c>
      <c r="F37" s="56">
        <f t="shared" si="6"/>
        <v>318440936.28000003</v>
      </c>
      <c r="G37" s="56">
        <f t="shared" si="6"/>
        <v>326148583.88</v>
      </c>
      <c r="H37" s="56">
        <f t="shared" si="6"/>
        <v>335509646.68000001</v>
      </c>
      <c r="I37" s="56">
        <f t="shared" si="6"/>
        <v>340898241.85000002</v>
      </c>
      <c r="J37" s="56">
        <f t="shared" si="6"/>
        <v>347144350.55000007</v>
      </c>
      <c r="K37" s="56">
        <f t="shared" si="6"/>
        <v>341622870.29000002</v>
      </c>
      <c r="L37" s="56">
        <f t="shared" si="6"/>
        <v>346432576.64000005</v>
      </c>
      <c r="M37" s="56">
        <f t="shared" si="6"/>
        <v>351536491.35000002</v>
      </c>
      <c r="N37" s="56">
        <f t="shared" si="6"/>
        <v>357475018.13999993</v>
      </c>
      <c r="O37" s="56">
        <f t="shared" si="6"/>
        <v>362871891.28000003</v>
      </c>
      <c r="P37" s="56">
        <f t="shared" si="6"/>
        <v>373230003.65000004</v>
      </c>
      <c r="Q37" s="56">
        <f t="shared" si="6"/>
        <v>364449432.71000004</v>
      </c>
      <c r="R37" s="120">
        <f t="shared" si="6"/>
        <v>364011532.48000002</v>
      </c>
      <c r="S37" s="56">
        <f t="shared" si="6"/>
        <v>363250075.56000006</v>
      </c>
      <c r="T37" s="56">
        <f t="shared" si="6"/>
        <v>367157733.50000006</v>
      </c>
      <c r="U37" s="56">
        <f t="shared" si="6"/>
        <v>0</v>
      </c>
      <c r="V37" s="56">
        <f t="shared" si="6"/>
        <v>0</v>
      </c>
      <c r="W37" s="47">
        <f>367511532.48-R37</f>
        <v>3500000</v>
      </c>
    </row>
    <row r="38" spans="1:30">
      <c r="A38" s="57" t="s">
        <v>39</v>
      </c>
      <c r="B38" s="59">
        <f>28963365</f>
        <v>28963365</v>
      </c>
      <c r="C38" s="59">
        <f>34068869</f>
        <v>34068869</v>
      </c>
      <c r="D38" s="59">
        <f>39441838</f>
        <v>39441838</v>
      </c>
      <c r="E38" s="32">
        <v>45111735.640000001</v>
      </c>
      <c r="F38" s="191">
        <v>45593393.469999999</v>
      </c>
      <c r="G38" s="191">
        <v>46116605.969999999</v>
      </c>
      <c r="H38" s="191">
        <v>46606748.149999999</v>
      </c>
      <c r="I38" s="191">
        <v>47039143.380000003</v>
      </c>
      <c r="J38" s="191">
        <v>47462664.979999997</v>
      </c>
      <c r="K38" s="191">
        <v>47835352.390000001</v>
      </c>
      <c r="L38" s="191">
        <v>48255445.350000001</v>
      </c>
      <c r="M38" s="191">
        <v>48611566.670000002</v>
      </c>
      <c r="N38" s="191">
        <v>49059692.670000002</v>
      </c>
      <c r="O38" s="108">
        <v>49492753.039999999</v>
      </c>
      <c r="P38" s="108">
        <v>49908726.039999999</v>
      </c>
      <c r="Q38" s="110">
        <v>50319794.829999998</v>
      </c>
      <c r="R38" s="118">
        <v>50296793.990000002</v>
      </c>
      <c r="S38" s="108">
        <v>50626599.829999998</v>
      </c>
      <c r="T38" s="108">
        <v>50998897.329999998</v>
      </c>
      <c r="W38" s="47">
        <f>W37-R37</f>
        <v>-360511532.48000002</v>
      </c>
      <c r="Y38" s="76">
        <f>41797996.21/R48</f>
        <v>9.8809967909295304E-2</v>
      </c>
    </row>
    <row r="39" spans="1:30">
      <c r="A39" s="57" t="s">
        <v>40</v>
      </c>
      <c r="B39" s="58"/>
      <c r="C39" s="60"/>
      <c r="D39" s="49"/>
      <c r="F39" s="191">
        <v>0</v>
      </c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08">
        <v>0</v>
      </c>
      <c r="P39" s="108">
        <v>0</v>
      </c>
      <c r="Q39" s="110">
        <v>0</v>
      </c>
      <c r="R39" s="118"/>
      <c r="S39" s="108">
        <v>0</v>
      </c>
      <c r="T39" s="108">
        <v>0</v>
      </c>
      <c r="AD39">
        <f>3539923.32-912196.8-531183.11</f>
        <v>2096543.4099999997</v>
      </c>
    </row>
    <row r="40" spans="1:30">
      <c r="A40" s="57" t="s">
        <v>41</v>
      </c>
      <c r="B40" s="59">
        <v>439143.86</v>
      </c>
      <c r="C40" s="59">
        <v>463042.58</v>
      </c>
      <c r="D40" s="59">
        <v>528042</v>
      </c>
      <c r="E40" s="32">
        <f>4051080-6197245.84-466005.14-564272</f>
        <v>-3176442.98</v>
      </c>
      <c r="F40" s="191">
        <v>4078143.63</v>
      </c>
      <c r="G40" s="191">
        <v>4078143.63</v>
      </c>
      <c r="H40" s="191">
        <v>-2119102.21</v>
      </c>
      <c r="I40" s="191">
        <v>-2119102.21</v>
      </c>
      <c r="J40" s="191">
        <v>-2119102.21</v>
      </c>
      <c r="K40" s="191">
        <v>-2119102.21</v>
      </c>
      <c r="L40" s="191">
        <v>4225455.21</v>
      </c>
      <c r="M40" s="191">
        <v>4225455.21</v>
      </c>
      <c r="N40" s="191">
        <v>4225455.21</v>
      </c>
      <c r="O40" s="108">
        <v>11059367.24</v>
      </c>
      <c r="P40" s="108">
        <v>11059367.24</v>
      </c>
      <c r="Q40" s="110">
        <v>11059367.24</v>
      </c>
      <c r="R40" s="118">
        <v>110923.02</v>
      </c>
      <c r="S40" s="108">
        <v>11059367.24</v>
      </c>
      <c r="T40" s="108">
        <v>11059367.24</v>
      </c>
    </row>
    <row r="41" spans="1:30">
      <c r="A41" s="57" t="s">
        <v>42</v>
      </c>
      <c r="B41" s="59">
        <f>408259.56-B40</f>
        <v>-30884.299999999988</v>
      </c>
      <c r="C41" s="59">
        <f>528042.32-C40</f>
        <v>64999.739999999932</v>
      </c>
      <c r="D41" s="59">
        <f>4051081-D40</f>
        <v>3523039</v>
      </c>
      <c r="E41" s="32">
        <v>3287365.17</v>
      </c>
      <c r="F41" s="191">
        <v>13778517.039999999</v>
      </c>
      <c r="G41" s="191">
        <v>14640926.539999999</v>
      </c>
      <c r="H41" s="191">
        <v>4319042.51</v>
      </c>
      <c r="I41" s="191">
        <v>6355828.1900000004</v>
      </c>
      <c r="J41" s="191">
        <v>8040737.75</v>
      </c>
      <c r="K41" s="191">
        <v>10935222.41</v>
      </c>
      <c r="L41" s="191">
        <v>7501341.8700000001</v>
      </c>
      <c r="M41" s="191">
        <v>10231579.619999999</v>
      </c>
      <c r="N41" s="191">
        <v>13764878.310000001</v>
      </c>
      <c r="O41" s="108">
        <v>10517230.49</v>
      </c>
      <c r="P41" s="108">
        <v>13614443.51</v>
      </c>
      <c r="Q41" s="110">
        <v>11238248.220000001</v>
      </c>
      <c r="R41" s="118">
        <f>7039923.32-912196.8-1225545.3</f>
        <v>4902181.2200000007</v>
      </c>
      <c r="S41" s="108">
        <v>10898970.18</v>
      </c>
      <c r="T41" s="108">
        <v>1695842.34</v>
      </c>
    </row>
    <row r="42" spans="1:30">
      <c r="A42" s="57" t="s">
        <v>43</v>
      </c>
      <c r="B42" s="59">
        <v>938315.3</v>
      </c>
      <c r="C42" s="59">
        <v>1021957</v>
      </c>
      <c r="D42" s="59">
        <v>1902716</v>
      </c>
      <c r="E42" s="73">
        <v>2466988</v>
      </c>
      <c r="F42" s="191">
        <v>1902716.74</v>
      </c>
      <c r="G42" s="191">
        <v>1902716.74</v>
      </c>
      <c r="H42" s="191">
        <v>2466988.7400000002</v>
      </c>
      <c r="I42" s="191">
        <v>2466988.7400000002</v>
      </c>
      <c r="J42" s="191">
        <v>2466988.7400000002</v>
      </c>
      <c r="K42" s="191">
        <v>2466988.7400000002</v>
      </c>
      <c r="L42" s="191">
        <v>2466988.7400000002</v>
      </c>
      <c r="M42" s="191">
        <v>2466988.7400000002</v>
      </c>
      <c r="N42" s="191">
        <v>2466988.7400000002</v>
      </c>
      <c r="O42" s="108">
        <v>2466988.7400000002</v>
      </c>
      <c r="P42" s="108">
        <v>2466988.7400000002</v>
      </c>
      <c r="Q42" s="110">
        <v>2466988.7400000002</v>
      </c>
      <c r="R42" s="118">
        <v>3692533.31</v>
      </c>
      <c r="S42" s="108">
        <v>2466988.7400000002</v>
      </c>
      <c r="T42" s="108">
        <v>2466988.7400000002</v>
      </c>
    </row>
    <row r="43" spans="1:30">
      <c r="A43" s="57" t="s">
        <v>44</v>
      </c>
      <c r="B43" s="58"/>
      <c r="C43" s="60"/>
      <c r="D43" s="60"/>
      <c r="F43" s="191">
        <v>299412.8</v>
      </c>
      <c r="G43" s="191">
        <v>730986.81</v>
      </c>
      <c r="H43" s="191">
        <v>2023886.81</v>
      </c>
      <c r="I43" s="191">
        <v>2764784.81</v>
      </c>
      <c r="J43" s="191">
        <v>3117595.14</v>
      </c>
      <c r="K43" s="191">
        <v>5012262.1399999997</v>
      </c>
      <c r="L43" s="191">
        <v>3013538.45</v>
      </c>
      <c r="M43" s="191">
        <v>3331724.07</v>
      </c>
      <c r="N43" s="191">
        <v>3889391.27</v>
      </c>
      <c r="O43" s="108">
        <v>14122840.84</v>
      </c>
      <c r="P43" s="108">
        <v>14122840.84</v>
      </c>
      <c r="Q43" s="110">
        <v>14122840.84</v>
      </c>
      <c r="R43" s="118"/>
      <c r="S43" s="108">
        <v>14122840.84</v>
      </c>
      <c r="T43" s="108">
        <v>20887570.120000001</v>
      </c>
    </row>
    <row r="44" spans="1:30">
      <c r="A44" s="57" t="s">
        <v>45</v>
      </c>
      <c r="B44" s="58"/>
      <c r="C44" s="60"/>
      <c r="D44" s="49"/>
      <c r="F44" s="191">
        <v>0</v>
      </c>
      <c r="G44" s="191">
        <v>0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08">
        <v>0</v>
      </c>
      <c r="P44" s="108">
        <v>0</v>
      </c>
      <c r="Q44" s="110">
        <v>0</v>
      </c>
      <c r="R44" s="118"/>
      <c r="S44" s="108">
        <v>0</v>
      </c>
      <c r="T44" s="108">
        <v>0</v>
      </c>
      <c r="W44">
        <f>59002432.38</f>
        <v>59002432.380000003</v>
      </c>
      <c r="AA44" s="47">
        <f>2577910/E48</f>
        <v>7.0765667984649377E-3</v>
      </c>
    </row>
    <row r="45" spans="1:30">
      <c r="A45" s="57" t="s">
        <v>46</v>
      </c>
      <c r="B45" s="58"/>
      <c r="C45" s="60"/>
      <c r="D45" s="49"/>
      <c r="F45" s="192">
        <v>0</v>
      </c>
      <c r="G45" s="192">
        <v>0</v>
      </c>
      <c r="H45" s="192">
        <v>0</v>
      </c>
      <c r="I45" s="192">
        <v>0</v>
      </c>
      <c r="J45" s="192">
        <v>0</v>
      </c>
      <c r="K45" s="192">
        <v>0</v>
      </c>
      <c r="L45" s="192">
        <v>0</v>
      </c>
      <c r="M45" s="192">
        <v>0</v>
      </c>
      <c r="N45" s="192">
        <v>0</v>
      </c>
      <c r="O45" s="109">
        <v>0</v>
      </c>
      <c r="P45" s="109">
        <v>0</v>
      </c>
      <c r="Q45" s="111">
        <v>0</v>
      </c>
      <c r="R45" s="118"/>
      <c r="S45" s="109">
        <v>0</v>
      </c>
      <c r="T45" s="109">
        <v>0</v>
      </c>
      <c r="W45">
        <v>59030620.560000002</v>
      </c>
    </row>
    <row r="46" spans="1:30">
      <c r="A46" s="57" t="s">
        <v>47</v>
      </c>
      <c r="B46" s="58"/>
      <c r="C46" s="60"/>
      <c r="D46" s="49"/>
      <c r="F46" s="192">
        <v>0</v>
      </c>
      <c r="G46" s="192">
        <v>0</v>
      </c>
      <c r="H46" s="192">
        <v>0</v>
      </c>
      <c r="I46" s="192">
        <v>0</v>
      </c>
      <c r="J46" s="192">
        <v>0</v>
      </c>
      <c r="K46" s="192">
        <v>0</v>
      </c>
      <c r="L46" s="192">
        <v>0</v>
      </c>
      <c r="M46" s="192">
        <v>0</v>
      </c>
      <c r="N46" s="192">
        <v>0</v>
      </c>
      <c r="O46" s="109">
        <v>0</v>
      </c>
      <c r="P46" s="109">
        <v>0</v>
      </c>
      <c r="Q46" s="111">
        <v>0</v>
      </c>
      <c r="R46" s="118"/>
      <c r="S46" s="109">
        <v>0</v>
      </c>
      <c r="T46" s="109">
        <v>0</v>
      </c>
      <c r="W46">
        <f>W44-W45</f>
        <v>-28188.179999999702</v>
      </c>
      <c r="AC46" s="47">
        <f>R26-R48</f>
        <v>-0.95000004768371582</v>
      </c>
    </row>
    <row r="47" spans="1:30">
      <c r="A47" s="55" t="s">
        <v>48</v>
      </c>
      <c r="B47" s="56">
        <f>SUM(B38:B46)</f>
        <v>30309939.859999999</v>
      </c>
      <c r="C47" s="56">
        <f t="shared" ref="C47:V47" si="7">SUM(C38:C46)</f>
        <v>35618868.32</v>
      </c>
      <c r="D47" s="56">
        <f t="shared" si="7"/>
        <v>45395635</v>
      </c>
      <c r="E47" s="56">
        <f t="shared" si="7"/>
        <v>47689645.830000006</v>
      </c>
      <c r="F47" s="56">
        <f t="shared" si="7"/>
        <v>65652183.68</v>
      </c>
      <c r="G47" s="56">
        <f t="shared" si="7"/>
        <v>67469379.689999998</v>
      </c>
      <c r="H47" s="56">
        <f t="shared" si="7"/>
        <v>53297564</v>
      </c>
      <c r="I47" s="56">
        <f t="shared" si="7"/>
        <v>56507642.910000004</v>
      </c>
      <c r="J47" s="56">
        <f t="shared" si="7"/>
        <v>58968884.399999999</v>
      </c>
      <c r="K47" s="56">
        <f t="shared" si="7"/>
        <v>64130723.470000006</v>
      </c>
      <c r="L47" s="56">
        <f t="shared" si="7"/>
        <v>65462769.620000005</v>
      </c>
      <c r="M47" s="56">
        <f t="shared" si="7"/>
        <v>68867314.310000002</v>
      </c>
      <c r="N47" s="56">
        <f t="shared" si="7"/>
        <v>73406406.200000003</v>
      </c>
      <c r="O47" s="56">
        <f t="shared" si="7"/>
        <v>87659180.349999994</v>
      </c>
      <c r="P47" s="56">
        <f t="shared" si="7"/>
        <v>91172366.370000005</v>
      </c>
      <c r="Q47" s="56">
        <f t="shared" si="7"/>
        <v>89207239.870000005</v>
      </c>
      <c r="R47" s="120">
        <f t="shared" si="7"/>
        <v>59002431.540000007</v>
      </c>
      <c r="S47" s="56">
        <f t="shared" si="7"/>
        <v>89174766.829999998</v>
      </c>
      <c r="T47" s="56">
        <f t="shared" si="7"/>
        <v>87108665.770000011</v>
      </c>
      <c r="U47" s="56">
        <f t="shared" si="7"/>
        <v>0</v>
      </c>
      <c r="V47" s="56">
        <f t="shared" si="7"/>
        <v>0</v>
      </c>
      <c r="W47">
        <v>54617923.770000003</v>
      </c>
      <c r="Y47">
        <v>167030</v>
      </c>
    </row>
    <row r="48" spans="1:30">
      <c r="A48" s="55" t="s">
        <v>49</v>
      </c>
      <c r="B48" s="56">
        <f>B47+B37</f>
        <v>266331911.26999998</v>
      </c>
      <c r="C48" s="56">
        <f t="shared" ref="C48:V48" si="8">C47+C37</f>
        <v>295380535.78000003</v>
      </c>
      <c r="D48" s="56">
        <f t="shared" si="8"/>
        <v>321647643</v>
      </c>
      <c r="E48" s="56">
        <f t="shared" si="8"/>
        <v>364288230.91999996</v>
      </c>
      <c r="F48" s="56">
        <f t="shared" si="8"/>
        <v>384093119.96000004</v>
      </c>
      <c r="G48" s="56">
        <f t="shared" si="8"/>
        <v>393617963.56999999</v>
      </c>
      <c r="H48" s="56">
        <f t="shared" si="8"/>
        <v>388807210.68000001</v>
      </c>
      <c r="I48" s="56">
        <f t="shared" si="8"/>
        <v>397405884.76000005</v>
      </c>
      <c r="J48" s="56">
        <f t="shared" si="8"/>
        <v>406113234.95000005</v>
      </c>
      <c r="K48" s="56">
        <f t="shared" si="8"/>
        <v>405753593.76000005</v>
      </c>
      <c r="L48" s="56">
        <f t="shared" si="8"/>
        <v>411895346.26000005</v>
      </c>
      <c r="M48" s="56">
        <f t="shared" si="8"/>
        <v>420403805.66000003</v>
      </c>
      <c r="N48" s="56">
        <f t="shared" si="8"/>
        <v>430881424.33999991</v>
      </c>
      <c r="O48" s="56">
        <f t="shared" si="8"/>
        <v>450531071.63</v>
      </c>
      <c r="P48" s="56">
        <f t="shared" si="8"/>
        <v>464402370.02000004</v>
      </c>
      <c r="Q48" s="56">
        <f t="shared" si="8"/>
        <v>453656672.58000004</v>
      </c>
      <c r="R48" s="120">
        <f t="shared" si="8"/>
        <v>423013964.02000004</v>
      </c>
      <c r="S48" s="56">
        <f t="shared" si="8"/>
        <v>452424842.39000005</v>
      </c>
      <c r="T48" s="56">
        <f t="shared" si="8"/>
        <v>454266399.2700001</v>
      </c>
      <c r="U48" s="56">
        <f t="shared" si="8"/>
        <v>0</v>
      </c>
      <c r="V48" s="56">
        <f t="shared" si="8"/>
        <v>0</v>
      </c>
      <c r="W48" s="92">
        <f>W47-R47</f>
        <v>-4384507.7700000033</v>
      </c>
      <c r="Y48">
        <f>W47-Y47</f>
        <v>54450893.770000003</v>
      </c>
    </row>
    <row r="49" spans="2:29">
      <c r="R49" s="77">
        <f>R48-R26</f>
        <v>0.95000004768371582</v>
      </c>
      <c r="Y49" s="47">
        <f>Y48/R48</f>
        <v>0.12872126785730784</v>
      </c>
    </row>
    <row r="50" spans="2:29">
      <c r="B50" s="68">
        <f>B48-B26</f>
        <v>-9.9999904632568359E-3</v>
      </c>
      <c r="C50" s="68">
        <f>C48-C26</f>
        <v>0.19999998807907104</v>
      </c>
      <c r="D50" s="68"/>
      <c r="Y50" s="47">
        <f>Y48-R38</f>
        <v>4154099.7800000012</v>
      </c>
    </row>
    <row r="51" spans="2:29">
      <c r="B51" s="62"/>
      <c r="C51" s="63"/>
      <c r="D51"/>
      <c r="E51" s="63"/>
      <c r="F51" s="63"/>
      <c r="G51" s="63"/>
      <c r="H51" s="64"/>
      <c r="Y51" s="76">
        <f>Y50/R48</f>
        <v>9.8202426712409811E-3</v>
      </c>
    </row>
    <row r="52" spans="2:29">
      <c r="B52" s="62"/>
      <c r="C52" s="47"/>
      <c r="D52" s="47"/>
      <c r="E52" s="63"/>
      <c r="F52" s="63"/>
      <c r="G52" s="63"/>
      <c r="H52" s="64"/>
      <c r="AC52" s="76">
        <f>14000000/423042153.88</f>
        <v>3.3093628782845212E-2</v>
      </c>
    </row>
    <row r="53" spans="2:29">
      <c r="B53" s="62"/>
      <c r="C53" s="63"/>
      <c r="D53" s="47"/>
      <c r="E53" s="63"/>
      <c r="F53" s="63"/>
      <c r="G53" s="63"/>
      <c r="H53" s="64"/>
    </row>
    <row r="54" spans="2:29">
      <c r="B54" s="62"/>
      <c r="C54" s="63"/>
      <c r="D54"/>
      <c r="E54" s="63"/>
      <c r="F54" s="63"/>
      <c r="G54" s="63"/>
      <c r="H54" s="64"/>
    </row>
    <row r="55" spans="2:29">
      <c r="B55" s="62"/>
      <c r="C55" s="63"/>
      <c r="D55" s="47"/>
      <c r="E55" s="63"/>
      <c r="F55" s="63"/>
      <c r="G55" s="63"/>
      <c r="H55" s="64"/>
    </row>
    <row r="56" spans="2:29">
      <c r="B56" s="62"/>
      <c r="C56" s="63"/>
      <c r="D56" s="47"/>
      <c r="E56" s="63"/>
      <c r="F56" s="63"/>
      <c r="G56" s="63"/>
      <c r="H56" s="64"/>
    </row>
    <row r="57" spans="2:29">
      <c r="B57" s="62"/>
      <c r="C57" s="63"/>
      <c r="D57"/>
      <c r="E57" s="63"/>
      <c r="F57" s="63"/>
      <c r="G57" s="63"/>
      <c r="H57" s="64"/>
    </row>
    <row r="58" spans="2:29">
      <c r="B58" s="62"/>
      <c r="C58" s="63"/>
      <c r="D58"/>
      <c r="E58" s="63"/>
      <c r="F58" s="63"/>
      <c r="G58" s="63"/>
      <c r="H58" s="64"/>
    </row>
    <row r="59" spans="2:29">
      <c r="B59" s="62"/>
      <c r="C59" s="63"/>
      <c r="D59"/>
      <c r="E59" s="63"/>
      <c r="F59" s="63"/>
      <c r="G59" s="63"/>
      <c r="H59" s="64"/>
    </row>
    <row r="60" spans="2:29">
      <c r="B60" s="62"/>
      <c r="C60" s="63"/>
      <c r="D60"/>
      <c r="E60" s="63"/>
      <c r="F60" s="63"/>
      <c r="G60" s="63"/>
      <c r="H60" s="64"/>
    </row>
    <row r="61" spans="2:29">
      <c r="B61" s="62"/>
      <c r="C61" s="63"/>
      <c r="D61"/>
      <c r="E61" s="63"/>
      <c r="F61" s="63"/>
      <c r="G61" s="63"/>
      <c r="H61" s="64"/>
    </row>
    <row r="62" spans="2:29">
      <c r="B62" s="62"/>
      <c r="C62" s="63"/>
      <c r="D62" s="47"/>
      <c r="E62" s="63"/>
      <c r="F62" s="63"/>
      <c r="G62" s="63"/>
      <c r="H62" s="64"/>
    </row>
    <row r="63" spans="2:29">
      <c r="B63" s="62"/>
      <c r="C63" s="63"/>
      <c r="D63"/>
      <c r="E63" s="63"/>
      <c r="F63" s="63"/>
      <c r="G63" s="63"/>
      <c r="H63" s="64"/>
    </row>
    <row r="64" spans="2:29">
      <c r="B64" s="62"/>
      <c r="C64" s="63"/>
      <c r="D64" s="63"/>
      <c r="E64" s="63"/>
      <c r="F64" s="63"/>
      <c r="G64" s="63"/>
      <c r="H64" s="64"/>
    </row>
    <row r="65" spans="2:8">
      <c r="B65" s="62"/>
      <c r="C65" s="63"/>
      <c r="D65" s="64"/>
      <c r="E65" s="63"/>
      <c r="F65" s="63"/>
      <c r="G65" s="63"/>
      <c r="H65" s="64"/>
    </row>
    <row r="66" spans="2:8">
      <c r="B66" s="62"/>
      <c r="C66" s="63"/>
      <c r="D66"/>
      <c r="E66" s="63"/>
      <c r="F66" s="63"/>
      <c r="G66" s="63"/>
      <c r="H66" s="64"/>
    </row>
    <row r="67" spans="2:8">
      <c r="B67" s="62"/>
      <c r="C67" s="63"/>
      <c r="D67"/>
      <c r="E67" s="63"/>
      <c r="F67" s="63"/>
      <c r="G67" s="63"/>
      <c r="H67" s="64"/>
    </row>
    <row r="68" spans="2:8">
      <c r="B68" s="62"/>
      <c r="C68" s="63"/>
      <c r="D68"/>
      <c r="E68" s="63"/>
      <c r="F68" s="63"/>
      <c r="G68" s="63"/>
      <c r="H68" s="64"/>
    </row>
    <row r="69" spans="2:8">
      <c r="B69" s="62"/>
      <c r="C69" s="63"/>
      <c r="D69"/>
      <c r="E69" s="63"/>
      <c r="F69" s="63"/>
      <c r="G69" s="63"/>
      <c r="H69" s="64"/>
    </row>
    <row r="70" spans="2:8">
      <c r="B70" s="62"/>
      <c r="C70" s="63"/>
      <c r="D70"/>
      <c r="E70" s="63"/>
      <c r="F70" s="63"/>
      <c r="G70" s="63"/>
      <c r="H70" s="64"/>
    </row>
    <row r="71" spans="2:8">
      <c r="B71" s="62"/>
      <c r="C71" s="63"/>
      <c r="D71"/>
      <c r="E71" s="63"/>
      <c r="F71" s="63"/>
      <c r="G71" s="63"/>
      <c r="H71" s="64"/>
    </row>
    <row r="72" spans="2:8">
      <c r="B72" s="62"/>
      <c r="C72" s="63"/>
      <c r="D72"/>
      <c r="E72" s="63"/>
      <c r="F72" s="63"/>
      <c r="G72" s="63"/>
      <c r="H72" s="64"/>
    </row>
    <row r="73" spans="2:8">
      <c r="B73" s="65"/>
      <c r="C73" s="66"/>
      <c r="D73" s="67"/>
    </row>
  </sheetData>
  <mergeCells count="1">
    <mergeCell ref="A1:C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6"/>
  <sheetViews>
    <sheetView workbookViewId="0">
      <selection activeCell="E10" sqref="E10"/>
    </sheetView>
  </sheetViews>
  <sheetFormatPr defaultRowHeight="14.45"/>
  <cols>
    <col min="2" max="2" width="26.28515625" customWidth="1"/>
    <col min="3" max="3" width="24" customWidth="1"/>
    <col min="4" max="4" width="19.28515625" customWidth="1"/>
    <col min="5" max="5" width="25.42578125" customWidth="1"/>
    <col min="8" max="8" width="10.7109375" bestFit="1" customWidth="1"/>
    <col min="12" max="13" width="13.7109375" bestFit="1" customWidth="1"/>
    <col min="14" max="14" width="12.5703125" bestFit="1" customWidth="1"/>
  </cols>
  <sheetData>
    <row r="1" spans="2:12" ht="15.6">
      <c r="B1" s="93" t="s">
        <v>50</v>
      </c>
      <c r="C1" s="94" t="s">
        <v>3</v>
      </c>
      <c r="D1" s="95">
        <v>44805</v>
      </c>
      <c r="E1" s="96" t="s">
        <v>51</v>
      </c>
    </row>
    <row r="2" spans="2:12" ht="15.6">
      <c r="B2" s="97" t="s">
        <v>52</v>
      </c>
      <c r="C2" s="81">
        <v>5252</v>
      </c>
      <c r="D2" s="86" t="s">
        <v>53</v>
      </c>
      <c r="E2" s="98">
        <v>3954</v>
      </c>
    </row>
    <row r="3" spans="2:12" ht="15.6">
      <c r="B3" s="97" t="s">
        <v>54</v>
      </c>
      <c r="C3" s="81">
        <v>1357</v>
      </c>
      <c r="D3" s="87" t="s">
        <v>53</v>
      </c>
      <c r="E3" s="99">
        <v>782</v>
      </c>
    </row>
    <row r="4" spans="2:12" ht="15.6">
      <c r="B4" s="100" t="s">
        <v>55</v>
      </c>
      <c r="C4" s="89">
        <f>SUM(C2:C3)</f>
        <v>6609</v>
      </c>
      <c r="D4" s="90" t="s">
        <v>53</v>
      </c>
      <c r="E4" s="101">
        <v>4736</v>
      </c>
    </row>
    <row r="5" spans="2:12" ht="15.6">
      <c r="B5" s="97" t="s">
        <v>56</v>
      </c>
      <c r="C5" s="85">
        <v>6</v>
      </c>
      <c r="D5" s="83">
        <v>7</v>
      </c>
      <c r="E5" s="99">
        <v>7</v>
      </c>
    </row>
    <row r="6" spans="2:12" ht="15.6">
      <c r="B6" s="97" t="s">
        <v>57</v>
      </c>
      <c r="C6" s="85">
        <v>8</v>
      </c>
      <c r="D6" s="83">
        <v>6</v>
      </c>
      <c r="E6" s="99">
        <v>6</v>
      </c>
    </row>
    <row r="7" spans="2:12" ht="15.6">
      <c r="B7" s="100" t="s">
        <v>58</v>
      </c>
      <c r="C7" s="88">
        <f>C5+C6</f>
        <v>14</v>
      </c>
      <c r="D7" s="82">
        <f>D5+D6</f>
        <v>13</v>
      </c>
      <c r="E7" s="102">
        <v>13</v>
      </c>
    </row>
    <row r="8" spans="2:12" ht="15.6">
      <c r="B8" s="97" t="s">
        <v>27</v>
      </c>
      <c r="C8" s="81">
        <v>364288231.95999992</v>
      </c>
      <c r="D8" s="81">
        <v>430881424.34000009</v>
      </c>
      <c r="E8" s="103">
        <v>397013048</v>
      </c>
    </row>
    <row r="9" spans="2:12" ht="15.6">
      <c r="B9" s="97" t="s">
        <v>59</v>
      </c>
      <c r="C9" s="81">
        <f t="shared" ref="C9" si="0">C12-C20-C23</f>
        <v>2577910.19</v>
      </c>
      <c r="D9" s="81">
        <v>73239376.200000003</v>
      </c>
      <c r="E9" s="103">
        <v>51832291</v>
      </c>
    </row>
    <row r="10" spans="2:12" ht="15.6">
      <c r="B10" s="97" t="s">
        <v>60</v>
      </c>
      <c r="C10" s="81">
        <v>3952190</v>
      </c>
      <c r="D10" s="81">
        <v>24179683.530000001</v>
      </c>
      <c r="E10" s="103">
        <v>2761098.29</v>
      </c>
    </row>
    <row r="11" spans="2:12" ht="15.6">
      <c r="B11" s="97" t="s">
        <v>39</v>
      </c>
      <c r="C11" s="81">
        <v>45111735.640000001</v>
      </c>
      <c r="D11" s="81">
        <v>49059692.670000002</v>
      </c>
      <c r="E11" s="103">
        <v>49071193</v>
      </c>
    </row>
    <row r="12" spans="2:12" ht="15.6">
      <c r="B12" s="97" t="s">
        <v>61</v>
      </c>
      <c r="C12" s="81">
        <v>2577910.19</v>
      </c>
      <c r="D12" s="107">
        <v>2466988.7400000002</v>
      </c>
      <c r="E12" s="103">
        <v>2782628</v>
      </c>
    </row>
    <row r="13" spans="2:12" ht="15.6">
      <c r="B13" s="97" t="s">
        <v>15</v>
      </c>
      <c r="C13" s="81">
        <v>277813578.31999999</v>
      </c>
      <c r="D13" s="81">
        <v>328737526.42000002</v>
      </c>
      <c r="E13" s="103">
        <v>316554476</v>
      </c>
    </row>
    <row r="14" spans="2:12" ht="15.6">
      <c r="B14" s="97" t="s">
        <v>62</v>
      </c>
      <c r="C14" s="81">
        <v>16739913.16</v>
      </c>
      <c r="D14" s="91">
        <v>44296097.509999998</v>
      </c>
      <c r="E14" s="103">
        <v>47731317.310000002</v>
      </c>
      <c r="L14" s="77">
        <v>49071193</v>
      </c>
    </row>
    <row r="15" spans="2:12" ht="15.6">
      <c r="B15" s="97" t="s">
        <v>63</v>
      </c>
      <c r="C15" s="84" t="s">
        <v>53</v>
      </c>
      <c r="D15" s="81">
        <v>11455963.779999999</v>
      </c>
      <c r="E15" s="103">
        <v>10354304</v>
      </c>
      <c r="L15" s="77">
        <v>110922</v>
      </c>
    </row>
    <row r="16" spans="2:12" ht="15.6">
      <c r="B16" s="97" t="s">
        <v>64</v>
      </c>
      <c r="C16" s="81">
        <v>307639794.06999999</v>
      </c>
      <c r="D16" s="81">
        <v>343648950.51999998</v>
      </c>
      <c r="E16" s="103">
        <v>357317608</v>
      </c>
      <c r="L16" s="77">
        <v>204717</v>
      </c>
    </row>
    <row r="17" spans="2:14" ht="16.149999999999999" thickBot="1">
      <c r="B17" s="104" t="s">
        <v>65</v>
      </c>
      <c r="C17" s="105">
        <v>30124363.199999999</v>
      </c>
      <c r="D17" s="105">
        <v>8239064.2999999998</v>
      </c>
      <c r="E17" s="106">
        <v>10078050</v>
      </c>
      <c r="L17" s="77">
        <v>2466989</v>
      </c>
    </row>
    <row r="18" spans="2:14" ht="15.6">
      <c r="B18" s="80"/>
      <c r="C18" s="80"/>
      <c r="D18" s="80"/>
      <c r="H18" s="78">
        <f>9855872+498432</f>
        <v>10354304</v>
      </c>
      <c r="L18" s="77">
        <f>SUM(L14:L17)</f>
        <v>51853821</v>
      </c>
      <c r="M18" s="47">
        <f>L18-L20</f>
        <v>51832291</v>
      </c>
      <c r="N18" s="47">
        <f>M18-L14</f>
        <v>2761098</v>
      </c>
    </row>
    <row r="19" spans="2:14" ht="15.6">
      <c r="H19" s="78"/>
      <c r="L19" s="77"/>
      <c r="N19" s="47">
        <f>N18/E8</f>
        <v>6.9546782250844309E-3</v>
      </c>
    </row>
    <row r="20" spans="2:14" ht="15.6">
      <c r="H20" s="79"/>
      <c r="L20" s="77">
        <v>21530</v>
      </c>
    </row>
    <row r="21" spans="2:14">
      <c r="L21" s="77"/>
    </row>
    <row r="22" spans="2:14">
      <c r="H22">
        <f>110922+204717+2466989</f>
        <v>2782628</v>
      </c>
      <c r="L22" s="77">
        <f>L18-L20</f>
        <v>51832291</v>
      </c>
      <c r="N22" s="47">
        <f>L22/E8</f>
        <v>0.13055563604549339</v>
      </c>
    </row>
    <row r="23" spans="2:14">
      <c r="D23" s="77">
        <v>300844</v>
      </c>
      <c r="E23" s="77">
        <v>104870</v>
      </c>
    </row>
    <row r="24" spans="2:14">
      <c r="D24" s="77">
        <v>915327.68</v>
      </c>
      <c r="E24" s="77">
        <v>228898.17</v>
      </c>
      <c r="L24" s="47">
        <f>L22-L14</f>
        <v>2761098</v>
      </c>
    </row>
    <row r="25" spans="2:14">
      <c r="D25" s="77">
        <f>SUM(D23:D24)</f>
        <v>1216171.6800000002</v>
      </c>
      <c r="E25" s="77">
        <f>SUM(E23:E24)</f>
        <v>333768.17000000004</v>
      </c>
      <c r="N25" s="47">
        <f>L24/E8</f>
        <v>6.9546782250844309E-3</v>
      </c>
    </row>
    <row r="26" spans="2:14">
      <c r="D26" s="77"/>
      <c r="L26" s="76">
        <f>L24/E8</f>
        <v>6.9546782250844309E-3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"/>
  <sheetViews>
    <sheetView topLeftCell="A23" zoomScale="154" workbookViewId="0">
      <selection activeCell="U39" sqref="U39"/>
    </sheetView>
  </sheetViews>
  <sheetFormatPr defaultRowHeight="14.45"/>
  <cols>
    <col min="1" max="1" width="36.85546875" bestFit="1" customWidth="1"/>
    <col min="2" max="2" width="12.5703125" hidden="1" customWidth="1"/>
    <col min="3" max="3" width="12.5703125" style="32" hidden="1" customWidth="1"/>
    <col min="4" max="4" width="12.5703125" hidden="1" customWidth="1"/>
    <col min="5" max="5" width="13.7109375" style="32" hidden="1" customWidth="1"/>
    <col min="6" max="6" width="11.42578125" hidden="1" customWidth="1"/>
    <col min="7" max="7" width="0.42578125" hidden="1" customWidth="1"/>
    <col min="8" max="9" width="12.28515625" hidden="1" customWidth="1"/>
    <col min="10" max="10" width="3.7109375" hidden="1" customWidth="1"/>
    <col min="11" max="17" width="12.28515625" hidden="1" customWidth="1"/>
    <col min="18" max="18" width="16.7109375" style="127" bestFit="1" customWidth="1"/>
    <col min="19" max="20" width="11.42578125" bestFit="1" customWidth="1"/>
    <col min="22" max="22" width="17.28515625" bestFit="1" customWidth="1"/>
    <col min="23" max="23" width="11" bestFit="1" customWidth="1"/>
  </cols>
  <sheetData>
    <row r="1" spans="1:31" ht="15" customHeight="1">
      <c r="A1" s="174"/>
      <c r="B1" s="174"/>
      <c r="C1" s="174"/>
      <c r="D1" s="174"/>
    </row>
    <row r="2" spans="1:31">
      <c r="A2" s="33"/>
      <c r="B2" s="34" t="s">
        <v>66</v>
      </c>
      <c r="C2" s="34" t="s">
        <v>67</v>
      </c>
      <c r="D2" s="35" t="s">
        <v>68</v>
      </c>
      <c r="E2" s="72" t="s">
        <v>69</v>
      </c>
      <c r="F2" s="74">
        <v>44562</v>
      </c>
      <c r="G2" s="74">
        <v>44593</v>
      </c>
      <c r="H2" s="74">
        <v>44621</v>
      </c>
      <c r="I2" s="74">
        <v>44652</v>
      </c>
      <c r="J2" s="74">
        <v>44682</v>
      </c>
      <c r="K2" s="74">
        <v>44713</v>
      </c>
      <c r="L2" s="74">
        <v>44743</v>
      </c>
      <c r="M2" s="74">
        <v>44774</v>
      </c>
      <c r="N2" s="74">
        <v>44805</v>
      </c>
      <c r="O2" s="74">
        <v>44835</v>
      </c>
      <c r="P2" s="74">
        <v>44866</v>
      </c>
      <c r="Q2" s="74">
        <v>44896</v>
      </c>
      <c r="R2" s="128" t="s">
        <v>4</v>
      </c>
      <c r="S2" s="74">
        <v>44927</v>
      </c>
      <c r="T2" s="74">
        <v>44958</v>
      </c>
      <c r="U2" s="74">
        <v>44986</v>
      </c>
      <c r="V2" s="74">
        <v>45017</v>
      </c>
      <c r="W2" s="74">
        <v>45047</v>
      </c>
      <c r="X2" s="74">
        <v>45078</v>
      </c>
      <c r="Y2" s="74">
        <v>45108</v>
      </c>
      <c r="Z2" s="74">
        <v>45139</v>
      </c>
      <c r="AA2" s="74">
        <v>45170</v>
      </c>
      <c r="AB2" s="74">
        <v>45200</v>
      </c>
      <c r="AC2" s="74">
        <v>45231</v>
      </c>
      <c r="AD2" s="74">
        <v>45261</v>
      </c>
      <c r="AE2" s="74">
        <v>45292</v>
      </c>
    </row>
    <row r="3" spans="1:31">
      <c r="A3" s="36" t="s">
        <v>70</v>
      </c>
      <c r="B3" s="37">
        <f>B4+B7</f>
        <v>27924757.920000002</v>
      </c>
      <c r="C3" s="37">
        <f>C4+C7</f>
        <v>31056564.580000002</v>
      </c>
      <c r="D3" s="37">
        <f>D4+D7</f>
        <v>33729012</v>
      </c>
      <c r="E3" s="37">
        <f t="shared" ref="E3:T3" si="0">E4+E7</f>
        <v>43660138.899999999</v>
      </c>
      <c r="F3" s="37">
        <f t="shared" si="0"/>
        <v>3218151.1</v>
      </c>
      <c r="G3" s="37">
        <f t="shared" si="0"/>
        <v>6487458.5</v>
      </c>
      <c r="H3" s="37">
        <f t="shared" si="0"/>
        <v>10158878.560000001</v>
      </c>
      <c r="I3" s="37">
        <f t="shared" si="0"/>
        <v>14446048.24</v>
      </c>
      <c r="J3" s="37">
        <f t="shared" si="0"/>
        <v>18515552.970000003</v>
      </c>
      <c r="K3" s="37">
        <f t="shared" si="0"/>
        <v>23127350.93</v>
      </c>
      <c r="L3" s="37">
        <f t="shared" si="0"/>
        <v>28054410.059999999</v>
      </c>
      <c r="M3" s="37">
        <f t="shared" si="0"/>
        <v>33555357.810000002</v>
      </c>
      <c r="N3" s="37">
        <f t="shared" si="0"/>
        <v>38991164.5</v>
      </c>
      <c r="O3" s="37">
        <f t="shared" si="0"/>
        <v>44553291.710000001</v>
      </c>
      <c r="P3" s="37">
        <f t="shared" si="0"/>
        <v>49836723.729999997</v>
      </c>
      <c r="Q3" s="37">
        <f t="shared" si="0"/>
        <v>54752060.439999998</v>
      </c>
      <c r="R3" s="129">
        <f t="shared" si="0"/>
        <v>54807736.150000006</v>
      </c>
      <c r="S3" s="37">
        <f t="shared" si="0"/>
        <v>8455120.9600000009</v>
      </c>
      <c r="T3" s="37">
        <f t="shared" si="0"/>
        <v>9496950.6699999999</v>
      </c>
      <c r="U3" s="37">
        <f t="shared" ref="U3" si="1">U4+U7</f>
        <v>0</v>
      </c>
    </row>
    <row r="4" spans="1:31">
      <c r="A4" s="36" t="s">
        <v>71</v>
      </c>
      <c r="B4" s="37">
        <f>SUM(B5:B6)</f>
        <v>27559537.800000001</v>
      </c>
      <c r="C4" s="37">
        <f>SUM(C5:C6)</f>
        <v>30039527.940000001</v>
      </c>
      <c r="D4" s="37">
        <f>SUM(D5:D6)</f>
        <v>31341132</v>
      </c>
      <c r="E4" s="37">
        <f t="shared" ref="E4:U4" si="2">SUM(E5:E6)</f>
        <v>39582273.939999998</v>
      </c>
      <c r="F4" s="37">
        <f t="shared" si="2"/>
        <v>3119827.2</v>
      </c>
      <c r="G4" s="37">
        <f t="shared" si="2"/>
        <v>6290038.2000000002</v>
      </c>
      <c r="H4" s="37">
        <f t="shared" si="2"/>
        <v>9714142.8000000007</v>
      </c>
      <c r="I4" s="37">
        <f t="shared" si="2"/>
        <v>13672972</v>
      </c>
      <c r="J4" s="37">
        <f t="shared" si="2"/>
        <v>17503953.550000001</v>
      </c>
      <c r="K4" s="37">
        <f t="shared" si="2"/>
        <v>21524359.149999999</v>
      </c>
      <c r="L4" s="37">
        <f t="shared" si="2"/>
        <v>26067645.379999999</v>
      </c>
      <c r="M4" s="37">
        <f t="shared" si="2"/>
        <v>31091499.550000001</v>
      </c>
      <c r="N4" s="37">
        <f t="shared" si="2"/>
        <v>35949364.329999998</v>
      </c>
      <c r="O4" s="37">
        <f t="shared" si="2"/>
        <v>40669763.329999998</v>
      </c>
      <c r="P4" s="37">
        <f t="shared" si="2"/>
        <v>45340938.969999999</v>
      </c>
      <c r="Q4" s="37">
        <f t="shared" si="2"/>
        <v>49664622.420000002</v>
      </c>
      <c r="R4" s="129">
        <f t="shared" si="2"/>
        <v>49705458.130000003</v>
      </c>
      <c r="S4" s="37">
        <f t="shared" si="2"/>
        <v>8114998.54</v>
      </c>
      <c r="T4" s="37">
        <f t="shared" si="2"/>
        <v>8860241.7899999991</v>
      </c>
      <c r="U4" s="37">
        <f t="shared" si="2"/>
        <v>0</v>
      </c>
    </row>
    <row r="5" spans="1:31">
      <c r="A5" s="38" t="s">
        <v>72</v>
      </c>
      <c r="B5" s="39">
        <f>25619020.2</f>
        <v>25619020.199999999</v>
      </c>
      <c r="C5" s="39">
        <f>27662882.94</f>
        <v>27662882.940000001</v>
      </c>
      <c r="D5" s="39">
        <f>28349719</f>
        <v>28349719</v>
      </c>
      <c r="E5" s="32">
        <v>36589546.640000001</v>
      </c>
      <c r="F5" s="40">
        <v>2907480.2</v>
      </c>
      <c r="G5" s="40">
        <v>5838944.2000000002</v>
      </c>
      <c r="H5" s="40">
        <v>8899845.8000000007</v>
      </c>
      <c r="I5" s="40">
        <v>12370112</v>
      </c>
      <c r="J5" s="40">
        <v>15936828.550000001</v>
      </c>
      <c r="K5" s="40">
        <v>19679155.149999999</v>
      </c>
      <c r="L5" s="40">
        <v>23769335.379999999</v>
      </c>
      <c r="M5" s="40">
        <v>28433684.550000001</v>
      </c>
      <c r="N5" s="40">
        <v>32909925.329999998</v>
      </c>
      <c r="O5" s="113">
        <v>37305043.329999998</v>
      </c>
      <c r="P5" s="113">
        <v>41640876.969999999</v>
      </c>
      <c r="Q5" s="113">
        <v>45776852.420000002</v>
      </c>
      <c r="R5" s="130">
        <v>45782378.130000003</v>
      </c>
      <c r="S5" s="113">
        <v>4191918.54</v>
      </c>
      <c r="T5" s="113">
        <v>8192553.79</v>
      </c>
    </row>
    <row r="6" spans="1:31">
      <c r="A6" s="38" t="s">
        <v>73</v>
      </c>
      <c r="B6" s="41">
        <f>1940517.6</f>
        <v>1940517.6</v>
      </c>
      <c r="C6" s="41">
        <f>2376645</f>
        <v>2376645</v>
      </c>
      <c r="D6" s="41">
        <f>2991413</f>
        <v>2991413</v>
      </c>
      <c r="E6" s="32">
        <f>818163+2174564.3</f>
        <v>2992727.3</v>
      </c>
      <c r="F6" s="40">
        <v>212347</v>
      </c>
      <c r="G6" s="40">
        <v>451094</v>
      </c>
      <c r="H6" s="40">
        <v>814297</v>
      </c>
      <c r="I6" s="40">
        <v>1302860</v>
      </c>
      <c r="J6" s="40">
        <v>1567125</v>
      </c>
      <c r="K6" s="40">
        <v>1845204</v>
      </c>
      <c r="L6" s="40">
        <v>2298310</v>
      </c>
      <c r="M6" s="40">
        <v>2657815</v>
      </c>
      <c r="N6" s="40">
        <v>3039439</v>
      </c>
      <c r="O6" s="113">
        <v>3364720</v>
      </c>
      <c r="P6" s="113">
        <v>3700062</v>
      </c>
      <c r="Q6" s="113">
        <v>3887770</v>
      </c>
      <c r="R6" s="130">
        <f>848761+3074319</f>
        <v>3923080</v>
      </c>
      <c r="S6" s="113">
        <f>848761+3074319</f>
        <v>3923080</v>
      </c>
      <c r="T6" s="113">
        <v>667688</v>
      </c>
    </row>
    <row r="7" spans="1:31">
      <c r="A7" s="36" t="s">
        <v>74</v>
      </c>
      <c r="B7" s="37">
        <f>SUM(B8:B11)</f>
        <v>365220.12</v>
      </c>
      <c r="C7" s="37">
        <f>SUM(C8:C11)</f>
        <v>1017036.64</v>
      </c>
      <c r="D7" s="37">
        <f>SUM(D8:D11)</f>
        <v>2387880</v>
      </c>
      <c r="E7" s="37">
        <f t="shared" ref="E7:T7" si="3">SUM(E8:E11)</f>
        <v>4077864.96</v>
      </c>
      <c r="F7" s="37">
        <f t="shared" si="3"/>
        <v>98323.9</v>
      </c>
      <c r="G7" s="37">
        <f t="shared" si="3"/>
        <v>197420.3</v>
      </c>
      <c r="H7" s="37">
        <f t="shared" si="3"/>
        <v>444735.76</v>
      </c>
      <c r="I7" s="37">
        <f t="shared" si="3"/>
        <v>773076.24</v>
      </c>
      <c r="J7" s="37">
        <f t="shared" si="3"/>
        <v>1011599.42</v>
      </c>
      <c r="K7" s="37">
        <f t="shared" si="3"/>
        <v>1602991.78</v>
      </c>
      <c r="L7" s="37">
        <f t="shared" si="3"/>
        <v>1986764.68</v>
      </c>
      <c r="M7" s="37">
        <f t="shared" si="3"/>
        <v>2463858.2600000002</v>
      </c>
      <c r="N7" s="37">
        <f t="shared" si="3"/>
        <v>3041800.17</v>
      </c>
      <c r="O7" s="37">
        <f t="shared" si="3"/>
        <v>3883528.38</v>
      </c>
      <c r="P7" s="37">
        <f t="shared" si="3"/>
        <v>4495784.76</v>
      </c>
      <c r="Q7" s="37">
        <f t="shared" si="3"/>
        <v>5087438.0199999996</v>
      </c>
      <c r="R7" s="129">
        <f t="shared" si="3"/>
        <v>5102278.0199999996</v>
      </c>
      <c r="S7" s="37">
        <f t="shared" si="3"/>
        <v>340122.42</v>
      </c>
      <c r="T7" s="37">
        <f t="shared" si="3"/>
        <v>636708.88</v>
      </c>
    </row>
    <row r="8" spans="1:31">
      <c r="A8" s="38" t="s">
        <v>75</v>
      </c>
      <c r="B8" s="38"/>
      <c r="C8" s="42"/>
      <c r="D8" s="40"/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113">
        <v>0</v>
      </c>
      <c r="P8" s="113">
        <v>0</v>
      </c>
      <c r="Q8" s="113">
        <v>0</v>
      </c>
      <c r="S8" s="113">
        <v>0</v>
      </c>
      <c r="T8" s="113">
        <v>0</v>
      </c>
    </row>
    <row r="9" spans="1:31">
      <c r="A9" s="38" t="s">
        <v>76</v>
      </c>
      <c r="B9" s="39">
        <f>365220.12</f>
        <v>365220.12</v>
      </c>
      <c r="C9" s="39">
        <f>1017036.64</f>
        <v>1017036.64</v>
      </c>
      <c r="D9" s="39">
        <f>2387880</f>
        <v>2387880</v>
      </c>
      <c r="E9" s="32">
        <v>3106700.96</v>
      </c>
      <c r="F9" s="40">
        <v>1416.9</v>
      </c>
      <c r="G9" s="40">
        <v>1416.9</v>
      </c>
      <c r="H9" s="40">
        <v>1416.9</v>
      </c>
      <c r="I9" s="40">
        <v>1416.9</v>
      </c>
      <c r="J9" s="40">
        <v>1416.9</v>
      </c>
      <c r="K9" s="40">
        <v>230295.7</v>
      </c>
      <c r="L9" s="40">
        <v>230295.7</v>
      </c>
      <c r="M9" s="40">
        <v>384036.2</v>
      </c>
      <c r="N9" s="40">
        <v>618612.37</v>
      </c>
      <c r="O9" s="113">
        <v>1113835.42</v>
      </c>
      <c r="P9" s="113">
        <v>1392551.42</v>
      </c>
      <c r="Q9" s="113">
        <v>1706696.68</v>
      </c>
      <c r="R9" s="130">
        <v>1718196.68</v>
      </c>
      <c r="S9" s="113">
        <v>6212</v>
      </c>
      <c r="T9" s="113">
        <v>0</v>
      </c>
    </row>
    <row r="10" spans="1:31">
      <c r="A10" s="38" t="s">
        <v>77</v>
      </c>
      <c r="B10" s="38"/>
      <c r="C10" s="42"/>
      <c r="D10" s="40"/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113">
        <v>0</v>
      </c>
      <c r="P10" s="113">
        <v>0</v>
      </c>
      <c r="Q10" s="113">
        <v>0</v>
      </c>
      <c r="S10" s="113">
        <v>0</v>
      </c>
      <c r="T10" s="113">
        <v>0</v>
      </c>
      <c r="V10" t="s">
        <v>78</v>
      </c>
    </row>
    <row r="11" spans="1:31" s="31" customFormat="1">
      <c r="A11" s="36" t="s">
        <v>79</v>
      </c>
      <c r="B11" s="36"/>
      <c r="C11" s="42"/>
      <c r="D11" s="40"/>
      <c r="E11" s="43">
        <f>500+970664</f>
        <v>971164</v>
      </c>
      <c r="F11" s="193">
        <v>96907</v>
      </c>
      <c r="G11" s="193">
        <v>196003.4</v>
      </c>
      <c r="H11" s="193">
        <v>443318.86</v>
      </c>
      <c r="I11" s="193">
        <v>771659.34</v>
      </c>
      <c r="J11" s="193">
        <v>1010182.52</v>
      </c>
      <c r="K11" s="193">
        <v>1372696.08</v>
      </c>
      <c r="L11" s="193">
        <v>1756468.98</v>
      </c>
      <c r="M11" s="193">
        <v>2079822.06</v>
      </c>
      <c r="N11" s="193">
        <v>2423187.7999999998</v>
      </c>
      <c r="O11" s="112">
        <v>2769692.96</v>
      </c>
      <c r="P11" s="112">
        <v>3103233.34</v>
      </c>
      <c r="Q11" s="112">
        <v>3380741.34</v>
      </c>
      <c r="R11" s="131">
        <f>3380781.34+3300</f>
        <v>3384081.34</v>
      </c>
      <c r="S11" s="112">
        <v>333910.42</v>
      </c>
      <c r="T11" s="112">
        <v>636708.88</v>
      </c>
    </row>
    <row r="12" spans="1:31">
      <c r="A12" s="36" t="s">
        <v>80</v>
      </c>
      <c r="B12" s="71">
        <f>SUM(B13:B18)</f>
        <v>7450000</v>
      </c>
      <c r="C12" s="71">
        <f>SUM(C13:C18)</f>
        <v>15500000</v>
      </c>
      <c r="D12" s="71">
        <f>SUM(D13:D18)</f>
        <v>3000000</v>
      </c>
      <c r="E12" s="71">
        <f t="shared" ref="E12:T12" si="4">SUM(E13:E18)</f>
        <v>4645087.71</v>
      </c>
      <c r="F12" s="71">
        <f t="shared" si="4"/>
        <v>18541.34</v>
      </c>
      <c r="G12" s="71">
        <f t="shared" si="4"/>
        <v>20053.34</v>
      </c>
      <c r="H12" s="71">
        <f t="shared" si="4"/>
        <v>24698.34</v>
      </c>
      <c r="I12" s="71">
        <f t="shared" si="4"/>
        <v>25609.34</v>
      </c>
      <c r="J12" s="71">
        <f t="shared" si="4"/>
        <v>183728.51</v>
      </c>
      <c r="K12" s="71">
        <f t="shared" si="4"/>
        <v>185735.81</v>
      </c>
      <c r="L12" s="71">
        <f t="shared" si="4"/>
        <v>186550.81</v>
      </c>
      <c r="M12" s="71">
        <f t="shared" si="4"/>
        <v>188372.81</v>
      </c>
      <c r="N12" s="71">
        <f t="shared" si="4"/>
        <v>189716.81</v>
      </c>
      <c r="O12" s="71">
        <f t="shared" si="4"/>
        <v>191551.81</v>
      </c>
      <c r="P12" s="71">
        <f t="shared" si="4"/>
        <v>197195.81</v>
      </c>
      <c r="Q12" s="71">
        <f t="shared" si="4"/>
        <v>199228.81</v>
      </c>
      <c r="R12" s="132">
        <f>SUM(R13:R18)</f>
        <v>10771288.810000001</v>
      </c>
      <c r="S12" s="71">
        <f t="shared" si="4"/>
        <v>0</v>
      </c>
      <c r="T12" s="71">
        <f t="shared" si="4"/>
        <v>-4895</v>
      </c>
      <c r="V12" s="47" t="e">
        <f>V10-R19</f>
        <v>#VALUE!</v>
      </c>
    </row>
    <row r="13" spans="1:31">
      <c r="A13" s="38" t="s">
        <v>81</v>
      </c>
      <c r="B13" s="69">
        <v>7450000</v>
      </c>
      <c r="C13" s="69">
        <v>15500000</v>
      </c>
      <c r="D13" s="70">
        <v>3000000</v>
      </c>
      <c r="E13" s="32">
        <v>4514596.91</v>
      </c>
      <c r="F13" s="40">
        <v>0</v>
      </c>
      <c r="G13" s="40">
        <v>0</v>
      </c>
      <c r="H13" s="40">
        <v>0</v>
      </c>
      <c r="I13" s="40">
        <v>0</v>
      </c>
      <c r="J13" s="40">
        <v>152358.97</v>
      </c>
      <c r="K13" s="40">
        <v>154114.26999999999</v>
      </c>
      <c r="L13" s="40">
        <v>154114.26999999999</v>
      </c>
      <c r="M13" s="40">
        <v>154114.26999999999</v>
      </c>
      <c r="N13" s="40">
        <v>154114.26999999999</v>
      </c>
      <c r="O13" s="113">
        <v>154114.26999999999</v>
      </c>
      <c r="P13" s="113">
        <v>154114.26999999999</v>
      </c>
      <c r="Q13" s="113">
        <v>154114.26999999999</v>
      </c>
      <c r="R13" s="130">
        <v>10500000</v>
      </c>
      <c r="S13" s="113">
        <v>0</v>
      </c>
      <c r="T13" s="113">
        <v>0</v>
      </c>
      <c r="V13" s="47" t="e">
        <f>V10-R19</f>
        <v>#VALUE!</v>
      </c>
    </row>
    <row r="14" spans="1:31">
      <c r="A14" s="38" t="s">
        <v>82</v>
      </c>
      <c r="B14" s="38"/>
      <c r="C14" s="42"/>
      <c r="D14" s="40"/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113">
        <v>0</v>
      </c>
      <c r="P14" s="113">
        <v>0</v>
      </c>
      <c r="Q14" s="113">
        <v>0</v>
      </c>
      <c r="S14" s="113">
        <v>0</v>
      </c>
      <c r="T14" s="113">
        <v>0</v>
      </c>
    </row>
    <row r="15" spans="1:31">
      <c r="A15" s="38" t="s">
        <v>83</v>
      </c>
      <c r="B15" s="38"/>
      <c r="C15" s="42"/>
      <c r="D15" s="40"/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113">
        <v>0</v>
      </c>
      <c r="P15" s="113">
        <v>0</v>
      </c>
      <c r="Q15" s="113">
        <v>0</v>
      </c>
      <c r="S15" s="113">
        <v>0</v>
      </c>
      <c r="T15" s="113">
        <v>0</v>
      </c>
    </row>
    <row r="16" spans="1:31">
      <c r="A16" s="38" t="s">
        <v>84</v>
      </c>
      <c r="B16" s="39"/>
      <c r="C16" s="39"/>
      <c r="D16" s="39"/>
      <c r="E16" s="32">
        <f>79120.8+46222+5148</f>
        <v>130490.8</v>
      </c>
      <c r="F16" s="40">
        <v>18541.34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113">
        <v>0</v>
      </c>
      <c r="P16" s="113">
        <v>0</v>
      </c>
      <c r="Q16" s="113">
        <v>0</v>
      </c>
      <c r="R16" s="133">
        <f>82073.54+10411+178804.27</f>
        <v>271288.81</v>
      </c>
      <c r="S16" s="113">
        <v>0</v>
      </c>
      <c r="T16" s="113">
        <v>-4895</v>
      </c>
      <c r="W16">
        <v>40807736.149999999</v>
      </c>
    </row>
    <row r="17" spans="1:23">
      <c r="A17" s="38" t="s">
        <v>85</v>
      </c>
      <c r="B17" s="38"/>
      <c r="C17" s="42"/>
      <c r="D17" s="40"/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113">
        <v>0</v>
      </c>
      <c r="P17" s="113">
        <v>0</v>
      </c>
      <c r="Q17" s="113">
        <v>0</v>
      </c>
      <c r="S17" s="113">
        <v>0</v>
      </c>
      <c r="T17" s="113">
        <v>0</v>
      </c>
      <c r="W17" s="47">
        <f>W16-R19</f>
        <v>-3228711.1900000051</v>
      </c>
    </row>
    <row r="18" spans="1:23">
      <c r="A18" s="38" t="s">
        <v>86</v>
      </c>
      <c r="B18" s="38"/>
      <c r="C18" s="42"/>
      <c r="D18" s="40"/>
      <c r="F18" s="40">
        <v>0</v>
      </c>
      <c r="G18" s="40">
        <v>20053.34</v>
      </c>
      <c r="H18" s="40">
        <v>24698.34</v>
      </c>
      <c r="I18" s="40">
        <v>25609.34</v>
      </c>
      <c r="J18" s="40">
        <v>31369.54</v>
      </c>
      <c r="K18" s="40">
        <v>31621.54</v>
      </c>
      <c r="L18" s="40">
        <v>32436.54</v>
      </c>
      <c r="M18" s="40">
        <v>34258.54</v>
      </c>
      <c r="N18" s="40">
        <v>35602.54</v>
      </c>
      <c r="O18" s="113">
        <v>37437.54</v>
      </c>
      <c r="P18" s="113">
        <v>43081.54</v>
      </c>
      <c r="Q18" s="113">
        <v>45114.54</v>
      </c>
      <c r="S18" s="113">
        <v>0</v>
      </c>
      <c r="T18" s="113">
        <v>0</v>
      </c>
      <c r="V18" s="47">
        <f>44307736.15-R19</f>
        <v>271288.80999999493</v>
      </c>
    </row>
    <row r="19" spans="1:23">
      <c r="A19" s="36" t="s">
        <v>87</v>
      </c>
      <c r="B19" s="37">
        <f>B3-B12</f>
        <v>20474757.920000002</v>
      </c>
      <c r="C19" s="37">
        <f>C3-C12</f>
        <v>15556564.580000002</v>
      </c>
      <c r="D19" s="37">
        <f>D3-D12</f>
        <v>30729012</v>
      </c>
      <c r="E19" s="37">
        <f t="shared" ref="E19:T19" si="5">E3-E12</f>
        <v>39015051.189999998</v>
      </c>
      <c r="F19" s="37">
        <f t="shared" si="5"/>
        <v>3199609.7600000002</v>
      </c>
      <c r="G19" s="37">
        <f t="shared" si="5"/>
        <v>6467405.1600000001</v>
      </c>
      <c r="H19" s="37">
        <f t="shared" si="5"/>
        <v>10134180.220000001</v>
      </c>
      <c r="I19" s="37">
        <f t="shared" si="5"/>
        <v>14420438.9</v>
      </c>
      <c r="J19" s="37">
        <f t="shared" si="5"/>
        <v>18331824.460000001</v>
      </c>
      <c r="K19" s="37">
        <f t="shared" si="5"/>
        <v>22941615.120000001</v>
      </c>
      <c r="L19" s="37">
        <f t="shared" si="5"/>
        <v>27867859.25</v>
      </c>
      <c r="M19" s="37">
        <f t="shared" si="5"/>
        <v>33366985.000000004</v>
      </c>
      <c r="N19" s="37">
        <f t="shared" si="5"/>
        <v>38801447.689999998</v>
      </c>
      <c r="O19" s="37">
        <f t="shared" si="5"/>
        <v>44361739.899999999</v>
      </c>
      <c r="P19" s="37">
        <f t="shared" si="5"/>
        <v>49639527.919999994</v>
      </c>
      <c r="Q19" s="37">
        <f t="shared" si="5"/>
        <v>54552831.629999995</v>
      </c>
      <c r="R19" s="129">
        <f t="shared" si="5"/>
        <v>44036447.340000004</v>
      </c>
      <c r="S19" s="37">
        <f t="shared" si="5"/>
        <v>8455120.9600000009</v>
      </c>
      <c r="T19" s="37">
        <f t="shared" si="5"/>
        <v>9501845.6699999999</v>
      </c>
    </row>
    <row r="20" spans="1:23">
      <c r="A20" s="36" t="s">
        <v>88</v>
      </c>
      <c r="B20" s="37">
        <f>B21-B22</f>
        <v>2300000</v>
      </c>
      <c r="C20" s="37">
        <f>C21-C22</f>
        <v>100000</v>
      </c>
      <c r="D20" s="37">
        <f>D21-D22</f>
        <v>1525595</v>
      </c>
      <c r="E20" s="37">
        <f t="shared" ref="E20:T20" si="6">E21-E22</f>
        <v>4000000</v>
      </c>
      <c r="F20" s="37">
        <f t="shared" si="6"/>
        <v>0</v>
      </c>
      <c r="G20" s="37">
        <f t="shared" si="6"/>
        <v>0</v>
      </c>
      <c r="H20" s="37">
        <f t="shared" si="6"/>
        <v>0</v>
      </c>
      <c r="I20" s="37">
        <f t="shared" si="6"/>
        <v>0</v>
      </c>
      <c r="J20" s="37">
        <f t="shared" si="6"/>
        <v>0</v>
      </c>
      <c r="K20" s="37">
        <f t="shared" si="6"/>
        <v>0</v>
      </c>
      <c r="L20" s="37">
        <f t="shared" si="6"/>
        <v>0</v>
      </c>
      <c r="M20" s="37">
        <f t="shared" si="6"/>
        <v>0</v>
      </c>
      <c r="N20" s="37">
        <f t="shared" si="6"/>
        <v>0</v>
      </c>
      <c r="O20" s="37">
        <f t="shared" si="6"/>
        <v>0</v>
      </c>
      <c r="P20" s="37">
        <f t="shared" si="6"/>
        <v>0</v>
      </c>
      <c r="Q20" s="37">
        <f t="shared" si="6"/>
        <v>0</v>
      </c>
      <c r="R20" s="129">
        <f t="shared" si="6"/>
        <v>3507254</v>
      </c>
      <c r="S20" s="37">
        <f t="shared" si="6"/>
        <v>0</v>
      </c>
      <c r="T20" s="37">
        <f t="shared" si="6"/>
        <v>0</v>
      </c>
    </row>
    <row r="21" spans="1:23">
      <c r="A21" s="38" t="s">
        <v>89</v>
      </c>
      <c r="B21" s="44">
        <v>2300000</v>
      </c>
      <c r="C21" s="44">
        <v>100000</v>
      </c>
      <c r="D21" s="44">
        <v>1525595</v>
      </c>
      <c r="E21" s="32">
        <v>4000000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113">
        <v>0</v>
      </c>
      <c r="P21" s="113">
        <v>0</v>
      </c>
      <c r="Q21" s="113">
        <v>0</v>
      </c>
      <c r="R21" s="130">
        <v>3507254</v>
      </c>
      <c r="S21" s="113">
        <v>0</v>
      </c>
      <c r="T21" s="113">
        <v>0</v>
      </c>
    </row>
    <row r="22" spans="1:23">
      <c r="A22" s="38" t="s">
        <v>90</v>
      </c>
      <c r="B22" s="38"/>
      <c r="C22" s="42"/>
      <c r="D22" s="40"/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113">
        <v>0</v>
      </c>
      <c r="P22" s="113">
        <v>0</v>
      </c>
      <c r="Q22" s="113">
        <v>0</v>
      </c>
      <c r="S22" s="113">
        <v>0</v>
      </c>
      <c r="T22" s="113">
        <v>0</v>
      </c>
    </row>
    <row r="23" spans="1:23">
      <c r="A23" s="36" t="s">
        <v>91</v>
      </c>
      <c r="B23" s="37">
        <f>SUM(B24:B28)</f>
        <v>17846075.52</v>
      </c>
      <c r="C23" s="37">
        <f>SUM(C24:C28)</f>
        <v>18885801.66</v>
      </c>
      <c r="D23" s="37">
        <f>SUM(D24:D28)</f>
        <v>24441436</v>
      </c>
      <c r="E23" s="37">
        <f t="shared" ref="E23:T23" si="7">SUM(E24:E28)</f>
        <v>31557185.009999998</v>
      </c>
      <c r="F23" s="37">
        <f t="shared" si="7"/>
        <v>3118301</v>
      </c>
      <c r="G23" s="37">
        <f t="shared" si="7"/>
        <v>5557125</v>
      </c>
      <c r="H23" s="37">
        <f t="shared" si="7"/>
        <v>8957090</v>
      </c>
      <c r="I23" s="37">
        <f t="shared" si="7"/>
        <v>11187396</v>
      </c>
      <c r="J23" s="37">
        <f t="shared" si="7"/>
        <v>13413872</v>
      </c>
      <c r="K23" s="37">
        <f t="shared" si="7"/>
        <v>15136725</v>
      </c>
      <c r="L23" s="37">
        <f t="shared" si="7"/>
        <v>17152292</v>
      </c>
      <c r="M23" s="37">
        <f t="shared" si="7"/>
        <v>19951179</v>
      </c>
      <c r="N23" s="37">
        <f t="shared" si="7"/>
        <v>21778154</v>
      </c>
      <c r="O23" s="37">
        <f t="shared" si="7"/>
        <v>23752268</v>
      </c>
      <c r="P23" s="37">
        <f t="shared" si="7"/>
        <v>25932843</v>
      </c>
      <c r="Q23" s="37">
        <f t="shared" si="7"/>
        <v>33016303</v>
      </c>
      <c r="R23" s="129">
        <f t="shared" si="7"/>
        <v>33461081</v>
      </c>
      <c r="S23" s="37">
        <f t="shared" si="7"/>
        <v>3262081</v>
      </c>
      <c r="T23" s="37">
        <f t="shared" si="7"/>
        <v>6110161</v>
      </c>
      <c r="V23" s="137">
        <f>R21+R24+R25+R26+R27+R28</f>
        <v>36968335</v>
      </c>
    </row>
    <row r="24" spans="1:23">
      <c r="A24" s="38" t="s">
        <v>92</v>
      </c>
      <c r="B24" s="44">
        <v>5228400</v>
      </c>
      <c r="C24" s="44">
        <v>7221252</v>
      </c>
      <c r="D24" s="44">
        <v>7985695</v>
      </c>
      <c r="E24" s="32">
        <v>10713396</v>
      </c>
      <c r="F24" s="40">
        <v>820784</v>
      </c>
      <c r="G24" s="40">
        <v>1537498</v>
      </c>
      <c r="H24" s="40">
        <v>2802913</v>
      </c>
      <c r="I24" s="40">
        <v>3107968</v>
      </c>
      <c r="J24" s="40">
        <v>3878252</v>
      </c>
      <c r="K24" s="40">
        <v>4813056</v>
      </c>
      <c r="L24" s="40">
        <v>5747860</v>
      </c>
      <c r="M24" s="40">
        <v>6665273</v>
      </c>
      <c r="N24" s="40">
        <v>7772776</v>
      </c>
      <c r="O24" s="113">
        <v>8663529</v>
      </c>
      <c r="P24" s="113">
        <v>9548282</v>
      </c>
      <c r="Q24" s="113">
        <v>12615317</v>
      </c>
      <c r="R24" s="130">
        <v>12615317</v>
      </c>
      <c r="S24" s="113">
        <v>2040095</v>
      </c>
      <c r="T24" s="113">
        <v>2936288</v>
      </c>
      <c r="V24" s="138">
        <v>37267812.829999998</v>
      </c>
    </row>
    <row r="25" spans="1:23">
      <c r="A25" s="38" t="s">
        <v>93</v>
      </c>
      <c r="B25" s="39">
        <f>7974778+13691</f>
        <v>7988469</v>
      </c>
      <c r="C25" s="39">
        <v>4256810</v>
      </c>
      <c r="D25" s="39">
        <v>5308214</v>
      </c>
      <c r="E25" s="32">
        <v>12394785</v>
      </c>
      <c r="F25" s="40">
        <v>459644</v>
      </c>
      <c r="G25" s="40">
        <v>1276658</v>
      </c>
      <c r="H25" s="40">
        <v>2616041</v>
      </c>
      <c r="I25" s="40">
        <v>3313701</v>
      </c>
      <c r="J25" s="40">
        <v>3828549</v>
      </c>
      <c r="K25" s="40">
        <v>4213320</v>
      </c>
      <c r="L25" s="40">
        <v>4579340</v>
      </c>
      <c r="M25" s="40">
        <v>4724340</v>
      </c>
      <c r="N25" s="40">
        <v>5095476</v>
      </c>
      <c r="O25" s="113">
        <v>5624472</v>
      </c>
      <c r="P25" s="113">
        <v>5861682</v>
      </c>
      <c r="Q25" s="113">
        <v>8158590</v>
      </c>
      <c r="R25" s="130">
        <v>8158590</v>
      </c>
      <c r="S25" s="113">
        <v>223610</v>
      </c>
      <c r="T25" s="113">
        <v>1010696</v>
      </c>
      <c r="V25" s="139">
        <f>V24-V23</f>
        <v>299477.82999999821</v>
      </c>
    </row>
    <row r="26" spans="1:23">
      <c r="A26" s="38" t="s">
        <v>94</v>
      </c>
      <c r="B26" s="38">
        <v>667652.4</v>
      </c>
      <c r="C26" s="42">
        <v>670780</v>
      </c>
      <c r="D26" s="40">
        <v>748486</v>
      </c>
      <c r="E26" s="32">
        <v>1293300</v>
      </c>
      <c r="F26" s="40">
        <v>832200</v>
      </c>
      <c r="G26" s="40">
        <v>999960</v>
      </c>
      <c r="H26" s="40">
        <v>1293413</v>
      </c>
      <c r="I26" s="40">
        <v>1355913</v>
      </c>
      <c r="J26" s="40">
        <v>1447465</v>
      </c>
      <c r="K26" s="40">
        <v>1529365</v>
      </c>
      <c r="L26" s="40">
        <v>1666935</v>
      </c>
      <c r="M26" s="40">
        <v>1710184</v>
      </c>
      <c r="N26" s="40">
        <v>1994171</v>
      </c>
      <c r="O26" s="113">
        <v>2015821</v>
      </c>
      <c r="P26" s="113">
        <v>2054201</v>
      </c>
      <c r="Q26" s="113">
        <v>2061721</v>
      </c>
      <c r="R26" s="130">
        <v>1887234</v>
      </c>
      <c r="S26" s="113">
        <v>631000</v>
      </c>
      <c r="T26" s="113">
        <v>725610</v>
      </c>
      <c r="V26">
        <f>33500574.81+7307161.34</f>
        <v>40807736.149999999</v>
      </c>
    </row>
    <row r="27" spans="1:23">
      <c r="A27" s="38" t="s">
        <v>95</v>
      </c>
      <c r="B27" s="39">
        <v>1581628</v>
      </c>
      <c r="C27" s="39">
        <v>1567160.38</v>
      </c>
      <c r="D27" s="39">
        <v>1549567</v>
      </c>
      <c r="E27" s="32">
        <v>1209375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113">
        <v>0</v>
      </c>
      <c r="P27" s="113">
        <v>0</v>
      </c>
      <c r="Q27" s="113">
        <v>1413927</v>
      </c>
      <c r="R27" s="130">
        <v>1446026</v>
      </c>
      <c r="S27" s="113">
        <v>0</v>
      </c>
      <c r="T27" s="113">
        <v>0</v>
      </c>
      <c r="V27" s="47">
        <f>V26-R19</f>
        <v>-3228711.1900000051</v>
      </c>
    </row>
    <row r="28" spans="1:23">
      <c r="A28" s="38" t="s">
        <v>96</v>
      </c>
      <c r="B28" s="39">
        <f>4562372.02+58020.5+8814-B27-B26</f>
        <v>2379926.1199999996</v>
      </c>
      <c r="C28" s="39">
        <f>7065896.16-C26-C27+62879.5+10188+268776</f>
        <v>5169799.28</v>
      </c>
      <c r="D28" s="39">
        <f>11061848+55110+30569-D27-D26</f>
        <v>8849474</v>
      </c>
      <c r="E28" s="32">
        <f>7226204.01-E27-E36</f>
        <v>5946329.0099999998</v>
      </c>
      <c r="F28" s="40">
        <v>1005673</v>
      </c>
      <c r="G28" s="40">
        <v>1743009</v>
      </c>
      <c r="H28" s="40">
        <v>2244723</v>
      </c>
      <c r="I28" s="40">
        <v>3409814</v>
      </c>
      <c r="J28" s="40">
        <v>4259606</v>
      </c>
      <c r="K28" s="40">
        <v>4580984</v>
      </c>
      <c r="L28" s="40">
        <v>5158157</v>
      </c>
      <c r="M28" s="40">
        <v>6851382</v>
      </c>
      <c r="N28" s="40">
        <v>6915731</v>
      </c>
      <c r="O28" s="113">
        <v>7448446</v>
      </c>
      <c r="P28" s="113">
        <v>8468678</v>
      </c>
      <c r="Q28" s="113">
        <v>8766748</v>
      </c>
      <c r="R28" s="130">
        <f>10799940-R27</f>
        <v>9353914</v>
      </c>
      <c r="S28" s="113">
        <v>367376</v>
      </c>
      <c r="T28" s="113">
        <v>1437567</v>
      </c>
    </row>
    <row r="29" spans="1:23">
      <c r="A29" s="36" t="s">
        <v>97</v>
      </c>
      <c r="B29" s="37">
        <f>B19-B20-B23</f>
        <v>328682.40000000224</v>
      </c>
      <c r="C29" s="37">
        <f>C19-C20-C23</f>
        <v>-3429237.0799999982</v>
      </c>
      <c r="D29" s="37">
        <f>D19-D20-D23</f>
        <v>4761981</v>
      </c>
      <c r="E29" s="37">
        <f t="shared" ref="E29:T29" si="8">E19-E20-E23</f>
        <v>3457866.1799999997</v>
      </c>
      <c r="F29" s="37">
        <f t="shared" si="8"/>
        <v>81308.760000000242</v>
      </c>
      <c r="G29" s="37">
        <f t="shared" si="8"/>
        <v>910280.16000000015</v>
      </c>
      <c r="H29" s="37">
        <f t="shared" si="8"/>
        <v>1177090.2200000007</v>
      </c>
      <c r="I29" s="37">
        <f t="shared" si="8"/>
        <v>3233042.9000000004</v>
      </c>
      <c r="J29" s="37">
        <f t="shared" si="8"/>
        <v>4917952.4600000009</v>
      </c>
      <c r="K29" s="37">
        <f t="shared" si="8"/>
        <v>7804890.120000001</v>
      </c>
      <c r="L29" s="37">
        <f t="shared" si="8"/>
        <v>10715567.25</v>
      </c>
      <c r="M29" s="37">
        <f t="shared" si="8"/>
        <v>13415806.000000004</v>
      </c>
      <c r="N29" s="37">
        <f t="shared" si="8"/>
        <v>17023293.689999998</v>
      </c>
      <c r="O29" s="37">
        <f t="shared" si="8"/>
        <v>20609471.899999999</v>
      </c>
      <c r="P29" s="37">
        <f t="shared" si="8"/>
        <v>23706684.919999994</v>
      </c>
      <c r="Q29" s="37">
        <f t="shared" si="8"/>
        <v>21536528.629999995</v>
      </c>
      <c r="R29" s="129">
        <f t="shared" si="8"/>
        <v>7068112.3400000036</v>
      </c>
      <c r="S29" s="37">
        <f t="shared" si="8"/>
        <v>5193039.9600000009</v>
      </c>
      <c r="T29" s="37">
        <f t="shared" si="8"/>
        <v>3391684.67</v>
      </c>
    </row>
    <row r="30" spans="1:23">
      <c r="A30" s="36" t="s">
        <v>98</v>
      </c>
      <c r="B30" s="37">
        <f>B31-B32</f>
        <v>0</v>
      </c>
      <c r="C30" s="37">
        <f>C31-C32</f>
        <v>0</v>
      </c>
      <c r="D30" s="37">
        <f>D31-D32</f>
        <v>0</v>
      </c>
      <c r="E30" s="37">
        <f t="shared" ref="E30:T30" si="9">E31-E32</f>
        <v>0</v>
      </c>
      <c r="F30" s="37">
        <f t="shared" si="9"/>
        <v>0</v>
      </c>
      <c r="G30" s="37">
        <f t="shared" si="9"/>
        <v>0</v>
      </c>
      <c r="H30" s="37">
        <f t="shared" si="9"/>
        <v>0</v>
      </c>
      <c r="I30" s="37">
        <f t="shared" si="9"/>
        <v>0</v>
      </c>
      <c r="J30" s="37">
        <f t="shared" si="9"/>
        <v>0</v>
      </c>
      <c r="K30" s="37">
        <f t="shared" si="9"/>
        <v>0</v>
      </c>
      <c r="L30" s="37">
        <f t="shared" si="9"/>
        <v>0</v>
      </c>
      <c r="M30" s="37">
        <f t="shared" si="9"/>
        <v>0</v>
      </c>
      <c r="N30" s="37">
        <f t="shared" si="9"/>
        <v>0</v>
      </c>
      <c r="O30" s="37">
        <f t="shared" si="9"/>
        <v>0</v>
      </c>
      <c r="P30" s="37">
        <f t="shared" si="9"/>
        <v>0</v>
      </c>
      <c r="Q30" s="37">
        <f t="shared" si="9"/>
        <v>0</v>
      </c>
      <c r="R30" s="129">
        <f t="shared" si="9"/>
        <v>0</v>
      </c>
      <c r="S30" s="37">
        <f t="shared" si="9"/>
        <v>0</v>
      </c>
      <c r="T30" s="37">
        <f t="shared" si="9"/>
        <v>0</v>
      </c>
    </row>
    <row r="31" spans="1:23">
      <c r="A31" s="38" t="s">
        <v>99</v>
      </c>
      <c r="B31" s="42"/>
      <c r="C31" s="42"/>
      <c r="D31" s="40"/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113">
        <v>0</v>
      </c>
      <c r="P31" s="113">
        <v>0</v>
      </c>
      <c r="Q31" s="113">
        <v>0</v>
      </c>
      <c r="R31" s="134">
        <v>0</v>
      </c>
      <c r="S31" s="113">
        <v>0</v>
      </c>
      <c r="T31" s="113">
        <v>0</v>
      </c>
    </row>
    <row r="32" spans="1:23">
      <c r="A32" s="38" t="s">
        <v>100</v>
      </c>
      <c r="B32" s="42"/>
      <c r="C32" s="42"/>
      <c r="D32" s="40"/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113">
        <v>0</v>
      </c>
      <c r="P32" s="113">
        <v>0</v>
      </c>
      <c r="Q32" s="113">
        <v>0</v>
      </c>
      <c r="R32" s="134">
        <v>0</v>
      </c>
      <c r="S32" s="113">
        <v>0</v>
      </c>
      <c r="T32" s="113">
        <v>0</v>
      </c>
    </row>
    <row r="33" spans="1:20">
      <c r="A33" s="45" t="s">
        <v>101</v>
      </c>
      <c r="B33" s="46">
        <f>B29+B30</f>
        <v>328682.40000000224</v>
      </c>
      <c r="C33" s="46">
        <f>C29+C30</f>
        <v>-3429237.0799999982</v>
      </c>
      <c r="D33" s="46">
        <f>D29+D30</f>
        <v>4761981</v>
      </c>
      <c r="E33" s="46">
        <f t="shared" ref="E33:T33" si="10">E29+E30</f>
        <v>3457866.1799999997</v>
      </c>
      <c r="F33" s="46">
        <f t="shared" si="10"/>
        <v>81308.760000000242</v>
      </c>
      <c r="G33" s="46">
        <f t="shared" si="10"/>
        <v>910280.16000000015</v>
      </c>
      <c r="H33" s="46">
        <f t="shared" si="10"/>
        <v>1177090.2200000007</v>
      </c>
      <c r="I33" s="46">
        <f t="shared" si="10"/>
        <v>3233042.9000000004</v>
      </c>
      <c r="J33" s="46">
        <f t="shared" si="10"/>
        <v>4917952.4600000009</v>
      </c>
      <c r="K33" s="46">
        <f t="shared" si="10"/>
        <v>7804890.120000001</v>
      </c>
      <c r="L33" s="46">
        <f t="shared" si="10"/>
        <v>10715567.25</v>
      </c>
      <c r="M33" s="46">
        <f t="shared" si="10"/>
        <v>13415806.000000004</v>
      </c>
      <c r="N33" s="46">
        <f t="shared" si="10"/>
        <v>17023293.689999998</v>
      </c>
      <c r="O33" s="46">
        <f t="shared" si="10"/>
        <v>20609471.899999999</v>
      </c>
      <c r="P33" s="46">
        <f t="shared" si="10"/>
        <v>23706684.919999994</v>
      </c>
      <c r="Q33" s="46">
        <f t="shared" si="10"/>
        <v>21536528.629999995</v>
      </c>
      <c r="R33" s="135">
        <f t="shared" si="10"/>
        <v>7068112.3400000036</v>
      </c>
      <c r="S33" s="46">
        <f t="shared" si="10"/>
        <v>5193039.9600000009</v>
      </c>
      <c r="T33" s="46">
        <f t="shared" si="10"/>
        <v>3391684.67</v>
      </c>
    </row>
    <row r="34" spans="1:20">
      <c r="A34" s="38" t="s">
        <v>102</v>
      </c>
      <c r="B34" s="44">
        <f>54783.02</f>
        <v>54783.02</v>
      </c>
      <c r="C34" s="44">
        <f>152555.5</f>
        <v>152555.5</v>
      </c>
      <c r="D34" s="44">
        <f>358182</f>
        <v>358182</v>
      </c>
      <c r="E34" s="32">
        <v>912196.8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113">
        <v>0</v>
      </c>
      <c r="P34" s="113">
        <v>0</v>
      </c>
      <c r="Q34" s="113">
        <v>0</v>
      </c>
      <c r="R34" s="130">
        <v>912196.8</v>
      </c>
      <c r="S34" s="113">
        <v>0</v>
      </c>
      <c r="T34" s="113">
        <v>0</v>
      </c>
    </row>
    <row r="35" spans="1:20">
      <c r="A35" s="36" t="s">
        <v>103</v>
      </c>
      <c r="B35" s="37">
        <f>B33-B34</f>
        <v>273899.38000000222</v>
      </c>
      <c r="C35" s="37">
        <f>C33-C34</f>
        <v>-3581792.5799999982</v>
      </c>
      <c r="D35" s="37">
        <f>D33-D34</f>
        <v>4403799</v>
      </c>
      <c r="E35" s="37">
        <f t="shared" ref="E35:T35" si="11">E33-E34</f>
        <v>2545669.38</v>
      </c>
      <c r="F35" s="37">
        <f t="shared" si="11"/>
        <v>81308.760000000242</v>
      </c>
      <c r="G35" s="37">
        <f t="shared" si="11"/>
        <v>910280.16000000015</v>
      </c>
      <c r="H35" s="37">
        <f t="shared" si="11"/>
        <v>1177090.2200000007</v>
      </c>
      <c r="I35" s="37">
        <f t="shared" si="11"/>
        <v>3233042.9000000004</v>
      </c>
      <c r="J35" s="37">
        <f t="shared" si="11"/>
        <v>4917952.4600000009</v>
      </c>
      <c r="K35" s="37">
        <f t="shared" si="11"/>
        <v>7804890.120000001</v>
      </c>
      <c r="L35" s="37">
        <f t="shared" si="11"/>
        <v>10715567.25</v>
      </c>
      <c r="M35" s="37">
        <f t="shared" si="11"/>
        <v>13415806.000000004</v>
      </c>
      <c r="N35" s="37">
        <f t="shared" si="11"/>
        <v>17023293.689999998</v>
      </c>
      <c r="O35" s="37">
        <f t="shared" si="11"/>
        <v>20609471.899999999</v>
      </c>
      <c r="P35" s="37">
        <f t="shared" si="11"/>
        <v>23706684.919999994</v>
      </c>
      <c r="Q35" s="37">
        <f t="shared" si="11"/>
        <v>21536528.629999995</v>
      </c>
      <c r="R35" s="129">
        <f t="shared" si="11"/>
        <v>6155915.5400000038</v>
      </c>
      <c r="S35" s="37">
        <f t="shared" si="11"/>
        <v>5193039.9600000009</v>
      </c>
      <c r="T35" s="37">
        <f t="shared" si="11"/>
        <v>3391684.67</v>
      </c>
    </row>
    <row r="36" spans="1:20">
      <c r="A36" s="38" t="s">
        <v>104</v>
      </c>
      <c r="B36" s="40"/>
      <c r="C36" s="40"/>
      <c r="D36" s="40"/>
      <c r="E36" s="32">
        <v>70500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113">
        <v>0</v>
      </c>
      <c r="P36" s="113">
        <v>0</v>
      </c>
      <c r="Q36" s="113">
        <v>0</v>
      </c>
      <c r="R36" s="136"/>
      <c r="S36" s="113">
        <v>0</v>
      </c>
      <c r="T36" s="113">
        <v>0</v>
      </c>
    </row>
    <row r="37" spans="1:20">
      <c r="A37" s="36" t="s">
        <v>105</v>
      </c>
      <c r="B37" s="37">
        <f>B35-B36</f>
        <v>273899.38000000222</v>
      </c>
      <c r="C37" s="37">
        <f>C35-C36</f>
        <v>-3581792.5799999982</v>
      </c>
      <c r="D37" s="37">
        <f>D35-D36</f>
        <v>4403799</v>
      </c>
      <c r="E37" s="37">
        <f t="shared" ref="E37:T37" si="12">E35-E36</f>
        <v>2475169.38</v>
      </c>
      <c r="F37" s="37">
        <f t="shared" si="12"/>
        <v>81308.760000000242</v>
      </c>
      <c r="G37" s="37">
        <f t="shared" si="12"/>
        <v>910280.16000000015</v>
      </c>
      <c r="H37" s="37">
        <f t="shared" si="12"/>
        <v>1177090.2200000007</v>
      </c>
      <c r="I37" s="37">
        <f t="shared" si="12"/>
        <v>3233042.9000000004</v>
      </c>
      <c r="J37" s="37">
        <f t="shared" si="12"/>
        <v>4917952.4600000009</v>
      </c>
      <c r="K37" s="37">
        <f t="shared" si="12"/>
        <v>7804890.120000001</v>
      </c>
      <c r="L37" s="37">
        <f t="shared" si="12"/>
        <v>10715567.25</v>
      </c>
      <c r="M37" s="37">
        <f t="shared" si="12"/>
        <v>13415806.000000004</v>
      </c>
      <c r="N37" s="37">
        <f t="shared" si="12"/>
        <v>17023293.689999998</v>
      </c>
      <c r="O37" s="37">
        <f t="shared" si="12"/>
        <v>20609471.899999999</v>
      </c>
      <c r="P37" s="37">
        <f t="shared" si="12"/>
        <v>23706684.919999994</v>
      </c>
      <c r="Q37" s="37">
        <f t="shared" si="12"/>
        <v>21536528.629999995</v>
      </c>
      <c r="R37" s="129">
        <f t="shared" si="12"/>
        <v>6155915.5400000038</v>
      </c>
      <c r="S37" s="37">
        <f t="shared" si="12"/>
        <v>5193039.9600000009</v>
      </c>
      <c r="T37" s="37">
        <f t="shared" si="12"/>
        <v>3391684.67</v>
      </c>
    </row>
    <row r="38" spans="1:20">
      <c r="A38" t="s">
        <v>106</v>
      </c>
      <c r="F38" s="47"/>
      <c r="R38" s="131">
        <f>20/100*R37</f>
        <v>1231183.1080000007</v>
      </c>
    </row>
    <row r="39" spans="1:20">
      <c r="A39" t="s">
        <v>107</v>
      </c>
      <c r="D39" s="47"/>
      <c r="R39" s="131"/>
    </row>
    <row r="40" spans="1:20">
      <c r="E40" s="32">
        <v>2655915.54</v>
      </c>
      <c r="R40" s="131"/>
      <c r="S40">
        <v>6127726.5199999996</v>
      </c>
    </row>
    <row r="41" spans="1:20">
      <c r="R41" s="131"/>
      <c r="S41" s="47">
        <f>R35-S40</f>
        <v>28189.02000000421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IJ65"/>
  <sheetViews>
    <sheetView tabSelected="1" workbookViewId="0">
      <selection activeCell="F16" sqref="F16"/>
    </sheetView>
  </sheetViews>
  <sheetFormatPr defaultColWidth="9.140625" defaultRowHeight="14.45"/>
  <cols>
    <col min="1" max="1" width="48" style="1" customWidth="1"/>
    <col min="2" max="2" width="20.7109375" style="2" customWidth="1"/>
    <col min="3" max="3" width="26.140625" style="1" hidden="1" customWidth="1"/>
    <col min="4" max="4" width="0.28515625" style="1" customWidth="1"/>
    <col min="5" max="5" width="21.42578125" style="1" customWidth="1"/>
    <col min="6" max="6" width="17.85546875" style="1" customWidth="1"/>
    <col min="7" max="7" width="0.140625" style="1" hidden="1" customWidth="1"/>
    <col min="8" max="8" width="16.28515625" style="1" hidden="1" customWidth="1"/>
    <col min="9" max="9" width="0.28515625" style="1" hidden="1" customWidth="1"/>
    <col min="10" max="17" width="16.28515625" style="1" hidden="1" customWidth="1"/>
    <col min="18" max="18" width="16.28515625" style="1" bestFit="1" customWidth="1"/>
    <col min="19" max="19" width="16" style="122" customWidth="1"/>
    <col min="20" max="21" width="16.28515625" style="1" hidden="1" customWidth="1"/>
    <col min="22" max="16384" width="9.140625" style="1"/>
  </cols>
  <sheetData>
    <row r="1" spans="1:244" ht="15.6">
      <c r="A1" s="177" t="s">
        <v>108</v>
      </c>
      <c r="B1" s="177"/>
      <c r="C1" s="177"/>
      <c r="D1" s="177"/>
      <c r="E1" s="17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8"/>
    </row>
    <row r="2" spans="1:244" ht="17.45">
      <c r="A2" s="178" t="s">
        <v>109</v>
      </c>
      <c r="B2" s="178"/>
      <c r="C2" s="178"/>
      <c r="D2" s="178"/>
      <c r="E2" s="178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50"/>
      <c r="T2" s="140"/>
      <c r="U2" s="140"/>
    </row>
    <row r="3" spans="1:244" ht="15" customHeight="1">
      <c r="A3" s="151"/>
      <c r="B3" s="182" t="s">
        <v>110</v>
      </c>
      <c r="C3" s="152" t="s">
        <v>111</v>
      </c>
      <c r="D3" s="153" t="s">
        <v>111</v>
      </c>
      <c r="E3" s="184" t="s">
        <v>112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50"/>
      <c r="T3" s="140"/>
      <c r="U3" s="140"/>
    </row>
    <row r="4" spans="1:244" ht="17.45">
      <c r="A4" s="154"/>
      <c r="B4" s="183"/>
      <c r="C4" s="155">
        <v>2018</v>
      </c>
      <c r="D4" s="155">
        <v>2019</v>
      </c>
      <c r="E4" s="185"/>
      <c r="F4" s="156" t="s">
        <v>3</v>
      </c>
      <c r="G4" s="157">
        <v>44562</v>
      </c>
      <c r="H4" s="157">
        <v>44593</v>
      </c>
      <c r="I4" s="157">
        <v>44621</v>
      </c>
      <c r="J4" s="157">
        <v>44652</v>
      </c>
      <c r="K4" s="157">
        <v>44682</v>
      </c>
      <c r="L4" s="157">
        <v>44713</v>
      </c>
      <c r="M4" s="157">
        <v>44743</v>
      </c>
      <c r="N4" s="157">
        <v>44774</v>
      </c>
      <c r="O4" s="157">
        <v>44805</v>
      </c>
      <c r="P4" s="157">
        <v>44835</v>
      </c>
      <c r="Q4" s="157">
        <v>44866</v>
      </c>
      <c r="R4" s="157">
        <v>44896</v>
      </c>
      <c r="S4" s="150" t="s">
        <v>4</v>
      </c>
      <c r="T4" s="141">
        <v>44927</v>
      </c>
      <c r="U4" s="141">
        <v>44958</v>
      </c>
      <c r="V4" s="75"/>
      <c r="W4" s="75"/>
    </row>
    <row r="5" spans="1:244" ht="17.45">
      <c r="A5" s="179" t="s">
        <v>113</v>
      </c>
      <c r="B5" s="180"/>
      <c r="C5" s="180"/>
      <c r="D5" s="180"/>
      <c r="E5" s="181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40"/>
      <c r="U5" s="140"/>
    </row>
    <row r="6" spans="1:244" ht="17.45">
      <c r="A6" s="154" t="s">
        <v>114</v>
      </c>
      <c r="B6" s="159" t="s">
        <v>115</v>
      </c>
      <c r="C6" s="160">
        <f>C34</f>
        <v>30143409.859999999</v>
      </c>
      <c r="D6" s="160">
        <f>D34</f>
        <v>35452338.32</v>
      </c>
      <c r="E6" s="160">
        <f>E34</f>
        <v>45229105</v>
      </c>
      <c r="F6" s="160">
        <f>F34</f>
        <v>47522615.830000006</v>
      </c>
      <c r="G6" s="160">
        <f t="shared" ref="G6:U6" si="0">G34</f>
        <v>65485153.68</v>
      </c>
      <c r="H6" s="160">
        <f t="shared" si="0"/>
        <v>67302349.689999998</v>
      </c>
      <c r="I6" s="160">
        <f t="shared" si="0"/>
        <v>53130534</v>
      </c>
      <c r="J6" s="160">
        <f t="shared" si="0"/>
        <v>56340612.910000004</v>
      </c>
      <c r="K6" s="160">
        <f t="shared" si="0"/>
        <v>58801854.399999999</v>
      </c>
      <c r="L6" s="160">
        <f t="shared" si="0"/>
        <v>63963693.470000006</v>
      </c>
      <c r="M6" s="160">
        <f t="shared" si="0"/>
        <v>65295739.620000005</v>
      </c>
      <c r="N6" s="160">
        <f t="shared" si="0"/>
        <v>68700284.310000002</v>
      </c>
      <c r="O6" s="160">
        <f t="shared" si="0"/>
        <v>73239376.200000003</v>
      </c>
      <c r="P6" s="160">
        <f t="shared" si="0"/>
        <v>87492150.349999994</v>
      </c>
      <c r="Q6" s="160">
        <f t="shared" si="0"/>
        <v>91005336.370000005</v>
      </c>
      <c r="R6" s="160">
        <f t="shared" si="0"/>
        <v>89040209.870000005</v>
      </c>
      <c r="S6" s="161">
        <f t="shared" si="0"/>
        <v>58845901.540000007</v>
      </c>
      <c r="T6" s="142">
        <f t="shared" si="0"/>
        <v>89007736.829999998</v>
      </c>
      <c r="U6" s="142">
        <f t="shared" si="0"/>
        <v>86941635.770000011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244" ht="17.45">
      <c r="A7" s="154" t="s">
        <v>116</v>
      </c>
      <c r="B7" s="162" t="s">
        <v>117</v>
      </c>
      <c r="C7" s="163">
        <f>C34/C30</f>
        <v>0.11317986536096923</v>
      </c>
      <c r="D7" s="163">
        <f>D34/D30</f>
        <v>0.1200225947535334</v>
      </c>
      <c r="E7" s="163">
        <f>E34/E30</f>
        <v>0.14061693235968487</v>
      </c>
      <c r="F7" s="163">
        <f>F34/F30</f>
        <v>0.13045333793603892</v>
      </c>
      <c r="G7" s="163">
        <f t="shared" ref="G7:U7" si="1">G34/G30</f>
        <v>0.17049290986211815</v>
      </c>
      <c r="H7" s="163">
        <f t="shared" si="1"/>
        <v>0.17098393853671551</v>
      </c>
      <c r="I7" s="163">
        <f t="shared" si="1"/>
        <v>0.13665007374222807</v>
      </c>
      <c r="J7" s="163">
        <f t="shared" si="1"/>
        <v>0.14177095778041895</v>
      </c>
      <c r="K7" s="163">
        <f t="shared" si="1"/>
        <v>0.14479177071695185</v>
      </c>
      <c r="L7" s="163">
        <f t="shared" si="1"/>
        <v>0.1576417176672846</v>
      </c>
      <c r="M7" s="163">
        <f t="shared" si="1"/>
        <v>0.1585250724799</v>
      </c>
      <c r="N7" s="163">
        <f t="shared" si="1"/>
        <v>0.16341499145600288</v>
      </c>
      <c r="O7" s="163">
        <f t="shared" si="1"/>
        <v>0.16997571039917525</v>
      </c>
      <c r="P7" s="163">
        <f t="shared" si="1"/>
        <v>0.19419781644239884</v>
      </c>
      <c r="Q7" s="163">
        <f t="shared" si="1"/>
        <v>0.1959622565364616</v>
      </c>
      <c r="R7" s="163">
        <f t="shared" si="1"/>
        <v>0.19627223680766698</v>
      </c>
      <c r="S7" s="164">
        <f t="shared" si="1"/>
        <v>0.13911101447557236</v>
      </c>
      <c r="T7" s="143">
        <f t="shared" si="1"/>
        <v>0.19673485735178395</v>
      </c>
      <c r="U7" s="143">
        <f t="shared" si="1"/>
        <v>0.19138909659555284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244" ht="17.45">
      <c r="A8" s="154" t="s">
        <v>118</v>
      </c>
      <c r="B8" s="162" t="s">
        <v>119</v>
      </c>
      <c r="C8" s="163">
        <f>C34/C32</f>
        <v>0.13335301223000565</v>
      </c>
      <c r="D8" s="163">
        <f>D34/D32</f>
        <v>0.14496809827887305</v>
      </c>
      <c r="E8" s="163">
        <f>E34/E32</f>
        <v>0.16806638862964052</v>
      </c>
      <c r="F8" s="163">
        <f>F34/F32</f>
        <v>0.15447486556042475</v>
      </c>
      <c r="G8" s="163">
        <f t="shared" ref="G8:U8" si="2">G34/G32</f>
        <v>0.20727650027668496</v>
      </c>
      <c r="H8" s="163">
        <f t="shared" si="2"/>
        <v>0.20812207328413304</v>
      </c>
      <c r="I8" s="163">
        <f t="shared" si="2"/>
        <v>0.15926016292167944</v>
      </c>
      <c r="J8" s="163">
        <f t="shared" si="2"/>
        <v>0.16609227007358018</v>
      </c>
      <c r="K8" s="163">
        <f t="shared" si="2"/>
        <v>0.17026689146190765</v>
      </c>
      <c r="L8" s="163">
        <f t="shared" si="2"/>
        <v>0.18833285209820111</v>
      </c>
      <c r="M8" s="163">
        <f t="shared" si="2"/>
        <v>0.19000819245518061</v>
      </c>
      <c r="N8" s="163">
        <f t="shared" si="2"/>
        <v>0.19683560759765356</v>
      </c>
      <c r="O8" s="163">
        <f t="shared" si="2"/>
        <v>0.20624714908373773</v>
      </c>
      <c r="P8" s="163">
        <f t="shared" si="2"/>
        <v>0.24403755992734094</v>
      </c>
      <c r="Q8" s="163">
        <f t="shared" si="2"/>
        <v>0.2506583711137188</v>
      </c>
      <c r="R8" s="163">
        <f t="shared" si="2"/>
        <v>0.25273154025322775</v>
      </c>
      <c r="S8" s="164">
        <f t="shared" si="2"/>
        <v>0.16890630002157925</v>
      </c>
      <c r="T8" s="143">
        <f t="shared" si="2"/>
        <v>0.24698997742257323</v>
      </c>
      <c r="U8" s="143">
        <f t="shared" si="2"/>
        <v>0.23798523877285555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244" ht="17.45">
      <c r="A9" s="154" t="s">
        <v>120</v>
      </c>
      <c r="B9" s="162" t="s">
        <v>121</v>
      </c>
      <c r="C9" s="165">
        <f>C35/C30</f>
        <v>-1.4738974091141065E-2</v>
      </c>
      <c r="D9" s="165">
        <f>D35/D30</f>
        <v>-1.3506305255240811E-2</v>
      </c>
      <c r="E9" s="165">
        <f>E35/E30</f>
        <v>3.6490041879492022E-4</v>
      </c>
      <c r="F9" s="165">
        <f>F35/F30</f>
        <v>5.2958679165124442E-3</v>
      </c>
      <c r="G9" s="165">
        <f t="shared" ref="G9:U9" si="3">G35/G30</f>
        <v>5.0426697859146948E-2</v>
      </c>
      <c r="H9" s="165">
        <f t="shared" si="3"/>
        <v>5.25778888552162E-2</v>
      </c>
      <c r="I9" s="165">
        <f t="shared" si="3"/>
        <v>1.5666866390157418E-2</v>
      </c>
      <c r="J9" s="165">
        <f t="shared" si="3"/>
        <v>2.2339749536828192E-2</v>
      </c>
      <c r="K9" s="165">
        <f t="shared" si="3"/>
        <v>2.7003557299358084E-2</v>
      </c>
      <c r="L9" s="165">
        <f t="shared" si="3"/>
        <v>3.8713762149180882E-2</v>
      </c>
      <c r="M9" s="165">
        <f t="shared" si="3"/>
        <v>4.0505854463984359E-2</v>
      </c>
      <c r="N9" s="165">
        <f t="shared" si="3"/>
        <v>4.6718396397877171E-2</v>
      </c>
      <c r="O9" s="165">
        <f t="shared" si="3"/>
        <v>5.511173566225034E-2</v>
      </c>
      <c r="P9" s="165">
        <f t="shared" si="3"/>
        <v>8.3420271489877379E-2</v>
      </c>
      <c r="Q9" s="165">
        <f t="shared" si="3"/>
        <v>8.7608384811317469E-2</v>
      </c>
      <c r="R9" s="165">
        <f t="shared" si="3"/>
        <v>8.5402504188159603E-2</v>
      </c>
      <c r="S9" s="166">
        <f t="shared" si="3"/>
        <v>1.9430331921785487E-2</v>
      </c>
      <c r="T9" s="144">
        <f t="shared" si="3"/>
        <v>8.4011389160711811E-2</v>
      </c>
      <c r="U9" s="144">
        <f t="shared" si="3"/>
        <v>0.19138909659555284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244" ht="17.45">
      <c r="A10" s="179" t="s">
        <v>122</v>
      </c>
      <c r="B10" s="180"/>
      <c r="C10" s="180"/>
      <c r="D10" s="180"/>
      <c r="E10" s="181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40"/>
      <c r="U10" s="140"/>
    </row>
    <row r="11" spans="1:244" ht="17.45">
      <c r="A11" s="154" t="s">
        <v>123</v>
      </c>
      <c r="B11" s="159" t="s">
        <v>124</v>
      </c>
      <c r="C11" s="165">
        <f>C36/C33</f>
        <v>0</v>
      </c>
      <c r="D11" s="165">
        <f>D36/D33</f>
        <v>0</v>
      </c>
      <c r="E11" s="165">
        <f>E36/E33</f>
        <v>0</v>
      </c>
      <c r="F11" s="165">
        <f>F36/F33</f>
        <v>0</v>
      </c>
      <c r="G11" s="165">
        <f t="shared" ref="G11:U11" si="4">G36/G33</f>
        <v>0</v>
      </c>
      <c r="H11" s="165">
        <f t="shared" si="4"/>
        <v>0</v>
      </c>
      <c r="I11" s="165">
        <f t="shared" si="4"/>
        <v>0</v>
      </c>
      <c r="J11" s="165">
        <f t="shared" si="4"/>
        <v>0</v>
      </c>
      <c r="K11" s="165">
        <f t="shared" si="4"/>
        <v>0</v>
      </c>
      <c r="L11" s="165">
        <f t="shared" si="4"/>
        <v>0</v>
      </c>
      <c r="M11" s="165">
        <f t="shared" si="4"/>
        <v>0</v>
      </c>
      <c r="N11" s="165">
        <f t="shared" si="4"/>
        <v>0</v>
      </c>
      <c r="O11" s="165">
        <f t="shared" si="4"/>
        <v>0</v>
      </c>
      <c r="P11" s="165">
        <f t="shared" si="4"/>
        <v>0</v>
      </c>
      <c r="Q11" s="165">
        <f t="shared" si="4"/>
        <v>0</v>
      </c>
      <c r="R11" s="165">
        <f t="shared" si="4"/>
        <v>0</v>
      </c>
      <c r="S11" s="164">
        <f t="shared" si="4"/>
        <v>0</v>
      </c>
      <c r="T11" s="144">
        <f t="shared" si="4"/>
        <v>0</v>
      </c>
      <c r="U11" s="144">
        <f t="shared" si="4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244" ht="17.45">
      <c r="A12" s="154" t="s">
        <v>125</v>
      </c>
      <c r="B12" s="159" t="s">
        <v>126</v>
      </c>
      <c r="C12" s="163">
        <f>C37/C30</f>
        <v>0.10997830041930678</v>
      </c>
      <c r="D12" s="163">
        <f>D37/D30</f>
        <v>0.19583561339414374</v>
      </c>
      <c r="E12" s="163">
        <f>E37/E30</f>
        <v>0.1855411756101655</v>
      </c>
      <c r="F12" s="163">
        <f>F37/F30</f>
        <v>0.17290822739757442</v>
      </c>
      <c r="G12" s="163">
        <f t="shared" ref="G12:U12" si="5">G37/G30</f>
        <v>0.16111033037104239</v>
      </c>
      <c r="H12" s="163">
        <f t="shared" si="5"/>
        <v>0.16407488922571686</v>
      </c>
      <c r="I12" s="163">
        <f t="shared" si="5"/>
        <v>0.17015728015410422</v>
      </c>
      <c r="J12" s="163">
        <f t="shared" si="5"/>
        <v>0.19371576967586121</v>
      </c>
      <c r="K12" s="163">
        <f t="shared" si="5"/>
        <v>0.19412107266020531</v>
      </c>
      <c r="L12" s="163">
        <f t="shared" si="5"/>
        <v>0.19466141888744118</v>
      </c>
      <c r="M12" s="163">
        <f t="shared" si="5"/>
        <v>0.19608889185899395</v>
      </c>
      <c r="N12" s="163">
        <f t="shared" si="5"/>
        <v>0.19195681983256191</v>
      </c>
      <c r="O12" s="163">
        <f t="shared" si="5"/>
        <v>0.15085710062708244</v>
      </c>
      <c r="P12" s="163">
        <f t="shared" si="5"/>
        <v>0.16854723942849933</v>
      </c>
      <c r="Q12" s="163">
        <f t="shared" si="5"/>
        <v>0.15951573246021478</v>
      </c>
      <c r="R12" s="163">
        <f t="shared" si="5"/>
        <v>0.14702344010654469</v>
      </c>
      <c r="S12" s="164">
        <f t="shared" si="5"/>
        <v>0.15296751889793359</v>
      </c>
      <c r="T12" s="143">
        <f t="shared" si="5"/>
        <v>0.15163993362429118</v>
      </c>
      <c r="U12" s="143">
        <f t="shared" si="5"/>
        <v>0.14942284278361481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244" ht="17.45">
      <c r="A13" s="154" t="s">
        <v>127</v>
      </c>
      <c r="B13" s="159" t="s">
        <v>124</v>
      </c>
      <c r="C13" s="167">
        <f>C39/C32</f>
        <v>7.3672080331335286E-4</v>
      </c>
      <c r="D13" s="167">
        <f>D39/D32</f>
        <v>6.8095754893441197E-4</v>
      </c>
      <c r="E13" s="167">
        <f>E39/E32</f>
        <v>6.1880719723492281E-4</v>
      </c>
      <c r="F13" s="167">
        <f>F39/F32</f>
        <v>5.4294016320266482E-4</v>
      </c>
      <c r="G13" s="167">
        <f t="shared" ref="G13:U13" si="6">G39/G32</f>
        <v>5.2869073210694013E-4</v>
      </c>
      <c r="H13" s="167">
        <f t="shared" si="6"/>
        <v>5.1651435738526497E-4</v>
      </c>
      <c r="I13" s="167">
        <f t="shared" si="6"/>
        <v>5.0067678621126062E-4</v>
      </c>
      <c r="J13" s="167">
        <f t="shared" si="6"/>
        <v>4.9240486458155034E-4</v>
      </c>
      <c r="K13" s="167">
        <f t="shared" si="6"/>
        <v>4.8365275502063824E-4</v>
      </c>
      <c r="L13" s="167">
        <f t="shared" si="6"/>
        <v>4.917983090003469E-4</v>
      </c>
      <c r="M13" s="167">
        <f t="shared" si="6"/>
        <v>4.860511355026874E-4</v>
      </c>
      <c r="N13" s="167">
        <f t="shared" si="6"/>
        <v>4.7856354405582041E-4</v>
      </c>
      <c r="O13" s="167">
        <f t="shared" si="6"/>
        <v>4.7036803286504118E-4</v>
      </c>
      <c r="P13" s="167">
        <f t="shared" si="6"/>
        <v>4.6588857939372573E-4</v>
      </c>
      <c r="Q13" s="167">
        <f t="shared" si="6"/>
        <v>4.6005508464804819E-4</v>
      </c>
      <c r="R13" s="167">
        <f t="shared" si="6"/>
        <v>4.7409759287550334E-4</v>
      </c>
      <c r="S13" s="164">
        <f t="shared" si="6"/>
        <v>4.4929047648978884E-4</v>
      </c>
      <c r="T13" s="145">
        <f t="shared" si="6"/>
        <v>4.6349606672605029E-4</v>
      </c>
      <c r="U13" s="145">
        <f t="shared" si="6"/>
        <v>4.5721102530654696E-4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spans="1:244" ht="17.45">
      <c r="A14" s="168" t="s">
        <v>128</v>
      </c>
      <c r="B14" s="159" t="s">
        <v>129</v>
      </c>
      <c r="C14" s="167">
        <f>C39/C34</f>
        <v>5.5245906409872904E-3</v>
      </c>
      <c r="D14" s="167">
        <f>D39/D34</f>
        <v>4.697292418256489E-3</v>
      </c>
      <c r="E14" s="167">
        <f>E39/E34</f>
        <v>3.6819211876954012E-3</v>
      </c>
      <c r="F14" s="167">
        <f>F39/F34</f>
        <v>3.5147476013842982E-3</v>
      </c>
      <c r="G14" s="167">
        <f t="shared" ref="G14:U14" si="7">G39/G34</f>
        <v>2.5506544707249133E-3</v>
      </c>
      <c r="H14" s="167">
        <f t="shared" si="7"/>
        <v>2.4817855657247264E-3</v>
      </c>
      <c r="I14" s="167">
        <f t="shared" si="7"/>
        <v>3.1437666333261399E-3</v>
      </c>
      <c r="J14" s="167">
        <f t="shared" si="7"/>
        <v>2.9646464845318275E-3</v>
      </c>
      <c r="K14" s="167">
        <f t="shared" si="7"/>
        <v>2.8405566746888176E-3</v>
      </c>
      <c r="L14" s="167">
        <f t="shared" si="7"/>
        <v>2.6113251274074681E-3</v>
      </c>
      <c r="M14" s="167">
        <f t="shared" si="7"/>
        <v>2.5580535724391874E-3</v>
      </c>
      <c r="N14" s="167">
        <f t="shared" si="7"/>
        <v>2.43128542592781E-3</v>
      </c>
      <c r="O14" s="167">
        <f t="shared" si="7"/>
        <v>2.2806038044873461E-3</v>
      </c>
      <c r="P14" s="167">
        <f t="shared" si="7"/>
        <v>1.9090855503244586E-3</v>
      </c>
      <c r="Q14" s="167">
        <f t="shared" si="7"/>
        <v>1.8353868757861281E-3</v>
      </c>
      <c r="R14" s="167">
        <f t="shared" si="7"/>
        <v>1.8758940510570025E-3</v>
      </c>
      <c r="S14" s="164">
        <f t="shared" si="7"/>
        <v>2.6599983329952054E-3</v>
      </c>
      <c r="T14" s="145">
        <f t="shared" si="7"/>
        <v>1.8765784408047398E-3</v>
      </c>
      <c r="U14" s="145">
        <f t="shared" si="7"/>
        <v>1.9211738831538662E-3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</row>
    <row r="15" spans="1:244" ht="17.45">
      <c r="A15" s="179" t="s">
        <v>130</v>
      </c>
      <c r="B15" s="180"/>
      <c r="C15" s="180"/>
      <c r="D15" s="180"/>
      <c r="E15" s="181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40"/>
      <c r="U15" s="140"/>
    </row>
    <row r="16" spans="1:244" ht="17.45">
      <c r="A16" s="154" t="s">
        <v>131</v>
      </c>
      <c r="B16" s="159"/>
      <c r="C16" s="165">
        <f>C49/C33</f>
        <v>0.12366634835808787</v>
      </c>
      <c r="D16" s="165">
        <f>D49/D33</f>
        <v>0.13135215969242003</v>
      </c>
      <c r="E16" s="165">
        <f>E49/E33</f>
        <v>0.13552438453547064</v>
      </c>
      <c r="F16" s="165">
        <f>F49/F33</f>
        <v>0.14247782336400813</v>
      </c>
      <c r="G16" s="165">
        <f t="shared" ref="G16:U16" si="8">G49/G33</f>
        <v>1.1222658664923439E-2</v>
      </c>
      <c r="H16" s="165">
        <f t="shared" si="8"/>
        <v>2.2571710091192368E-2</v>
      </c>
      <c r="I16" s="165">
        <f t="shared" si="8"/>
        <v>3.441793528149345E-2</v>
      </c>
      <c r="J16" s="165">
        <f t="shared" si="8"/>
        <v>4.5099606211980302E-2</v>
      </c>
      <c r="K16" s="165">
        <f t="shared" si="8"/>
        <v>5.7845105040824948E-2</v>
      </c>
      <c r="L16" s="165">
        <f t="shared" si="8"/>
        <v>7.2553232998447889E-2</v>
      </c>
      <c r="M16" s="165">
        <f t="shared" si="8"/>
        <v>8.5324064673225689E-2</v>
      </c>
      <c r="N16" s="165">
        <f t="shared" si="8"/>
        <v>9.8471495963028732E-2</v>
      </c>
      <c r="O16" s="165">
        <f t="shared" si="8"/>
        <v>0.1093558277982251</v>
      </c>
      <c r="P16" s="165">
        <f t="shared" si="8"/>
        <v>0.12265790684371129</v>
      </c>
      <c r="Q16" s="165">
        <f t="shared" si="8"/>
        <v>0.13455389377662152</v>
      </c>
      <c r="R16" s="165">
        <f t="shared" si="8"/>
        <v>0.15307119148911172</v>
      </c>
      <c r="S16" s="164">
        <f t="shared" si="8"/>
        <v>0.15844228346501971</v>
      </c>
      <c r="T16" s="144">
        <f t="shared" si="8"/>
        <v>2.462681917572504E-2</v>
      </c>
      <c r="U16" s="144">
        <f t="shared" si="8"/>
        <v>2.6890555608616903E-2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ht="17.45">
      <c r="A17" s="154" t="s">
        <v>132</v>
      </c>
      <c r="B17" s="159"/>
      <c r="C17" s="165">
        <f>C50/C45</f>
        <v>0.90586552594186276</v>
      </c>
      <c r="D17" s="165">
        <f>D50/D45</f>
        <v>1.1071991421145138</v>
      </c>
      <c r="E17" s="165">
        <f>E50/E45</f>
        <v>0.81358552690484975</v>
      </c>
      <c r="F17" s="165">
        <f>F50/F45</f>
        <v>0.82918363596868905</v>
      </c>
      <c r="G17" s="165">
        <f t="shared" ref="G17:U17" si="9">G50/G45</f>
        <v>0.97473432493583034</v>
      </c>
      <c r="H17" s="165">
        <f t="shared" si="9"/>
        <v>0.85968616831999767</v>
      </c>
      <c r="I17" s="165">
        <f t="shared" si="9"/>
        <v>0.88413187409930016</v>
      </c>
      <c r="J17" s="165">
        <f t="shared" si="9"/>
        <v>0.77619880217152037</v>
      </c>
      <c r="K17" s="165">
        <f t="shared" si="9"/>
        <v>0.7343880321604026</v>
      </c>
      <c r="L17" s="165">
        <f t="shared" si="9"/>
        <v>0.66252554632723781</v>
      </c>
      <c r="M17" s="165">
        <f t="shared" si="9"/>
        <v>0.61804339399464814</v>
      </c>
      <c r="N17" s="165">
        <f t="shared" si="9"/>
        <v>0.60018885580168391</v>
      </c>
      <c r="O17" s="165">
        <f t="shared" si="9"/>
        <v>0.56340637915546221</v>
      </c>
      <c r="P17" s="165">
        <f t="shared" si="9"/>
        <v>0.53741977059409507</v>
      </c>
      <c r="Q17" s="165">
        <f t="shared" si="9"/>
        <v>0.52431293340157137</v>
      </c>
      <c r="R17" s="165">
        <f t="shared" si="9"/>
        <v>0.60665354952987049</v>
      </c>
      <c r="S17" s="164">
        <f t="shared" si="9"/>
        <v>0.80704610183027958</v>
      </c>
      <c r="T17" s="144">
        <f t="shared" si="9"/>
        <v>0.38581127525347664</v>
      </c>
      <c r="U17" s="144">
        <f t="shared" si="9"/>
        <v>0.64286592740614923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ht="17.45">
      <c r="A18" s="154" t="s">
        <v>133</v>
      </c>
      <c r="B18" s="159"/>
      <c r="C18" s="167" t="e">
        <f>C51/C31</f>
        <v>#DIV/0!</v>
      </c>
      <c r="D18" s="167">
        <f>D51/D31</f>
        <v>-1.275311807677538E-2</v>
      </c>
      <c r="E18" s="167">
        <f>E51/E31</f>
        <v>1.427422327128588E-2</v>
      </c>
      <c r="F18" s="167">
        <f>F51/F31</f>
        <v>7.2169118623104014E-3</v>
      </c>
      <c r="G18" s="167">
        <f t="shared" ref="G18:U18" si="10">G51/G31</f>
        <v>2.172923197281697E-4</v>
      </c>
      <c r="H18" s="167">
        <f t="shared" si="10"/>
        <v>2.340921144824822E-3</v>
      </c>
      <c r="I18" s="167">
        <f t="shared" si="10"/>
        <v>3.0088250195903091E-3</v>
      </c>
      <c r="J18" s="167">
        <f t="shared" si="10"/>
        <v>8.2243425327827146E-3</v>
      </c>
      <c r="K18" s="167">
        <f t="shared" si="10"/>
        <v>1.2241034069668312E-2</v>
      </c>
      <c r="L18" s="167">
        <f t="shared" si="10"/>
        <v>1.9227020599921367E-2</v>
      </c>
      <c r="M18" s="167">
        <f t="shared" si="10"/>
        <v>2.6210679731910113E-2</v>
      </c>
      <c r="N18" s="167">
        <f t="shared" si="10"/>
        <v>3.2237942256823353E-2</v>
      </c>
      <c r="O18" s="167">
        <f t="shared" si="10"/>
        <v>3.9994335835005605E-2</v>
      </c>
      <c r="P18" s="167">
        <f t="shared" si="10"/>
        <v>4.6764646505990687E-2</v>
      </c>
      <c r="Q18" s="167">
        <f t="shared" si="10"/>
        <v>5.1821660113870412E-2</v>
      </c>
      <c r="R18" s="167">
        <f t="shared" si="10"/>
        <v>4.6917524103912117E-2</v>
      </c>
      <c r="S18" s="164">
        <f t="shared" si="10"/>
        <v>1.4043850197938367E-2</v>
      </c>
      <c r="T18" s="145">
        <f t="shared" si="10"/>
        <v>1.1863855994529084E-2</v>
      </c>
      <c r="U18" s="145">
        <f t="shared" si="10"/>
        <v>7.4814545771731342E-3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ht="17.45">
      <c r="A19" s="168" t="s">
        <v>134</v>
      </c>
      <c r="B19" s="169"/>
      <c r="C19" s="167">
        <f>C48/C45</f>
        <v>0.63907717915142448</v>
      </c>
      <c r="D19" s="167">
        <f>D48/D45</f>
        <v>0.60810981238286077</v>
      </c>
      <c r="E19" s="167">
        <f>E48/E45</f>
        <v>0.72464132658258718</v>
      </c>
      <c r="F19" s="167">
        <f>F48/F45</f>
        <v>0.72279167691791291</v>
      </c>
      <c r="G19" s="167">
        <f t="shared" ref="G19:U19" si="11">G48/G45</f>
        <v>0.96897283660795164</v>
      </c>
      <c r="H19" s="167">
        <f t="shared" si="11"/>
        <v>0.85659507494344667</v>
      </c>
      <c r="I19" s="167">
        <f t="shared" si="11"/>
        <v>0.8817006667712346</v>
      </c>
      <c r="J19" s="167">
        <f t="shared" si="11"/>
        <v>0.77442604469663601</v>
      </c>
      <c r="K19" s="167">
        <f t="shared" si="11"/>
        <v>0.72446510356638827</v>
      </c>
      <c r="L19" s="167">
        <f t="shared" si="11"/>
        <v>0.65449454396288698</v>
      </c>
      <c r="M19" s="167">
        <f t="shared" si="11"/>
        <v>0.61139378669223032</v>
      </c>
      <c r="N19" s="167">
        <f t="shared" si="11"/>
        <v>0.59457506348074907</v>
      </c>
      <c r="O19" s="167">
        <f t="shared" si="11"/>
        <v>0.55854074324966618</v>
      </c>
      <c r="P19" s="167">
        <f t="shared" si="11"/>
        <v>0.53312038433893749</v>
      </c>
      <c r="Q19" s="167">
        <f t="shared" si="11"/>
        <v>0.52035609604869193</v>
      </c>
      <c r="R19" s="167">
        <f t="shared" si="11"/>
        <v>0.60301480409455799</v>
      </c>
      <c r="S19" s="164">
        <f t="shared" si="11"/>
        <v>0.61051748075166568</v>
      </c>
      <c r="T19" s="145">
        <f t="shared" si="11"/>
        <v>0.38581127525347664</v>
      </c>
      <c r="U19" s="145">
        <f t="shared" si="11"/>
        <v>0.64338135600740154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ht="17.45">
      <c r="A20" s="179" t="s">
        <v>135</v>
      </c>
      <c r="B20" s="180"/>
      <c r="C20" s="180"/>
      <c r="D20" s="180"/>
      <c r="E20" s="181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40"/>
      <c r="U20" s="140"/>
    </row>
    <row r="21" spans="1:37" ht="17.45">
      <c r="A21" s="154" t="s">
        <v>136</v>
      </c>
      <c r="B21" s="159" t="s">
        <v>137</v>
      </c>
      <c r="C21" s="163">
        <f>C41/C42</f>
        <v>0.58800273063095543</v>
      </c>
      <c r="D21" s="163">
        <f>D41/D42</f>
        <v>8.1200656612166841E-2</v>
      </c>
      <c r="E21" s="163">
        <f>E41/E42</f>
        <v>0.14616985156268497</v>
      </c>
      <c r="F21" s="163">
        <f>F41/F42</f>
        <v>3.3625478184220441</v>
      </c>
      <c r="G21" s="163">
        <f t="shared" ref="G21:U21" si="12">G41/G42</f>
        <v>5.9132567152862592</v>
      </c>
      <c r="H21" s="163">
        <f t="shared" si="12"/>
        <v>5.8426743362985212</v>
      </c>
      <c r="I21" s="163">
        <f t="shared" si="12"/>
        <v>3.5353708498034937</v>
      </c>
      <c r="J21" s="163">
        <f t="shared" si="12"/>
        <v>0.25054000557891554</v>
      </c>
      <c r="K21" s="163">
        <f t="shared" si="12"/>
        <v>0.68361191601360927</v>
      </c>
      <c r="L21" s="163">
        <f t="shared" si="12"/>
        <v>1.6355017729727395</v>
      </c>
      <c r="M21" s="163">
        <f t="shared" si="12"/>
        <v>1.0593750596282985</v>
      </c>
      <c r="N21" s="163">
        <f t="shared" si="12"/>
        <v>0.67420201557276882</v>
      </c>
      <c r="O21" s="163">
        <f t="shared" si="12"/>
        <v>0.59590799976139563</v>
      </c>
      <c r="P21" s="163">
        <f t="shared" si="12"/>
        <v>0.57910280368955191</v>
      </c>
      <c r="Q21" s="163">
        <f t="shared" si="12"/>
        <v>0.63824763059245504</v>
      </c>
      <c r="R21" s="163">
        <f t="shared" si="12"/>
        <v>0.76143173062750369</v>
      </c>
      <c r="S21" s="164">
        <f t="shared" si="12"/>
        <v>0.64297526377980141</v>
      </c>
      <c r="T21" s="143">
        <f t="shared" si="12"/>
        <v>0.53572364742921808</v>
      </c>
      <c r="U21" s="143">
        <f t="shared" si="12"/>
        <v>1.2722636212916987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 ht="17.45">
      <c r="A22" s="154" t="s">
        <v>138</v>
      </c>
      <c r="B22" s="159" t="s">
        <v>139</v>
      </c>
      <c r="C22" s="163">
        <f>C43/C30</f>
        <v>0</v>
      </c>
      <c r="D22" s="163">
        <f>D43/D30</f>
        <v>0</v>
      </c>
      <c r="E22" s="163">
        <f>E43/E30</f>
        <v>0</v>
      </c>
      <c r="F22" s="163">
        <f>F43/F30</f>
        <v>0</v>
      </c>
      <c r="G22" s="163">
        <f t="shared" ref="G22:U22" si="13">G43/G30</f>
        <v>0</v>
      </c>
      <c r="H22" s="163">
        <f t="shared" si="13"/>
        <v>0</v>
      </c>
      <c r="I22" s="163">
        <f t="shared" si="13"/>
        <v>0</v>
      </c>
      <c r="J22" s="163">
        <f t="shared" si="13"/>
        <v>0</v>
      </c>
      <c r="K22" s="163">
        <f t="shared" si="13"/>
        <v>0</v>
      </c>
      <c r="L22" s="163">
        <f t="shared" si="13"/>
        <v>0</v>
      </c>
      <c r="M22" s="163">
        <f t="shared" si="13"/>
        <v>0</v>
      </c>
      <c r="N22" s="163">
        <f t="shared" si="13"/>
        <v>0</v>
      </c>
      <c r="O22" s="163">
        <f t="shared" si="13"/>
        <v>0</v>
      </c>
      <c r="P22" s="163">
        <f t="shared" si="13"/>
        <v>0</v>
      </c>
      <c r="Q22" s="163">
        <f t="shared" si="13"/>
        <v>0</v>
      </c>
      <c r="R22" s="163">
        <f t="shared" si="13"/>
        <v>0</v>
      </c>
      <c r="S22" s="164">
        <f t="shared" si="13"/>
        <v>0</v>
      </c>
      <c r="T22" s="143">
        <f t="shared" si="13"/>
        <v>0</v>
      </c>
      <c r="U22" s="143">
        <f t="shared" si="13"/>
        <v>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17.45">
      <c r="A23" s="154" t="s">
        <v>140</v>
      </c>
      <c r="B23" s="159"/>
      <c r="C23" s="163">
        <f>C41/C30</f>
        <v>2.2033130621852987E-2</v>
      </c>
      <c r="D23" s="163">
        <f>D41/D30</f>
        <v>4.1809762365520586E-3</v>
      </c>
      <c r="E23" s="163">
        <f>E41/E30</f>
        <v>3.2435679833551028E-3</v>
      </c>
      <c r="F23" s="163">
        <f>F41/F30</f>
        <v>8.2693758834646511E-2</v>
      </c>
      <c r="G23" s="163">
        <f t="shared" ref="G23:U23" si="14">G41/G30</f>
        <v>0.10585359410820519</v>
      </c>
      <c r="H23" s="163">
        <f t="shared" si="14"/>
        <v>0.1189110268380224</v>
      </c>
      <c r="I23" s="163">
        <f t="shared" si="14"/>
        <v>0.12099785690034215</v>
      </c>
      <c r="J23" s="163">
        <f t="shared" si="14"/>
        <v>9.7785794046478681E-3</v>
      </c>
      <c r="K23" s="163">
        <f t="shared" si="14"/>
        <v>2.7860197960288116E-2</v>
      </c>
      <c r="L23" s="163">
        <f t="shared" si="14"/>
        <v>4.0682293253485637E-2</v>
      </c>
      <c r="M23" s="163">
        <f t="shared" si="14"/>
        <v>2.9186266266799651E-2</v>
      </c>
      <c r="N23" s="163">
        <f t="shared" si="14"/>
        <v>2.3114497535873711E-2</v>
      </c>
      <c r="O23" s="163">
        <f t="shared" si="14"/>
        <v>1.9121419106474906E-2</v>
      </c>
      <c r="P23" s="163">
        <f t="shared" si="14"/>
        <v>1.8899045651156875E-2</v>
      </c>
      <c r="Q23" s="163">
        <f t="shared" si="14"/>
        <v>2.9202707276054483E-2</v>
      </c>
      <c r="R23" s="163">
        <f t="shared" si="14"/>
        <v>3.3949036641325002E-2</v>
      </c>
      <c r="S23" s="164">
        <f t="shared" si="14"/>
        <v>3.5091695608032637E-2</v>
      </c>
      <c r="T23" s="143">
        <f t="shared" si="14"/>
        <v>1.5908784035770462E-2</v>
      </c>
      <c r="U23" s="143">
        <f t="shared" si="14"/>
        <v>3.2564650002228197E-2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 ht="17.45">
      <c r="A24" s="179" t="s">
        <v>141</v>
      </c>
      <c r="B24" s="180"/>
      <c r="C24" s="180"/>
      <c r="D24" s="180"/>
      <c r="E24" s="181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40"/>
      <c r="U24" s="140"/>
    </row>
    <row r="25" spans="1:37" ht="17.45">
      <c r="A25" s="170" t="s">
        <v>142</v>
      </c>
      <c r="B25" s="169" t="s">
        <v>143</v>
      </c>
      <c r="C25" s="167">
        <f>C33/C30</f>
        <v>0.83675282443232735</v>
      </c>
      <c r="D25" s="167">
        <f>D33/D30</f>
        <v>0.7742371607558447</v>
      </c>
      <c r="E25" s="167">
        <f>E33/E30</f>
        <v>0.71898008368436861</v>
      </c>
      <c r="F25" s="167">
        <f>F33/F30</f>
        <v>0.76262023844488303</v>
      </c>
      <c r="G25" s="167">
        <f t="shared" ref="G25:U25" si="15">G33/G30</f>
        <v>0.72376613400143874</v>
      </c>
      <c r="H25" s="167">
        <f t="shared" si="15"/>
        <v>0.7079684582546808</v>
      </c>
      <c r="I25" s="167">
        <f t="shared" si="15"/>
        <v>0.72591431253152794</v>
      </c>
      <c r="J25" s="167">
        <f t="shared" si="15"/>
        <v>0.76287938761422991</v>
      </c>
      <c r="K25" s="167">
        <f t="shared" si="15"/>
        <v>0.74511343654499618</v>
      </c>
      <c r="L25" s="167">
        <f t="shared" si="15"/>
        <v>0.73115774606170925</v>
      </c>
      <c r="M25" s="167">
        <f t="shared" si="15"/>
        <v>0.74172579528769733</v>
      </c>
      <c r="N25" s="167">
        <f t="shared" si="15"/>
        <v>0.75104246650268058</v>
      </c>
      <c r="O25" s="167">
        <f t="shared" si="15"/>
        <v>0.7629419785815591</v>
      </c>
      <c r="P25" s="167">
        <f t="shared" si="15"/>
        <v>0.73595514835501374</v>
      </c>
      <c r="Q25" s="167">
        <f t="shared" si="15"/>
        <v>0.72560424066201012</v>
      </c>
      <c r="R25" s="167">
        <f t="shared" si="15"/>
        <v>0.7151981333478219</v>
      </c>
      <c r="S25" s="164">
        <f t="shared" si="15"/>
        <v>0.74161462402622158</v>
      </c>
      <c r="T25" s="145">
        <f t="shared" si="15"/>
        <v>0.7283391931558606</v>
      </c>
      <c r="U25" s="145">
        <f t="shared" si="15"/>
        <v>0.72532923676391281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ht="17.45">
      <c r="A26" s="170" t="s">
        <v>144</v>
      </c>
      <c r="B26" s="171" t="s">
        <v>145</v>
      </c>
      <c r="C26" s="167">
        <f>C33/C32</f>
        <v>0.98589540881797311</v>
      </c>
      <c r="D26" s="167">
        <f>D33/D32</f>
        <v>0.9351546601878864</v>
      </c>
      <c r="E26" s="167">
        <f>E33/E32</f>
        <v>0.8593302679394289</v>
      </c>
      <c r="F26" s="167">
        <f>F33/F32</f>
        <v>0.90304825212822315</v>
      </c>
      <c r="G26" s="167">
        <f t="shared" ref="G26:U26" si="16">G33/G32</f>
        <v>0.879917595376424</v>
      </c>
      <c r="H26" s="167">
        <f t="shared" si="16"/>
        <v>0.86174096007325329</v>
      </c>
      <c r="I26" s="167">
        <f t="shared" si="16"/>
        <v>0.84602392457563758</v>
      </c>
      <c r="J26" s="167">
        <f t="shared" si="16"/>
        <v>0.893754061233342</v>
      </c>
      <c r="K26" s="167">
        <f t="shared" si="16"/>
        <v>0.87621104430738561</v>
      </c>
      <c r="L26" s="167">
        <f t="shared" si="16"/>
        <v>0.87350623735350907</v>
      </c>
      <c r="M26" s="167">
        <f t="shared" si="16"/>
        <v>0.8890327281059357</v>
      </c>
      <c r="N26" s="167">
        <f t="shared" si="16"/>
        <v>0.904640993513114</v>
      </c>
      <c r="O26" s="167">
        <f t="shared" si="16"/>
        <v>0.92574761199242595</v>
      </c>
      <c r="P26" s="167">
        <f t="shared" si="16"/>
        <v>0.92483376955885221</v>
      </c>
      <c r="Q26" s="167">
        <f t="shared" si="16"/>
        <v>0.92813167317097678</v>
      </c>
      <c r="R26" s="167">
        <f t="shared" si="16"/>
        <v>0.92093068671935396</v>
      </c>
      <c r="S26" s="164">
        <f t="shared" si="16"/>
        <v>0.9004562482589018</v>
      </c>
      <c r="T26" s="145">
        <f t="shared" si="16"/>
        <v>0.91439048115338961</v>
      </c>
      <c r="U26" s="145">
        <f t="shared" si="16"/>
        <v>0.90191998745347468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ht="17.45">
      <c r="A27" s="170" t="s">
        <v>146</v>
      </c>
      <c r="B27" s="171"/>
      <c r="C27" s="167">
        <f>C40/C32</f>
        <v>4.6978285367645319E-2</v>
      </c>
      <c r="D27" s="167">
        <f>D40/D32</f>
        <v>4.0911187777538008E-2</v>
      </c>
      <c r="E27" s="167">
        <f>E40/E32</f>
        <v>0.12482723479387774</v>
      </c>
      <c r="F27" s="167">
        <f>F40/F32</f>
        <v>2.4329423482506104E-2</v>
      </c>
      <c r="G27" s="167">
        <f t="shared" ref="G27:U27" si="17">G40/G32</f>
        <v>2.3695384193209022E-2</v>
      </c>
      <c r="H27" s="167">
        <f t="shared" si="17"/>
        <v>2.314965138650605E-2</v>
      </c>
      <c r="I27" s="167">
        <f t="shared" si="17"/>
        <v>2.2439827455680236E-2</v>
      </c>
      <c r="J27" s="167">
        <f t="shared" si="17"/>
        <v>8.1029139128753022E-2</v>
      </c>
      <c r="K27" s="167">
        <f t="shared" si="17"/>
        <v>7.9588909849369477E-2</v>
      </c>
      <c r="L27" s="167">
        <f t="shared" si="17"/>
        <v>8.1603229710601771E-2</v>
      </c>
      <c r="M27" s="167">
        <f t="shared" si="17"/>
        <v>8.0649611305387087E-2</v>
      </c>
      <c r="N27" s="167">
        <f t="shared" si="17"/>
        <v>8.1280263370018604E-2</v>
      </c>
      <c r="O27" s="167">
        <f t="shared" si="17"/>
        <v>8.1393723561882014E-2</v>
      </c>
      <c r="P27" s="167">
        <f t="shared" si="17"/>
        <v>9.6257144498221731E-2</v>
      </c>
      <c r="Q27" s="167">
        <f t="shared" si="17"/>
        <v>0.10959119246905018</v>
      </c>
      <c r="R27" s="167">
        <f t="shared" si="17"/>
        <v>0.13369675742669149</v>
      </c>
      <c r="S27" s="164">
        <f t="shared" si="17"/>
        <v>0.13607371055228853</v>
      </c>
      <c r="T27" s="145">
        <f t="shared" si="17"/>
        <v>0.13070709940847763</v>
      </c>
      <c r="U27" s="145">
        <f t="shared" si="17"/>
        <v>0.11524820713774676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ht="17.45">
      <c r="A28" s="170" t="s">
        <v>147</v>
      </c>
      <c r="B28" s="172"/>
      <c r="C28" s="167">
        <f>C47/C45</f>
        <v>0.54592082923954666</v>
      </c>
      <c r="D28" s="167">
        <f>D47/D45</f>
        <v>0.8763413586809542</v>
      </c>
      <c r="E28" s="167">
        <f>E47/E45</f>
        <v>0.19370247192535614</v>
      </c>
      <c r="F28" s="167">
        <f>F47/F45</f>
        <v>0.10672854066435415</v>
      </c>
      <c r="G28" s="167">
        <f t="shared" ref="G28:U28" si="18">G47/G45</f>
        <v>0</v>
      </c>
      <c r="H28" s="167">
        <f t="shared" si="18"/>
        <v>0</v>
      </c>
      <c r="I28" s="167">
        <f t="shared" si="18"/>
        <v>0</v>
      </c>
      <c r="J28" s="167">
        <f t="shared" si="18"/>
        <v>0</v>
      </c>
      <c r="K28" s="167">
        <f t="shared" si="18"/>
        <v>8.2287021212307868E-3</v>
      </c>
      <c r="L28" s="167">
        <f t="shared" si="18"/>
        <v>6.6637234184952973E-3</v>
      </c>
      <c r="M28" s="167">
        <f t="shared" si="18"/>
        <v>5.4934061942630633E-3</v>
      </c>
      <c r="N28" s="167">
        <f t="shared" si="18"/>
        <v>4.5928364368110425E-3</v>
      </c>
      <c r="O28" s="167">
        <f t="shared" si="18"/>
        <v>3.9525434024931467E-3</v>
      </c>
      <c r="P28" s="167">
        <f t="shared" si="18"/>
        <v>3.4590995207074452E-3</v>
      </c>
      <c r="Q28" s="167">
        <f t="shared" si="18"/>
        <v>3.0923836573797186E-3</v>
      </c>
      <c r="R28" s="167">
        <f t="shared" si="18"/>
        <v>2.8147665815953355E-3</v>
      </c>
      <c r="S28" s="164">
        <f t="shared" si="18"/>
        <v>0.19157879411882986</v>
      </c>
      <c r="T28" s="145">
        <f t="shared" si="18"/>
        <v>0</v>
      </c>
      <c r="U28" s="145">
        <f t="shared" si="18"/>
        <v>0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>
      <c r="A29" s="186" t="s">
        <v>148</v>
      </c>
      <c r="B29" s="187"/>
      <c r="C29" s="187">
        <v>2015</v>
      </c>
      <c r="D29" s="187">
        <v>2016</v>
      </c>
      <c r="E29" s="188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</row>
    <row r="30" spans="1:37">
      <c r="A30" s="11" t="s">
        <v>27</v>
      </c>
      <c r="B30" s="12"/>
      <c r="C30" s="13">
        <f>'Evolutive SFP'!B26</f>
        <v>266331911.27999997</v>
      </c>
      <c r="D30" s="13">
        <f>'Evolutive SFP'!C26</f>
        <v>295380535.58000004</v>
      </c>
      <c r="E30" s="13">
        <f>'Evolutive SFP'!D26</f>
        <v>321647644</v>
      </c>
      <c r="F30" s="13">
        <f>'Evolutive SFP'!E26</f>
        <v>364288231.95999992</v>
      </c>
      <c r="G30" s="13">
        <f>'Evolutive SFP'!F26</f>
        <v>384093119.95999992</v>
      </c>
      <c r="H30" s="13">
        <f>'Evolutive SFP'!G26</f>
        <v>393617963.56999999</v>
      </c>
      <c r="I30" s="13">
        <f>'Evolutive SFP'!H26</f>
        <v>388807210.60000002</v>
      </c>
      <c r="J30" s="13">
        <f>'Evolutive SFP'!I26</f>
        <v>397405884.75999999</v>
      </c>
      <c r="K30" s="13">
        <f>'Evolutive SFP'!J26</f>
        <v>406113234.95000005</v>
      </c>
      <c r="L30" s="13">
        <f>'Evolutive SFP'!K26</f>
        <v>405753593.75999999</v>
      </c>
      <c r="M30" s="13">
        <f>'Evolutive SFP'!L26</f>
        <v>411895346.25999999</v>
      </c>
      <c r="N30" s="13">
        <f>'Evolutive SFP'!M26</f>
        <v>420403805.66000003</v>
      </c>
      <c r="O30" s="13">
        <f>'Evolutive SFP'!N26</f>
        <v>430881424.34000009</v>
      </c>
      <c r="P30" s="13">
        <f>'Evolutive SFP'!O26</f>
        <v>450531071.63000005</v>
      </c>
      <c r="Q30" s="13">
        <f>'Evolutive SFP'!P26</f>
        <v>464402370.02000004</v>
      </c>
      <c r="R30" s="13">
        <f>'Evolutive SFP'!Q26</f>
        <v>453656672.58000004</v>
      </c>
      <c r="S30" s="123">
        <f>'Evolutive SFP'!R26</f>
        <v>423013963.06999999</v>
      </c>
      <c r="T30" s="13">
        <f>'Evolutive SFP'!S26</f>
        <v>452424842.39000005</v>
      </c>
      <c r="U30" s="13">
        <f>'Evolutive SFP'!T26</f>
        <v>454266399.27000004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>
      <c r="A31" s="11" t="s">
        <v>149</v>
      </c>
      <c r="B31" s="12"/>
      <c r="C31" s="14"/>
      <c r="D31" s="14">
        <f>(D30+C30)/2</f>
        <v>280856223.43000001</v>
      </c>
      <c r="E31" s="14">
        <f>(E30+D30)/2</f>
        <v>308514089.79000002</v>
      </c>
      <c r="F31" s="14">
        <f>(F30+E30)/2</f>
        <v>342967937.97999996</v>
      </c>
      <c r="G31" s="14">
        <f t="shared" ref="G31:U31" si="19">(G30+F30)/2</f>
        <v>374190675.95999992</v>
      </c>
      <c r="H31" s="14">
        <f t="shared" si="19"/>
        <v>388855541.76499999</v>
      </c>
      <c r="I31" s="14">
        <f t="shared" si="19"/>
        <v>391212587.08500004</v>
      </c>
      <c r="J31" s="14">
        <f t="shared" si="19"/>
        <v>393106547.68000001</v>
      </c>
      <c r="K31" s="14">
        <f t="shared" si="19"/>
        <v>401759559.85500002</v>
      </c>
      <c r="L31" s="14">
        <f t="shared" si="19"/>
        <v>405933414.35500002</v>
      </c>
      <c r="M31" s="14">
        <f t="shared" si="19"/>
        <v>408824470.00999999</v>
      </c>
      <c r="N31" s="14">
        <f t="shared" si="19"/>
        <v>416149575.96000004</v>
      </c>
      <c r="O31" s="14">
        <f t="shared" si="19"/>
        <v>425642615.00000006</v>
      </c>
      <c r="P31" s="14">
        <f t="shared" si="19"/>
        <v>440706247.98500007</v>
      </c>
      <c r="Q31" s="14">
        <f t="shared" si="19"/>
        <v>457466720.82500005</v>
      </c>
      <c r="R31" s="14">
        <f t="shared" si="19"/>
        <v>459029521.30000007</v>
      </c>
      <c r="S31" s="124">
        <f t="shared" si="19"/>
        <v>438335317.82500005</v>
      </c>
      <c r="T31" s="14">
        <f t="shared" si="19"/>
        <v>437719402.73000002</v>
      </c>
      <c r="U31" s="14">
        <f t="shared" si="19"/>
        <v>453345620.83000004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7">
      <c r="A32" s="11" t="s">
        <v>150</v>
      </c>
      <c r="B32" s="12"/>
      <c r="C32" s="15">
        <f>'Evolutive SFP'!B30</f>
        <v>226042211.99000001</v>
      </c>
      <c r="D32" s="15">
        <f>'Evolutive SFP'!C30</f>
        <v>244552689.46000001</v>
      </c>
      <c r="E32" s="15">
        <f>'Evolutive SFP'!D30</f>
        <v>269114517</v>
      </c>
      <c r="F32" s="15">
        <f>'Evolutive SFP'!E30</f>
        <v>307639794.06999999</v>
      </c>
      <c r="G32" s="15">
        <f>'Evolutive SFP'!F30</f>
        <v>315931394.02000004</v>
      </c>
      <c r="H32" s="15">
        <f>'Evolutive SFP'!G30</f>
        <v>323379200.62</v>
      </c>
      <c r="I32" s="15">
        <f>'Evolutive SFP'!H30</f>
        <v>333608436.81999999</v>
      </c>
      <c r="J32" s="15">
        <f>'Evolutive SFP'!I30</f>
        <v>339212733.29000002</v>
      </c>
      <c r="K32" s="15">
        <f>'Evolutive SFP'!J30</f>
        <v>345351077.33000004</v>
      </c>
      <c r="L32" s="15">
        <f>'Evolutive SFP'!K30</f>
        <v>339631098.65000004</v>
      </c>
      <c r="M32" s="15">
        <f>'Evolutive SFP'!L30</f>
        <v>343646970.04000002</v>
      </c>
      <c r="N32" s="15">
        <f>'Evolutive SFP'!M30</f>
        <v>349023660.65000004</v>
      </c>
      <c r="O32" s="15">
        <f>'Evolutive SFP'!N30</f>
        <v>355104914.29999995</v>
      </c>
      <c r="P32" s="15">
        <f>'Evolutive SFP'!O30</f>
        <v>358519198.34000003</v>
      </c>
      <c r="Q32" s="15">
        <f>'Evolutive SFP'!P30</f>
        <v>363065218.87</v>
      </c>
      <c r="R32" s="15">
        <f>'Evolutive SFP'!Q30</f>
        <v>352311428.09000003</v>
      </c>
      <c r="S32" s="125">
        <f>'Evolutive SFP'!R30</f>
        <v>348393763.48000002</v>
      </c>
      <c r="T32" s="15">
        <f>'Evolutive SFP'!S30</f>
        <v>360369832.65000004</v>
      </c>
      <c r="U32" s="15">
        <f>'Evolutive SFP'!T30</f>
        <v>365323648.72000003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spans="1:37">
      <c r="A33" s="11" t="s">
        <v>151</v>
      </c>
      <c r="B33" s="12"/>
      <c r="C33" s="16">
        <f>'Evolutive SFP'!B14</f>
        <v>222853979</v>
      </c>
      <c r="D33" s="16">
        <f>'Evolutive SFP'!C14</f>
        <v>228694587.21000001</v>
      </c>
      <c r="E33" s="16">
        <f>'Evolutive SFP'!D14</f>
        <v>231258250</v>
      </c>
      <c r="F33" s="16">
        <f>'Evolutive SFP'!E14</f>
        <v>277813578.31999999</v>
      </c>
      <c r="G33" s="16">
        <f>'Evolutive SFP'!F14</f>
        <v>277993592.52999997</v>
      </c>
      <c r="H33" s="16">
        <f>'Evolutive SFP'!G14</f>
        <v>278669102.81</v>
      </c>
      <c r="I33" s="16">
        <f>'Evolutive SFP'!H14</f>
        <v>282240718.99000001</v>
      </c>
      <c r="J33" s="16">
        <f>'Evolutive SFP'!I14</f>
        <v>303172758</v>
      </c>
      <c r="K33" s="16">
        <f>'Evolutive SFP'!J14</f>
        <v>302600428.12</v>
      </c>
      <c r="L33" s="16">
        <f>'Evolutive SFP'!K14</f>
        <v>296669883.06999999</v>
      </c>
      <c r="M33" s="16">
        <f>'Evolutive SFP'!L14</f>
        <v>305513403.27999997</v>
      </c>
      <c r="N33" s="16">
        <f>'Evolutive SFP'!M14</f>
        <v>315741111.13</v>
      </c>
      <c r="O33" s="16">
        <f>'Evolutive SFP'!N14</f>
        <v>328737526.42000002</v>
      </c>
      <c r="P33" s="16">
        <f>'Evolutive SFP'!O14</f>
        <v>331570661.66000003</v>
      </c>
      <c r="Q33" s="16">
        <f>'Evolutive SFP'!P14</f>
        <v>336972329.06</v>
      </c>
      <c r="R33" s="16">
        <f>'Evolutive SFP'!Q14</f>
        <v>324454405.41000003</v>
      </c>
      <c r="S33" s="126">
        <f>'Evolutive SFP'!R14</f>
        <v>313713341.18000001</v>
      </c>
      <c r="T33" s="16">
        <f>'Evolutive SFP'!S14</f>
        <v>329518744.67000002</v>
      </c>
      <c r="U33" s="16">
        <f>'Evolutive SFP'!T14</f>
        <v>329492700.67000002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>
      <c r="A34" s="11" t="s">
        <v>59</v>
      </c>
      <c r="B34" s="12"/>
      <c r="C34" s="14">
        <f>('Evolutive SFP'!B38+'Evolutive SFP'!B39+'Evolutive SFP'!B40+'Evolutive SFP'!B41+'Evolutive SFP'!B42+'Evolutive SFP'!B43)-'Evolutive SFP'!B12</f>
        <v>30143409.859999999</v>
      </c>
      <c r="D34" s="14">
        <f>('Evolutive SFP'!C38+'Evolutive SFP'!C39+'Evolutive SFP'!C40+'Evolutive SFP'!C41+'Evolutive SFP'!C42+'Evolutive SFP'!C43)-'Evolutive SFP'!C12</f>
        <v>35452338.32</v>
      </c>
      <c r="E34" s="14">
        <f>('Evolutive SFP'!D38+'Evolutive SFP'!D39+'Evolutive SFP'!D40+'Evolutive SFP'!D41+'Evolutive SFP'!D42+'Evolutive SFP'!D43)-'Evolutive SFP'!D12</f>
        <v>45229105</v>
      </c>
      <c r="F34" s="14">
        <f>('Evolutive SFP'!E38+'Evolutive SFP'!E39+'Evolutive SFP'!E40+'Evolutive SFP'!E41+'Evolutive SFP'!E42+'Evolutive SFP'!E43)-'Evolutive SFP'!E12</f>
        <v>47522615.830000006</v>
      </c>
      <c r="G34" s="14">
        <f>('Evolutive SFP'!F38+'Evolutive SFP'!F39+'Evolutive SFP'!F40+'Evolutive SFP'!F41+'Evolutive SFP'!F42+'Evolutive SFP'!F43)-'Evolutive SFP'!F12</f>
        <v>65485153.68</v>
      </c>
      <c r="H34" s="14">
        <f>('Evolutive SFP'!G38+'Evolutive SFP'!G39+'Evolutive SFP'!G40+'Evolutive SFP'!G41+'Evolutive SFP'!G42+'Evolutive SFP'!G43)-'Evolutive SFP'!G12</f>
        <v>67302349.689999998</v>
      </c>
      <c r="I34" s="14">
        <f>('Evolutive SFP'!H38+'Evolutive SFP'!H39+'Evolutive SFP'!H40+'Evolutive SFP'!H41+'Evolutive SFP'!H42+'Evolutive SFP'!H43)-'Evolutive SFP'!H12</f>
        <v>53130534</v>
      </c>
      <c r="J34" s="14">
        <f>('Evolutive SFP'!I38+'Evolutive SFP'!I39+'Evolutive SFP'!I40+'Evolutive SFP'!I41+'Evolutive SFP'!I42+'Evolutive SFP'!I43)-'Evolutive SFP'!I12</f>
        <v>56340612.910000004</v>
      </c>
      <c r="K34" s="14">
        <f>('Evolutive SFP'!J38+'Evolutive SFP'!J39+'Evolutive SFP'!J40+'Evolutive SFP'!J41+'Evolutive SFP'!J42+'Evolutive SFP'!J43)-'Evolutive SFP'!J12</f>
        <v>58801854.399999999</v>
      </c>
      <c r="L34" s="14">
        <f>('Evolutive SFP'!K38+'Evolutive SFP'!K39+'Evolutive SFP'!K40+'Evolutive SFP'!K41+'Evolutive SFP'!K42+'Evolutive SFP'!K43)-'Evolutive SFP'!K12</f>
        <v>63963693.470000006</v>
      </c>
      <c r="M34" s="14">
        <f>('Evolutive SFP'!L38+'Evolutive SFP'!L39+'Evolutive SFP'!L40+'Evolutive SFP'!L41+'Evolutive SFP'!L42+'Evolutive SFP'!L43)-'Evolutive SFP'!L12</f>
        <v>65295739.620000005</v>
      </c>
      <c r="N34" s="14">
        <f>('Evolutive SFP'!M38+'Evolutive SFP'!M39+'Evolutive SFP'!M40+'Evolutive SFP'!M41+'Evolutive SFP'!M42+'Evolutive SFP'!M43)-'Evolutive SFP'!M12</f>
        <v>68700284.310000002</v>
      </c>
      <c r="O34" s="14">
        <f>('Evolutive SFP'!N38+'Evolutive SFP'!N39+'Evolutive SFP'!N40+'Evolutive SFP'!N41+'Evolutive SFP'!N42+'Evolutive SFP'!N43)-'Evolutive SFP'!N12</f>
        <v>73239376.200000003</v>
      </c>
      <c r="P34" s="14">
        <f>('Evolutive SFP'!O38+'Evolutive SFP'!O39+'Evolutive SFP'!O40+'Evolutive SFP'!O41+'Evolutive SFP'!O42+'Evolutive SFP'!O43)-'Evolutive SFP'!O12</f>
        <v>87492150.349999994</v>
      </c>
      <c r="Q34" s="14">
        <f>('Evolutive SFP'!P38+'Evolutive SFP'!P39+'Evolutive SFP'!P40+'Evolutive SFP'!P41+'Evolutive SFP'!P42+'Evolutive SFP'!P43)-'Evolutive SFP'!P12</f>
        <v>91005336.370000005</v>
      </c>
      <c r="R34" s="14">
        <f>('Evolutive SFP'!Q38+'Evolutive SFP'!Q39+'Evolutive SFP'!Q40+'Evolutive SFP'!Q41+'Evolutive SFP'!Q42+'Evolutive SFP'!Q43)-'Evolutive SFP'!Q12</f>
        <v>89040209.870000005</v>
      </c>
      <c r="S34" s="124">
        <f>('Evolutive SFP'!R38+'Evolutive SFP'!R39+'Evolutive SFP'!R40+'Evolutive SFP'!R41+'Evolutive SFP'!R42+'Evolutive SFP'!R43)-'Evolutive SFP'!R12</f>
        <v>58845901.540000007</v>
      </c>
      <c r="T34" s="14">
        <f>('Evolutive SFP'!S38+'Evolutive SFP'!S39+'Evolutive SFP'!S40+'Evolutive SFP'!S41+'Evolutive SFP'!S42+'Evolutive SFP'!S43)-'Evolutive SFP'!S12</f>
        <v>89007736.829999998</v>
      </c>
      <c r="U34" s="14">
        <f>('Evolutive SFP'!T38+'Evolutive SFP'!T39+'Evolutive SFP'!T40+'Evolutive SFP'!T41+'Evolutive SFP'!T42+'Evolutive SFP'!T43)-'Evolutive SFP'!T12</f>
        <v>86941635.770000011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>
      <c r="A35" s="11" t="s">
        <v>60</v>
      </c>
      <c r="B35" s="12"/>
      <c r="C35" s="14">
        <f>C34-'Evolutive SFP'!C38</f>
        <v>-3925459.1400000006</v>
      </c>
      <c r="D35" s="14">
        <f>D34-'Evolutive SFP'!D38</f>
        <v>-3989499.6799999997</v>
      </c>
      <c r="E35" s="14">
        <f>E34-'Evolutive SFP'!E38</f>
        <v>117369.3599999994</v>
      </c>
      <c r="F35" s="14">
        <f>F34-'Evolutive SFP'!F38</f>
        <v>1929222.3600000069</v>
      </c>
      <c r="G35" s="14">
        <f>G34-'Evolutive SFP'!G38</f>
        <v>19368547.710000001</v>
      </c>
      <c r="H35" s="14">
        <f>H34-'Evolutive SFP'!H38</f>
        <v>20695601.539999999</v>
      </c>
      <c r="I35" s="14">
        <f>I34-'Evolutive SFP'!I38</f>
        <v>6091390.6199999973</v>
      </c>
      <c r="J35" s="14">
        <f>J34-'Evolutive SFP'!J38</f>
        <v>8877947.9300000072</v>
      </c>
      <c r="K35" s="14">
        <f>K34-'Evolutive SFP'!K38</f>
        <v>10966502.009999998</v>
      </c>
      <c r="L35" s="14">
        <f>L34-'Evolutive SFP'!L38</f>
        <v>15708248.120000005</v>
      </c>
      <c r="M35" s="14">
        <f>M34-'Evolutive SFP'!M38</f>
        <v>16684172.950000003</v>
      </c>
      <c r="N35" s="14">
        <f>N34-'Evolutive SFP'!N38</f>
        <v>19640591.640000001</v>
      </c>
      <c r="O35" s="14">
        <f>O34-'Evolutive SFP'!O38</f>
        <v>23746623.160000004</v>
      </c>
      <c r="P35" s="14">
        <f>P34-'Evolutive SFP'!P38</f>
        <v>37583424.309999995</v>
      </c>
      <c r="Q35" s="14">
        <f>Q34-'Evolutive SFP'!Q38</f>
        <v>40685541.540000007</v>
      </c>
      <c r="R35" s="14">
        <f>R34-'Evolutive SFP'!R38</f>
        <v>38743415.880000003</v>
      </c>
      <c r="S35" s="124">
        <f>S34-'Evolutive SFP'!S38</f>
        <v>8219301.7100000083</v>
      </c>
      <c r="T35" s="14">
        <f>T34-'Evolutive SFP'!T38</f>
        <v>38008839.5</v>
      </c>
      <c r="U35" s="14">
        <f>U34-'Evolutive SFP'!U38</f>
        <v>86941635.770000011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>
      <c r="A36" s="11" t="s">
        <v>152</v>
      </c>
      <c r="B36" s="1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2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spans="1:37">
      <c r="A37" s="11" t="s">
        <v>125</v>
      </c>
      <c r="B37" s="12"/>
      <c r="C37" s="16">
        <f>'Evolutive SFP'!B7+'Evolutive SFP'!B16+'Evolutive SFP'!B20</f>
        <v>29290730.949999999</v>
      </c>
      <c r="D37" s="16">
        <f>'Evolutive SFP'!C7+'Evolutive SFP'!C16+'Evolutive SFP'!C20</f>
        <v>57846028.370000005</v>
      </c>
      <c r="E37" s="16">
        <f>'Evolutive SFP'!D7+'Evolutive SFP'!D16+'Evolutive SFP'!D20</f>
        <v>59678882</v>
      </c>
      <c r="F37" s="16">
        <f>'Evolutive SFP'!E7+'Evolutive SFP'!E16+'Evolutive SFP'!E20</f>
        <v>62988432.450000003</v>
      </c>
      <c r="G37" s="16">
        <f>'Evolutive SFP'!F7+'Evolutive SFP'!F16+'Evolutive SFP'!F20</f>
        <v>61881369.450000003</v>
      </c>
      <c r="H37" s="16">
        <f>'Evolutive SFP'!G7+'Evolutive SFP'!G16+'Evolutive SFP'!G20</f>
        <v>64582823.770000003</v>
      </c>
      <c r="I37" s="16">
        <f>'Evolutive SFP'!H7+'Evolutive SFP'!H16+'Evolutive SFP'!H20</f>
        <v>66158377.460000001</v>
      </c>
      <c r="J37" s="16">
        <f>'Evolutive SFP'!I7+'Evolutive SFP'!I16+'Evolutive SFP'!I20</f>
        <v>76983786.840000004</v>
      </c>
      <c r="K37" s="16">
        <f>'Evolutive SFP'!J7+'Evolutive SFP'!J16+'Evolutive SFP'!J20</f>
        <v>78835136.789999992</v>
      </c>
      <c r="L37" s="16">
        <f>'Evolutive SFP'!K7+'Evolutive SFP'!K16+'Evolutive SFP'!K20</f>
        <v>78984570.280000001</v>
      </c>
      <c r="M37" s="16">
        <f>'Evolutive SFP'!L7+'Evolutive SFP'!L16+'Evolutive SFP'!L20</f>
        <v>80768102.010000005</v>
      </c>
      <c r="N37" s="16">
        <f>'Evolutive SFP'!M7+'Evolutive SFP'!M16+'Evolutive SFP'!M20</f>
        <v>80699377.579999998</v>
      </c>
      <c r="O37" s="16">
        <f>'Evolutive SFP'!N7+'Evolutive SFP'!N16+'Evolutive SFP'!N20</f>
        <v>65001522.390000001</v>
      </c>
      <c r="P37" s="16">
        <f>'Evolutive SFP'!O7+'Evolutive SFP'!O16+'Evolutive SFP'!O20</f>
        <v>75935768.400000006</v>
      </c>
      <c r="Q37" s="16">
        <f>'Evolutive SFP'!P7+'Evolutive SFP'!P16+'Evolutive SFP'!P20</f>
        <v>74079484.209999993</v>
      </c>
      <c r="R37" s="16">
        <f>'Evolutive SFP'!Q7+'Evolutive SFP'!Q16+'Evolutive SFP'!Q20</f>
        <v>66698164.629999995</v>
      </c>
      <c r="S37" s="126">
        <f>'Evolutive SFP'!R7+'Evolutive SFP'!R16+'Evolutive SFP'!R20</f>
        <v>64707396.390000001</v>
      </c>
      <c r="T37" s="16">
        <f>'Evolutive SFP'!S7+'Evolutive SFP'!S16+'Evolutive SFP'!S20</f>
        <v>68605673.070000008</v>
      </c>
      <c r="U37" s="16">
        <f>'Evolutive SFP'!T7+'Evolutive SFP'!T16+'Evolutive SFP'!T20</f>
        <v>67877776.760000005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>
      <c r="A38" s="11" t="s">
        <v>23</v>
      </c>
      <c r="B38" s="12"/>
      <c r="C38" s="14">
        <f>'Evolutive SFP'!B20</f>
        <v>20493085.75</v>
      </c>
      <c r="D38" s="14">
        <f>'Evolutive SFP'!C20</f>
        <v>20920446.370000001</v>
      </c>
      <c r="E38" s="14">
        <f>'Evolutive SFP'!D20</f>
        <v>22397895</v>
      </c>
      <c r="F38" s="14">
        <f>'Evolutive SFP'!E20</f>
        <v>20974222.18</v>
      </c>
      <c r="G38" s="14">
        <f>'Evolutive SFP'!F20</f>
        <v>24340508.57</v>
      </c>
      <c r="H38" s="14">
        <f>'Evolutive SFP'!G20</f>
        <v>24518502.07</v>
      </c>
      <c r="I38" s="14">
        <f>'Evolutive SFP'!H20</f>
        <v>23189546.030000001</v>
      </c>
      <c r="J38" s="14">
        <f>'Evolutive SFP'!I20</f>
        <v>23200829.129999999</v>
      </c>
      <c r="K38" s="14">
        <f>'Evolutive SFP'!J20</f>
        <v>23566181.129999999</v>
      </c>
      <c r="L38" s="14">
        <f>'Evolutive SFP'!K20</f>
        <v>23398991.129999999</v>
      </c>
      <c r="M38" s="14">
        <f>'Evolutive SFP'!L20</f>
        <v>23466562.129999999</v>
      </c>
      <c r="N38" s="14">
        <f>'Evolutive SFP'!M20</f>
        <v>23409514.129999999</v>
      </c>
      <c r="O38" s="14">
        <f>'Evolutive SFP'!N20</f>
        <v>22898941.98</v>
      </c>
      <c r="P38" s="14">
        <f>'Evolutive SFP'!O20</f>
        <v>23264960.129999999</v>
      </c>
      <c r="Q38" s="14">
        <f>'Evolutive SFP'!P20</f>
        <v>23757829.129999999</v>
      </c>
      <c r="R38" s="14">
        <f>'Evolutive SFP'!Q20</f>
        <v>22358119.129999999</v>
      </c>
      <c r="S38" s="124">
        <f>'Evolutive SFP'!R20</f>
        <v>21168861.18</v>
      </c>
      <c r="T38" s="14">
        <f>'Evolutive SFP'!S20</f>
        <v>22429930.300000001</v>
      </c>
      <c r="U38" s="14">
        <f>'Evolutive SFP'!T20</f>
        <v>20696029.449999999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>
      <c r="A39" s="11" t="s">
        <v>153</v>
      </c>
      <c r="B39" s="12"/>
      <c r="C39" s="14">
        <f>'Evolutive SFP'!B12</f>
        <v>166530</v>
      </c>
      <c r="D39" s="14">
        <f>'Evolutive SFP'!C12</f>
        <v>166530</v>
      </c>
      <c r="E39" s="14">
        <f>'Evolutive SFP'!D12</f>
        <v>166530</v>
      </c>
      <c r="F39" s="14">
        <f>'Evolutive SFP'!E12</f>
        <v>167030</v>
      </c>
      <c r="G39" s="14">
        <f>'Evolutive SFP'!F12</f>
        <v>167030</v>
      </c>
      <c r="H39" s="14">
        <f>'Evolutive SFP'!G12</f>
        <v>167030</v>
      </c>
      <c r="I39" s="14">
        <f>'Evolutive SFP'!H12</f>
        <v>167030</v>
      </c>
      <c r="J39" s="14">
        <f>'Evolutive SFP'!I12</f>
        <v>167030</v>
      </c>
      <c r="K39" s="14">
        <f>'Evolutive SFP'!J12</f>
        <v>167030</v>
      </c>
      <c r="L39" s="14">
        <f>'Evolutive SFP'!K12</f>
        <v>167030</v>
      </c>
      <c r="M39" s="14">
        <f>'Evolutive SFP'!L12</f>
        <v>167030</v>
      </c>
      <c r="N39" s="14">
        <f>'Evolutive SFP'!M12</f>
        <v>167030</v>
      </c>
      <c r="O39" s="14">
        <f>'Evolutive SFP'!N12</f>
        <v>167030</v>
      </c>
      <c r="P39" s="14">
        <f>'Evolutive SFP'!O12</f>
        <v>167030</v>
      </c>
      <c r="Q39" s="14">
        <f>'Evolutive SFP'!P12</f>
        <v>167030</v>
      </c>
      <c r="R39" s="14">
        <f>'Evolutive SFP'!Q12</f>
        <v>167030</v>
      </c>
      <c r="S39" s="124">
        <f>'Evolutive SFP'!R12</f>
        <v>156530</v>
      </c>
      <c r="T39" s="14">
        <f>'Evolutive SFP'!S12</f>
        <v>167030</v>
      </c>
      <c r="U39" s="14">
        <f>'Evolutive SFP'!T12</f>
        <v>167030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>
      <c r="A40" s="11" t="s">
        <v>154</v>
      </c>
      <c r="B40" s="12"/>
      <c r="C40" s="14">
        <f>'Evolutive SFP'!B8</f>
        <v>10619075.539999999</v>
      </c>
      <c r="D40" s="14">
        <f>'Evolutive SFP'!C8</f>
        <v>10004941</v>
      </c>
      <c r="E40" s="14">
        <f>'Evolutive SFP'!D8</f>
        <v>33592821</v>
      </c>
      <c r="F40" s="14">
        <f>'Evolutive SFP'!E8</f>
        <v>7484698.8300000001</v>
      </c>
      <c r="G40" s="14">
        <f>'Evolutive SFP'!F8</f>
        <v>7486115.7600000007</v>
      </c>
      <c r="H40" s="14">
        <f>'Evolutive SFP'!G8</f>
        <v>7486115.7600000007</v>
      </c>
      <c r="I40" s="14">
        <f>'Evolutive SFP'!H8</f>
        <v>7486115.7600000007</v>
      </c>
      <c r="J40" s="14">
        <f>'Evolutive SFP'!I8</f>
        <v>27486115.760000002</v>
      </c>
      <c r="K40" s="14">
        <f>'Evolutive SFP'!J8</f>
        <v>27486115.760000002</v>
      </c>
      <c r="L40" s="14">
        <f>'Evolutive SFP'!K8</f>
        <v>27714994.560000002</v>
      </c>
      <c r="M40" s="14">
        <f>'Evolutive SFP'!L8</f>
        <v>27714994.560000002</v>
      </c>
      <c r="N40" s="14">
        <f>'Evolutive SFP'!M8</f>
        <v>28368735.060000002</v>
      </c>
      <c r="O40" s="14">
        <f>'Evolutive SFP'!N8</f>
        <v>28903311.23</v>
      </c>
      <c r="P40" s="14">
        <f>'Evolutive SFP'!O8</f>
        <v>34510034.280000001</v>
      </c>
      <c r="Q40" s="14">
        <f>'Evolutive SFP'!P8</f>
        <v>39788750.280000001</v>
      </c>
      <c r="R40" s="14">
        <f>'Evolutive SFP'!Q8</f>
        <v>47102895.539999999</v>
      </c>
      <c r="S40" s="124">
        <f>'Evolutive SFP'!R8</f>
        <v>47407232.129999995</v>
      </c>
      <c r="T40" s="14">
        <f>'Evolutive SFP'!S8</f>
        <v>47102895.539999999</v>
      </c>
      <c r="U40" s="14">
        <f>'Evolutive SFP'!T8</f>
        <v>42102895.539999999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>
      <c r="A41" s="11" t="s">
        <v>155</v>
      </c>
      <c r="B41" s="12"/>
      <c r="C41" s="14">
        <f>'Evolutive SFP'!B4</f>
        <v>5868125.79</v>
      </c>
      <c r="D41" s="14">
        <f>'Evolutive SFP'!C4</f>
        <v>1234979</v>
      </c>
      <c r="E41" s="14">
        <f>'Evolutive SFP'!D4</f>
        <v>1043286</v>
      </c>
      <c r="F41" s="14">
        <f>'Evolutive SFP'!E4</f>
        <v>30124363.199999999</v>
      </c>
      <c r="G41" s="14">
        <f>'Evolutive SFP'!F4</f>
        <v>40657637.219999999</v>
      </c>
      <c r="H41" s="14">
        <f>'Evolutive SFP'!G4</f>
        <v>46805516.229999997</v>
      </c>
      <c r="I41" s="14">
        <f>'Evolutive SFP'!H4</f>
        <v>47044839.229999997</v>
      </c>
      <c r="J41" s="14">
        <f>'Evolutive SFP'!I4</f>
        <v>3886065</v>
      </c>
      <c r="K41" s="14">
        <f>'Evolutive SFP'!J4</f>
        <v>11314395.119999999</v>
      </c>
      <c r="L41" s="14">
        <f>'Evolutive SFP'!K4</f>
        <v>16506986.689999999</v>
      </c>
      <c r="M41" s="14">
        <f>'Evolutive SFP'!L4</f>
        <v>12021687.25</v>
      </c>
      <c r="N41" s="14">
        <f>'Evolutive SFP'!M4</f>
        <v>9717422.7300000004</v>
      </c>
      <c r="O41" s="14">
        <f>'Evolutive SFP'!N4</f>
        <v>8239064.2999999998</v>
      </c>
      <c r="P41" s="14">
        <f>'Evolutive SFP'!O4</f>
        <v>8514607.2899999991</v>
      </c>
      <c r="Q41" s="14">
        <f>'Evolutive SFP'!P4</f>
        <v>13561806.470000001</v>
      </c>
      <c r="R41" s="14">
        <f>'Evolutive SFP'!Q4</f>
        <v>15401207</v>
      </c>
      <c r="S41" s="124">
        <f>'Evolutive SFP'!R4</f>
        <v>14844277.229999999</v>
      </c>
      <c r="T41" s="14">
        <f>'Evolutive SFP'!S4</f>
        <v>7197529.1100000003</v>
      </c>
      <c r="U41" s="14">
        <f>'Evolutive SFP'!T4</f>
        <v>14793026.300000001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>
      <c r="A42" s="11" t="s">
        <v>156</v>
      </c>
      <c r="B42" s="12"/>
      <c r="C42" s="14">
        <f>'Evolutive SFP'!B27+'Evolutive SFP'!B31+'Evolutive SFP'!B32+'Evolutive SFP'!B33+'Evolutive SFP'!B34+'Evolutive SFP'!B35</f>
        <v>9979759.4199999999</v>
      </c>
      <c r="D42" s="14">
        <f>'Evolutive SFP'!C27+'Evolutive SFP'!C31+'Evolutive SFP'!C32+'Evolutive SFP'!C33+'Evolutive SFP'!C34+'Evolutive SFP'!C35</f>
        <v>15208978</v>
      </c>
      <c r="E42" s="14">
        <f>'Evolutive SFP'!D27+'Evolutive SFP'!D31+'Evolutive SFP'!D32+'Evolutive SFP'!D33+'Evolutive SFP'!D34+'Evolutive SFP'!D35</f>
        <v>7137491</v>
      </c>
      <c r="F42" s="14">
        <f>'Evolutive SFP'!E27+'Evolutive SFP'!E31+'Evolutive SFP'!E32+'Evolutive SFP'!E33+'Evolutive SFP'!E34+'Evolutive SFP'!E35</f>
        <v>8958791.0199999996</v>
      </c>
      <c r="G42" s="14">
        <f>'Evolutive SFP'!F27+'Evolutive SFP'!F31+'Evolutive SFP'!F32+'Evolutive SFP'!F33+'Evolutive SFP'!F34+'Evolutive SFP'!F35</f>
        <v>6875675.9900000002</v>
      </c>
      <c r="H42" s="14">
        <f>'Evolutive SFP'!G27+'Evolutive SFP'!G31+'Evolutive SFP'!G32+'Evolutive SFP'!G33+'Evolutive SFP'!G34+'Evolutive SFP'!G35</f>
        <v>8010974.6899999995</v>
      </c>
      <c r="I42" s="14">
        <f>'Evolutive SFP'!H27+'Evolutive SFP'!H31+'Evolutive SFP'!H32+'Evolutive SFP'!H33+'Evolutive SFP'!H34+'Evolutive SFP'!H35</f>
        <v>13306903.639999999</v>
      </c>
      <c r="J42" s="14">
        <f>'Evolutive SFP'!I27+'Evolutive SFP'!I31+'Evolutive SFP'!I32+'Evolutive SFP'!I33+'Evolutive SFP'!I34+'Evolutive SFP'!I35</f>
        <v>15510756.42</v>
      </c>
      <c r="K42" s="14">
        <f>'Evolutive SFP'!J27+'Evolutive SFP'!J31+'Evolutive SFP'!J32+'Evolutive SFP'!J33+'Evolutive SFP'!J34+'Evolutive SFP'!J35</f>
        <v>16550903.890000001</v>
      </c>
      <c r="L42" s="14">
        <f>'Evolutive SFP'!K27+'Evolutive SFP'!K31+'Evolutive SFP'!K32+'Evolutive SFP'!K33+'Evolutive SFP'!K34+'Evolutive SFP'!K35</f>
        <v>10092918.859999999</v>
      </c>
      <c r="M42" s="14">
        <f>'Evolutive SFP'!L27+'Evolutive SFP'!L31+'Evolutive SFP'!L32+'Evolutive SFP'!L33+'Evolutive SFP'!L34+'Evolutive SFP'!L35</f>
        <v>11347904.73</v>
      </c>
      <c r="N42" s="14">
        <f>'Evolutive SFP'!M27+'Evolutive SFP'!M31+'Evolutive SFP'!M32+'Evolutive SFP'!M33+'Evolutive SFP'!M34+'Evolutive SFP'!M35</f>
        <v>14413221.119999999</v>
      </c>
      <c r="O42" s="14">
        <f>'Evolutive SFP'!N27+'Evolutive SFP'!N31+'Evolutive SFP'!N32+'Evolutive SFP'!N33+'Evolutive SFP'!N34+'Evolutive SFP'!N35</f>
        <v>13826067.619999999</v>
      </c>
      <c r="P42" s="14">
        <f>'Evolutive SFP'!O27+'Evolutive SFP'!O31+'Evolutive SFP'!O32+'Evolutive SFP'!O33+'Evolutive SFP'!O34+'Evolutive SFP'!O35</f>
        <v>14703101.479999999</v>
      </c>
      <c r="Q42" s="14">
        <f>'Evolutive SFP'!P27+'Evolutive SFP'!P31+'Evolutive SFP'!P32+'Evolutive SFP'!P33+'Evolutive SFP'!P34+'Evolutive SFP'!P35</f>
        <v>21248502.649999999</v>
      </c>
      <c r="R42" s="14">
        <f>'Evolutive SFP'!Q27+'Evolutive SFP'!Q31+'Evolutive SFP'!Q32+'Evolutive SFP'!Q33+'Evolutive SFP'!Q34+'Evolutive SFP'!Q35</f>
        <v>20226641.969999999</v>
      </c>
      <c r="S42" s="124">
        <f>'Evolutive SFP'!R27+'Evolutive SFP'!R31+'Evolutive SFP'!R32+'Evolutive SFP'!R33+'Evolutive SFP'!R34+'Evolutive SFP'!R35</f>
        <v>23086855.849999998</v>
      </c>
      <c r="T42" s="14">
        <f>'Evolutive SFP'!S27+'Evolutive SFP'!S31+'Evolutive SFP'!S32+'Evolutive SFP'!S33+'Evolutive SFP'!S34+'Evolutive SFP'!S35</f>
        <v>13435152.890000001</v>
      </c>
      <c r="U42" s="14">
        <f>'Evolutive SFP'!T27+'Evolutive SFP'!T31+'Evolutive SFP'!T32+'Evolutive SFP'!T33+'Evolutive SFP'!T34+'Evolutive SFP'!T35</f>
        <v>11627327.899999999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>
      <c r="A43" s="11" t="s">
        <v>157</v>
      </c>
      <c r="B43" s="12"/>
      <c r="C43" s="14">
        <f>'Evolutive SFP'!B36</f>
        <v>0</v>
      </c>
      <c r="D43" s="14">
        <f>'Evolutive SFP'!C36</f>
        <v>0</v>
      </c>
      <c r="E43" s="14">
        <f>'Evolutive SFP'!D36</f>
        <v>0</v>
      </c>
      <c r="F43" s="14">
        <f>'Evolutive SFP'!E36</f>
        <v>0</v>
      </c>
      <c r="G43" s="14">
        <f>'Evolutive SFP'!F36</f>
        <v>0</v>
      </c>
      <c r="H43" s="14">
        <f>'Evolutive SFP'!G36</f>
        <v>0</v>
      </c>
      <c r="I43" s="14">
        <f>'Evolutive SFP'!H36</f>
        <v>0</v>
      </c>
      <c r="J43" s="14">
        <f>'Evolutive SFP'!I36</f>
        <v>0</v>
      </c>
      <c r="K43" s="14">
        <f>'Evolutive SFP'!J36</f>
        <v>0</v>
      </c>
      <c r="L43" s="14">
        <f>'Evolutive SFP'!K36</f>
        <v>0</v>
      </c>
      <c r="M43" s="14">
        <f>'Evolutive SFP'!L36</f>
        <v>0</v>
      </c>
      <c r="N43" s="14">
        <f>'Evolutive SFP'!M36</f>
        <v>0</v>
      </c>
      <c r="O43" s="14">
        <f>'Evolutive SFP'!N36</f>
        <v>0</v>
      </c>
      <c r="P43" s="14">
        <f>'Evolutive SFP'!O36</f>
        <v>0</v>
      </c>
      <c r="Q43" s="14">
        <f>'Evolutive SFP'!P36</f>
        <v>0</v>
      </c>
      <c r="R43" s="14">
        <f>'Evolutive SFP'!Q36</f>
        <v>0</v>
      </c>
      <c r="S43" s="124">
        <f>'Evolutive SFP'!R36</f>
        <v>0</v>
      </c>
      <c r="T43" s="14">
        <f>'Evolutive SFP'!S36</f>
        <v>0</v>
      </c>
      <c r="U43" s="14">
        <f>'Evolutive SFP'!T36</f>
        <v>0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>
      <c r="A44" s="11" t="s">
        <v>158</v>
      </c>
      <c r="B44" s="12"/>
      <c r="C44" s="14"/>
      <c r="D44" s="14">
        <f>(C33+D33)/2</f>
        <v>225774283.10500002</v>
      </c>
      <c r="E44" s="14">
        <f>(D33+E33)/2</f>
        <v>229976418.60500002</v>
      </c>
      <c r="F44" s="14">
        <f>(E33+F33)/2</f>
        <v>254535914.16</v>
      </c>
      <c r="G44" s="14">
        <f t="shared" ref="G44:U44" si="20">(F33+G33)/2</f>
        <v>277903585.42499995</v>
      </c>
      <c r="H44" s="14">
        <f t="shared" si="20"/>
        <v>278331347.66999996</v>
      </c>
      <c r="I44" s="14">
        <f t="shared" si="20"/>
        <v>280454910.89999998</v>
      </c>
      <c r="J44" s="14">
        <f t="shared" si="20"/>
        <v>292706738.495</v>
      </c>
      <c r="K44" s="14">
        <f t="shared" si="20"/>
        <v>302886593.06</v>
      </c>
      <c r="L44" s="14">
        <f t="shared" si="20"/>
        <v>299635155.59500003</v>
      </c>
      <c r="M44" s="14">
        <f t="shared" si="20"/>
        <v>301091643.17499995</v>
      </c>
      <c r="N44" s="14">
        <f t="shared" si="20"/>
        <v>310627257.20499998</v>
      </c>
      <c r="O44" s="14">
        <f t="shared" si="20"/>
        <v>322239318.77499998</v>
      </c>
      <c r="P44" s="14">
        <f t="shared" si="20"/>
        <v>330154094.04000002</v>
      </c>
      <c r="Q44" s="14">
        <f t="shared" si="20"/>
        <v>334271495.36000001</v>
      </c>
      <c r="R44" s="14">
        <f t="shared" si="20"/>
        <v>330713367.23500001</v>
      </c>
      <c r="S44" s="124">
        <f t="shared" si="20"/>
        <v>319083873.29500002</v>
      </c>
      <c r="T44" s="14">
        <f t="shared" si="20"/>
        <v>321616042.92500001</v>
      </c>
      <c r="U44" s="14">
        <f t="shared" si="20"/>
        <v>329505722.67000002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>
      <c r="A45" s="11" t="s">
        <v>159</v>
      </c>
      <c r="B45" s="12"/>
      <c r="C45" s="13">
        <f>'Evolutitve SCI'!B3</f>
        <v>27924757.920000002</v>
      </c>
      <c r="D45" s="13">
        <f>'Evolutitve SCI'!C3</f>
        <v>31056564.580000002</v>
      </c>
      <c r="E45" s="13">
        <f>'Evolutitve SCI'!D3</f>
        <v>33729012</v>
      </c>
      <c r="F45" s="13">
        <f>'Evolutitve SCI'!E3</f>
        <v>43660138.899999999</v>
      </c>
      <c r="G45" s="13">
        <f>'Evolutitve SCI'!F3</f>
        <v>3218151.1</v>
      </c>
      <c r="H45" s="13">
        <f>'Evolutitve SCI'!G3</f>
        <v>6487458.5</v>
      </c>
      <c r="I45" s="13">
        <f>'Evolutitve SCI'!H3</f>
        <v>10158878.560000001</v>
      </c>
      <c r="J45" s="13">
        <f>'Evolutitve SCI'!I3</f>
        <v>14446048.24</v>
      </c>
      <c r="K45" s="13">
        <f>'Evolutitve SCI'!J3</f>
        <v>18515552.970000003</v>
      </c>
      <c r="L45" s="13">
        <f>'Evolutitve SCI'!K3</f>
        <v>23127350.93</v>
      </c>
      <c r="M45" s="13">
        <f>'Evolutitve SCI'!L3</f>
        <v>28054410.059999999</v>
      </c>
      <c r="N45" s="13">
        <f>'Evolutitve SCI'!M3</f>
        <v>33555357.810000002</v>
      </c>
      <c r="O45" s="13">
        <f>'Evolutitve SCI'!N3</f>
        <v>38991164.5</v>
      </c>
      <c r="P45" s="13">
        <f>'Evolutitve SCI'!O3</f>
        <v>44553291.710000001</v>
      </c>
      <c r="Q45" s="13">
        <f>'Evolutitve SCI'!P3</f>
        <v>49836723.729999997</v>
      </c>
      <c r="R45" s="13">
        <f>'Evolutitve SCI'!Q3</f>
        <v>54752060.439999998</v>
      </c>
      <c r="S45" s="123">
        <f>'Evolutitve SCI'!R3</f>
        <v>54807736.150000006</v>
      </c>
      <c r="T45" s="13">
        <f>'Evolutitve SCI'!S3</f>
        <v>8455120.9600000009</v>
      </c>
      <c r="U45" s="13">
        <f>'Evolutitve SCI'!T3</f>
        <v>9496950.6699999999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1:37">
      <c r="A46" s="11" t="s">
        <v>160</v>
      </c>
      <c r="B46" s="12"/>
      <c r="C46" s="13">
        <f>'Evolutitve SCI'!B19</f>
        <v>20474757.920000002</v>
      </c>
      <c r="D46" s="13">
        <f>'Evolutitve SCI'!C19</f>
        <v>15556564.580000002</v>
      </c>
      <c r="E46" s="13">
        <f>'Evolutitve SCI'!D19</f>
        <v>30729012</v>
      </c>
      <c r="F46" s="13">
        <f>'Evolutitve SCI'!E19</f>
        <v>39015051.189999998</v>
      </c>
      <c r="G46" s="13">
        <f>'Evolutitve SCI'!F19</f>
        <v>3199609.7600000002</v>
      </c>
      <c r="H46" s="13">
        <f>'Evolutitve SCI'!G19</f>
        <v>6467405.1600000001</v>
      </c>
      <c r="I46" s="13">
        <f>'Evolutitve SCI'!H19</f>
        <v>10134180.220000001</v>
      </c>
      <c r="J46" s="13">
        <f>'Evolutitve SCI'!I19</f>
        <v>14420438.9</v>
      </c>
      <c r="K46" s="13">
        <f>'Evolutitve SCI'!J19</f>
        <v>18331824.460000001</v>
      </c>
      <c r="L46" s="13">
        <f>'Evolutitve SCI'!K19</f>
        <v>22941615.120000001</v>
      </c>
      <c r="M46" s="13">
        <f>'Evolutitve SCI'!L19</f>
        <v>27867859.25</v>
      </c>
      <c r="N46" s="13">
        <f>'Evolutitve SCI'!M19</f>
        <v>33366985.000000004</v>
      </c>
      <c r="O46" s="13">
        <f>'Evolutitve SCI'!N19</f>
        <v>38801447.689999998</v>
      </c>
      <c r="P46" s="13">
        <f>'Evolutitve SCI'!O19</f>
        <v>44361739.899999999</v>
      </c>
      <c r="Q46" s="13">
        <f>'Evolutitve SCI'!P19</f>
        <v>49639527.919999994</v>
      </c>
      <c r="R46" s="13">
        <f>'Evolutitve SCI'!Q19</f>
        <v>54552831.629999995</v>
      </c>
      <c r="S46" s="123">
        <f>'Evolutitve SCI'!R19</f>
        <v>44036447.340000004</v>
      </c>
      <c r="T46" s="13">
        <f>'Evolutitve SCI'!S19</f>
        <v>8455120.9600000009</v>
      </c>
      <c r="U46" s="13">
        <f>'Evolutitve SCI'!T19</f>
        <v>9501845.6699999999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1:37">
      <c r="A47" s="11" t="s">
        <v>161</v>
      </c>
      <c r="B47" s="12"/>
      <c r="C47" s="13">
        <f>'Evolutive SFP'!B32+'Evolutitve SCI'!B13</f>
        <v>15244707</v>
      </c>
      <c r="D47" s="13">
        <f>'Evolutive SFP'!C32+'Evolutitve SCI'!C13</f>
        <v>27216152</v>
      </c>
      <c r="E47" s="13">
        <f>'Evolutive SFP'!D32+'Evolutitve SCI'!D13</f>
        <v>6533393</v>
      </c>
      <c r="F47" s="13">
        <f>'Evolutive SFP'!E32+'Evolutitve SCI'!E13</f>
        <v>4659782.91</v>
      </c>
      <c r="G47" s="13">
        <f>'Evolutive SFP'!F32+'Evolutitve SCI'!F13</f>
        <v>0</v>
      </c>
      <c r="H47" s="13">
        <f>'Evolutive SFP'!G32+'Evolutitve SCI'!G13</f>
        <v>0</v>
      </c>
      <c r="I47" s="13">
        <f>'Evolutive SFP'!H32+'Evolutitve SCI'!H13</f>
        <v>0</v>
      </c>
      <c r="J47" s="13">
        <f>'Evolutive SFP'!I32+'Evolutitve SCI'!I13</f>
        <v>0</v>
      </c>
      <c r="K47" s="13">
        <f>'Evolutive SFP'!J32+'Evolutitve SCI'!J13</f>
        <v>152358.97</v>
      </c>
      <c r="L47" s="13">
        <f>'Evolutive SFP'!K32+'Evolutitve SCI'!K13</f>
        <v>154114.26999999999</v>
      </c>
      <c r="M47" s="13">
        <f>'Evolutive SFP'!L32+'Evolutitve SCI'!L13</f>
        <v>154114.26999999999</v>
      </c>
      <c r="N47" s="13">
        <f>'Evolutive SFP'!M32+'Evolutitve SCI'!M13</f>
        <v>154114.26999999999</v>
      </c>
      <c r="O47" s="13">
        <f>'Evolutive SFP'!N32+'Evolutitve SCI'!N13</f>
        <v>154114.26999999999</v>
      </c>
      <c r="P47" s="13">
        <f>'Evolutive SFP'!O32+'Evolutitve SCI'!O13</f>
        <v>154114.26999999999</v>
      </c>
      <c r="Q47" s="13">
        <f>'Evolutive SFP'!P32+'Evolutitve SCI'!P13</f>
        <v>154114.26999999999</v>
      </c>
      <c r="R47" s="13">
        <f>'Evolutive SFP'!Q32+'Evolutitve SCI'!Q13</f>
        <v>154114.26999999999</v>
      </c>
      <c r="S47" s="123">
        <f>'Evolutive SFP'!R32+'Evolutitve SCI'!R13</f>
        <v>10500000</v>
      </c>
      <c r="T47" s="13">
        <f>'Evolutive SFP'!S32+'Evolutitve SCI'!S13</f>
        <v>0</v>
      </c>
      <c r="U47" s="13">
        <f>'Evolutive SFP'!T32+'Evolutitve SCI'!T13</f>
        <v>0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1:37">
      <c r="A48" s="11" t="s">
        <v>162</v>
      </c>
      <c r="B48" s="12"/>
      <c r="C48" s="13">
        <f>'Evolutitve SCI'!B23</f>
        <v>17846075.52</v>
      </c>
      <c r="D48" s="13">
        <f>'Evolutitve SCI'!C23</f>
        <v>18885801.66</v>
      </c>
      <c r="E48" s="13">
        <f>'Evolutitve SCI'!D23</f>
        <v>24441436</v>
      </c>
      <c r="F48" s="13">
        <f>'Evolutitve SCI'!E23</f>
        <v>31557185.009999998</v>
      </c>
      <c r="G48" s="13">
        <f>'Evolutitve SCI'!F23</f>
        <v>3118301</v>
      </c>
      <c r="H48" s="13">
        <f>'Evolutitve SCI'!G23</f>
        <v>5557125</v>
      </c>
      <c r="I48" s="13">
        <f>'Evolutitve SCI'!H23</f>
        <v>8957090</v>
      </c>
      <c r="J48" s="13">
        <f>'Evolutitve SCI'!I23</f>
        <v>11187396</v>
      </c>
      <c r="K48" s="13">
        <f>'Evolutitve SCI'!J23</f>
        <v>13413872</v>
      </c>
      <c r="L48" s="13">
        <f>'Evolutitve SCI'!K23</f>
        <v>15136725</v>
      </c>
      <c r="M48" s="13">
        <f>'Evolutitve SCI'!L23</f>
        <v>17152292</v>
      </c>
      <c r="N48" s="13">
        <f>'Evolutitve SCI'!M23</f>
        <v>19951179</v>
      </c>
      <c r="O48" s="13">
        <f>'Evolutitve SCI'!N23</f>
        <v>21778154</v>
      </c>
      <c r="P48" s="13">
        <f>'Evolutitve SCI'!O23</f>
        <v>23752268</v>
      </c>
      <c r="Q48" s="13">
        <f>'Evolutitve SCI'!P23</f>
        <v>25932843</v>
      </c>
      <c r="R48" s="13">
        <f>'Evolutitve SCI'!Q23</f>
        <v>33016303</v>
      </c>
      <c r="S48" s="123">
        <f>'Evolutitve SCI'!R23</f>
        <v>33461081</v>
      </c>
      <c r="T48" s="13">
        <f>'Evolutitve SCI'!S23</f>
        <v>3262081</v>
      </c>
      <c r="U48" s="13">
        <f>'Evolutitve SCI'!T23</f>
        <v>6110161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1:37">
      <c r="A49" s="11" t="s">
        <v>163</v>
      </c>
      <c r="B49" s="12"/>
      <c r="C49" s="13">
        <f>'Evolutitve SCI'!B5+'Evolutitve SCI'!B6</f>
        <v>27559537.800000001</v>
      </c>
      <c r="D49" s="13">
        <f>'Evolutitve SCI'!C5+'Evolutitve SCI'!C6</f>
        <v>30039527.940000001</v>
      </c>
      <c r="E49" s="13">
        <f>'Evolutitve SCI'!D5+'Evolutitve SCI'!D6</f>
        <v>31341132</v>
      </c>
      <c r="F49" s="13">
        <f>'Evolutitve SCI'!E5+'Evolutitve SCI'!E6</f>
        <v>39582273.939999998</v>
      </c>
      <c r="G49" s="13">
        <f>'Evolutitve SCI'!F5+'Evolutitve SCI'!F6</f>
        <v>3119827.2</v>
      </c>
      <c r="H49" s="13">
        <f>'Evolutitve SCI'!G5+'Evolutitve SCI'!G6</f>
        <v>6290038.2000000002</v>
      </c>
      <c r="I49" s="13">
        <f>'Evolutitve SCI'!H5+'Evolutitve SCI'!H6</f>
        <v>9714142.8000000007</v>
      </c>
      <c r="J49" s="13">
        <f>'Evolutitve SCI'!I5+'Evolutitve SCI'!I6</f>
        <v>13672972</v>
      </c>
      <c r="K49" s="13">
        <f>'Evolutitve SCI'!J5+'Evolutitve SCI'!J6</f>
        <v>17503953.550000001</v>
      </c>
      <c r="L49" s="13">
        <f>'Evolutitve SCI'!K5+'Evolutitve SCI'!K6</f>
        <v>21524359.149999999</v>
      </c>
      <c r="M49" s="13">
        <f>'Evolutitve SCI'!L5+'Evolutitve SCI'!L6</f>
        <v>26067645.379999999</v>
      </c>
      <c r="N49" s="13">
        <f>'Evolutitve SCI'!M5+'Evolutitve SCI'!M6</f>
        <v>31091499.550000001</v>
      </c>
      <c r="O49" s="13">
        <f>'Evolutitve SCI'!N5+'Evolutitve SCI'!N6</f>
        <v>35949364.329999998</v>
      </c>
      <c r="P49" s="13">
        <f>'Evolutitve SCI'!O5+'Evolutitve SCI'!O6</f>
        <v>40669763.329999998</v>
      </c>
      <c r="Q49" s="13">
        <f>'Evolutitve SCI'!P5+'Evolutitve SCI'!P6</f>
        <v>45340938.969999999</v>
      </c>
      <c r="R49" s="13">
        <f>'Evolutitve SCI'!Q5+'Evolutitve SCI'!Q6</f>
        <v>49664622.420000002</v>
      </c>
      <c r="S49" s="123">
        <f>'Evolutitve SCI'!R5+'Evolutitve SCI'!R6</f>
        <v>49705458.130000003</v>
      </c>
      <c r="T49" s="13">
        <f>'Evolutitve SCI'!S5+'Evolutitve SCI'!S6</f>
        <v>8114998.54</v>
      </c>
      <c r="U49" s="13">
        <f>'Evolutitve SCI'!T5+'Evolutitve SCI'!T6</f>
        <v>8860241.7899999991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1:37">
      <c r="A50" s="11" t="s">
        <v>164</v>
      </c>
      <c r="B50" s="12"/>
      <c r="C50" s="13">
        <f>'Evolutitve SCI'!B12+'Evolutitve SCI'!B23</f>
        <v>25296075.52</v>
      </c>
      <c r="D50" s="13">
        <f>'Evolutitve SCI'!C12+'Evolutitve SCI'!C23</f>
        <v>34385801.659999996</v>
      </c>
      <c r="E50" s="13">
        <f>'Evolutitve SCI'!D12+'Evolutitve SCI'!D23</f>
        <v>27441436</v>
      </c>
      <c r="F50" s="13">
        <f>'Evolutitve SCI'!E12+'Evolutitve SCI'!E23</f>
        <v>36202272.719999999</v>
      </c>
      <c r="G50" s="13">
        <f>'Evolutitve SCI'!F12+'Evolutitve SCI'!F23</f>
        <v>3136842.34</v>
      </c>
      <c r="H50" s="13">
        <f>'Evolutitve SCI'!G12+'Evolutitve SCI'!G23</f>
        <v>5577178.3399999999</v>
      </c>
      <c r="I50" s="13">
        <f>'Evolutitve SCI'!H12+'Evolutitve SCI'!H23</f>
        <v>8981788.3399999999</v>
      </c>
      <c r="J50" s="13">
        <f>'Evolutitve SCI'!I12+'Evolutitve SCI'!I23</f>
        <v>11213005.34</v>
      </c>
      <c r="K50" s="13">
        <f>'Evolutitve SCI'!J12+'Evolutitve SCI'!J23</f>
        <v>13597600.51</v>
      </c>
      <c r="L50" s="13">
        <f>'Evolutitve SCI'!K12+'Evolutitve SCI'!K23</f>
        <v>15322460.810000001</v>
      </c>
      <c r="M50" s="13">
        <f>'Evolutitve SCI'!L12+'Evolutitve SCI'!L23</f>
        <v>17338842.809999999</v>
      </c>
      <c r="N50" s="13">
        <f>'Evolutitve SCI'!M12+'Evolutitve SCI'!M23</f>
        <v>20139551.809999999</v>
      </c>
      <c r="O50" s="13">
        <f>'Evolutitve SCI'!N12+'Evolutitve SCI'!N23</f>
        <v>21967870.809999999</v>
      </c>
      <c r="P50" s="13">
        <f>'Evolutitve SCI'!O12+'Evolutitve SCI'!O23</f>
        <v>23943819.809999999</v>
      </c>
      <c r="Q50" s="13">
        <f>'Evolutitve SCI'!P12+'Evolutitve SCI'!P23</f>
        <v>26130038.809999999</v>
      </c>
      <c r="R50" s="13">
        <f>'Evolutitve SCI'!Q12+'Evolutitve SCI'!Q23</f>
        <v>33215531.809999999</v>
      </c>
      <c r="S50" s="123">
        <f>'Evolutitve SCI'!R12+'Evolutitve SCI'!R23</f>
        <v>44232369.810000002</v>
      </c>
      <c r="T50" s="13">
        <f>'Evolutitve SCI'!S12+'Evolutitve SCI'!S23</f>
        <v>3262081</v>
      </c>
      <c r="U50" s="13">
        <f>'Evolutitve SCI'!T12+'Evolutitve SCI'!T23</f>
        <v>6105266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>
      <c r="A51" s="11" t="s">
        <v>165</v>
      </c>
      <c r="B51" s="12"/>
      <c r="C51" s="13">
        <f>'Evolutitve SCI'!B37</f>
        <v>273899.38000000222</v>
      </c>
      <c r="D51" s="13">
        <f>'Evolutitve SCI'!C37</f>
        <v>-3581792.5799999982</v>
      </c>
      <c r="E51" s="13">
        <f>'Evolutitve SCI'!D37</f>
        <v>4403799</v>
      </c>
      <c r="F51" s="13">
        <f>'Evolutitve SCI'!E37</f>
        <v>2475169.38</v>
      </c>
      <c r="G51" s="13">
        <f>'Evolutitve SCI'!F37</f>
        <v>81308.760000000242</v>
      </c>
      <c r="H51" s="13">
        <f>'Evolutitve SCI'!G37</f>
        <v>910280.16000000015</v>
      </c>
      <c r="I51" s="13">
        <f>'Evolutitve SCI'!H37</f>
        <v>1177090.2200000007</v>
      </c>
      <c r="J51" s="13">
        <f>'Evolutitve SCI'!I37</f>
        <v>3233042.9000000004</v>
      </c>
      <c r="K51" s="13">
        <f>'Evolutitve SCI'!J37</f>
        <v>4917952.4600000009</v>
      </c>
      <c r="L51" s="13">
        <f>'Evolutitve SCI'!K37</f>
        <v>7804890.120000001</v>
      </c>
      <c r="M51" s="13">
        <f>'Evolutitve SCI'!L37</f>
        <v>10715567.25</v>
      </c>
      <c r="N51" s="13">
        <f>'Evolutitve SCI'!M37</f>
        <v>13415806.000000004</v>
      </c>
      <c r="O51" s="13">
        <f>'Evolutitve SCI'!N37</f>
        <v>17023293.689999998</v>
      </c>
      <c r="P51" s="13">
        <f>'Evolutitve SCI'!O37</f>
        <v>20609471.899999999</v>
      </c>
      <c r="Q51" s="13">
        <f>'Evolutitve SCI'!P37</f>
        <v>23706684.919999994</v>
      </c>
      <c r="R51" s="13">
        <f>'Evolutitve SCI'!Q37</f>
        <v>21536528.629999995</v>
      </c>
      <c r="S51" s="123">
        <f>'Evolutitve SCI'!R37</f>
        <v>6155915.5400000038</v>
      </c>
      <c r="T51" s="13">
        <f>'Evolutitve SCI'!S37</f>
        <v>5193039.9600000009</v>
      </c>
      <c r="U51" s="13">
        <f>'Evolutitve SCI'!T37</f>
        <v>3391684.67</v>
      </c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1:37">
      <c r="A52" s="189" t="s">
        <v>166</v>
      </c>
      <c r="B52" s="190"/>
      <c r="C52" s="190"/>
      <c r="D52" s="190"/>
      <c r="E52" s="190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</row>
    <row r="53" spans="1:37">
      <c r="A53" s="17"/>
      <c r="B53" s="18"/>
      <c r="C53" s="3"/>
      <c r="D53" s="3"/>
      <c r="E53" s="19"/>
    </row>
    <row r="54" spans="1:37">
      <c r="A54" s="17"/>
      <c r="B54" s="18"/>
      <c r="C54" s="3"/>
      <c r="D54" s="3"/>
      <c r="E54" s="19"/>
    </row>
    <row r="55" spans="1:37">
      <c r="A55" s="17"/>
      <c r="B55" s="18"/>
      <c r="C55" s="3"/>
      <c r="D55" s="3"/>
      <c r="E55" s="19"/>
    </row>
    <row r="56" spans="1:37">
      <c r="A56" s="20"/>
      <c r="B56" s="3"/>
      <c r="C56" s="3"/>
      <c r="D56" s="3"/>
      <c r="E56" s="19"/>
    </row>
    <row r="57" spans="1:37">
      <c r="A57" s="21" t="s">
        <v>167</v>
      </c>
      <c r="B57" s="18"/>
      <c r="C57" s="175"/>
      <c r="D57" s="176"/>
      <c r="E57" s="176"/>
    </row>
    <row r="58" spans="1:37">
      <c r="A58" s="21"/>
      <c r="B58" s="18"/>
      <c r="C58" s="22"/>
      <c r="D58" s="22"/>
      <c r="E58" s="23"/>
    </row>
    <row r="59" spans="1:37">
      <c r="A59" s="24" t="s">
        <v>168</v>
      </c>
      <c r="B59" s="25"/>
      <c r="C59" s="175"/>
      <c r="D59" s="176"/>
      <c r="E59" s="176"/>
    </row>
    <row r="60" spans="1:37">
      <c r="A60" s="4"/>
      <c r="B60" s="18"/>
      <c r="C60" s="3"/>
      <c r="D60" s="3"/>
      <c r="E60" s="19"/>
    </row>
    <row r="61" spans="1:37">
      <c r="A61" s="21" t="s">
        <v>169</v>
      </c>
      <c r="B61" s="18"/>
      <c r="C61" s="175"/>
      <c r="D61" s="176"/>
      <c r="E61" s="176"/>
    </row>
    <row r="62" spans="1:37">
      <c r="A62" s="26"/>
      <c r="B62" s="27"/>
      <c r="C62" s="28"/>
      <c r="D62" s="28"/>
      <c r="E62" s="29"/>
    </row>
    <row r="63" spans="1:37">
      <c r="A63" s="30" t="s">
        <v>170</v>
      </c>
    </row>
    <row r="64" spans="1:37">
      <c r="A64" s="10"/>
    </row>
    <row r="65" spans="1:1">
      <c r="A65" s="10"/>
    </row>
  </sheetData>
  <mergeCells count="14">
    <mergeCell ref="C61:E61"/>
    <mergeCell ref="A1:E1"/>
    <mergeCell ref="A2:E2"/>
    <mergeCell ref="A5:E5"/>
    <mergeCell ref="A10:E10"/>
    <mergeCell ref="A15:E15"/>
    <mergeCell ref="A20:E20"/>
    <mergeCell ref="B3:B4"/>
    <mergeCell ref="E3:E4"/>
    <mergeCell ref="A24:E24"/>
    <mergeCell ref="A29:E29"/>
    <mergeCell ref="A52:E52"/>
    <mergeCell ref="C57:E57"/>
    <mergeCell ref="C59:E59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selection activeCell="I15" sqref="I15"/>
    </sheetView>
  </sheetViews>
  <sheetFormatPr defaultRowHeight="14.45"/>
  <cols>
    <col min="1" max="1" width="28.7109375" bestFit="1" customWidth="1"/>
    <col min="2" max="2" width="28" bestFit="1" customWidth="1"/>
    <col min="3" max="3" width="8.42578125" bestFit="1" customWidth="1"/>
  </cols>
  <sheetData>
    <row r="1" spans="1:3">
      <c r="A1" t="s">
        <v>171</v>
      </c>
    </row>
    <row r="3" spans="1:3">
      <c r="A3" t="s">
        <v>172</v>
      </c>
      <c r="B3" t="s">
        <v>59</v>
      </c>
      <c r="C3" t="s">
        <v>173</v>
      </c>
    </row>
    <row r="4" spans="1:3">
      <c r="B4" t="s">
        <v>174</v>
      </c>
      <c r="C4" t="s">
        <v>175</v>
      </c>
    </row>
    <row r="5" spans="1:3">
      <c r="B5" t="s">
        <v>176</v>
      </c>
      <c r="C5" t="s">
        <v>177</v>
      </c>
    </row>
    <row r="6" spans="1:3">
      <c r="B6" t="s">
        <v>178</v>
      </c>
      <c r="C6" t="s">
        <v>177</v>
      </c>
    </row>
    <row r="7" spans="1:3">
      <c r="A7" t="s">
        <v>179</v>
      </c>
      <c r="B7" t="s">
        <v>180</v>
      </c>
    </row>
    <row r="8" spans="1:3">
      <c r="B8" t="s">
        <v>181</v>
      </c>
    </row>
    <row r="9" spans="1:3">
      <c r="A9" t="s">
        <v>182</v>
      </c>
      <c r="B9" t="s">
        <v>183</v>
      </c>
    </row>
    <row r="10" spans="1:3">
      <c r="B10" t="s">
        <v>184</v>
      </c>
    </row>
    <row r="11" spans="1:3">
      <c r="B11" t="s">
        <v>185</v>
      </c>
    </row>
    <row r="12" spans="1:3">
      <c r="A12" t="s">
        <v>186</v>
      </c>
      <c r="B12" t="s">
        <v>187</v>
      </c>
      <c r="C12" t="s">
        <v>188</v>
      </c>
    </row>
    <row r="13" spans="1:3">
      <c r="B13" t="s">
        <v>189</v>
      </c>
    </row>
    <row r="14" spans="1:3">
      <c r="B14" t="s">
        <v>190</v>
      </c>
      <c r="C14" t="s">
        <v>191</v>
      </c>
    </row>
    <row r="15" spans="1:3">
      <c r="B15" t="s">
        <v>192</v>
      </c>
    </row>
    <row r="16" spans="1:3">
      <c r="A16" t="s">
        <v>193</v>
      </c>
      <c r="B16" t="s">
        <v>194</v>
      </c>
      <c r="C16" t="s">
        <v>195</v>
      </c>
    </row>
    <row r="17" spans="1:3">
      <c r="B17" t="s">
        <v>196</v>
      </c>
      <c r="C17" t="s">
        <v>197</v>
      </c>
    </row>
    <row r="18" spans="1:3">
      <c r="B18" t="s">
        <v>198</v>
      </c>
      <c r="C18" t="s">
        <v>197</v>
      </c>
    </row>
    <row r="19" spans="1:3">
      <c r="B19" t="s">
        <v>199</v>
      </c>
      <c r="C19" t="s">
        <v>200</v>
      </c>
    </row>
    <row r="20" spans="1:3">
      <c r="B20" t="s">
        <v>201</v>
      </c>
    </row>
    <row r="21" spans="1:3">
      <c r="A21" t="s">
        <v>202</v>
      </c>
      <c r="B21" t="s">
        <v>203</v>
      </c>
    </row>
    <row r="22" spans="1:3">
      <c r="B22" t="s">
        <v>204</v>
      </c>
    </row>
    <row r="23" spans="1:3">
      <c r="B23" t="s">
        <v>205</v>
      </c>
    </row>
    <row r="24" spans="1:3">
      <c r="A24" t="s">
        <v>206</v>
      </c>
      <c r="B24" t="s">
        <v>27</v>
      </c>
    </row>
    <row r="25" spans="1:3">
      <c r="B25" t="s">
        <v>150</v>
      </c>
    </row>
    <row r="26" spans="1:3">
      <c r="B26" t="s">
        <v>64</v>
      </c>
    </row>
    <row r="27" spans="1:3">
      <c r="B27" t="s">
        <v>63</v>
      </c>
    </row>
    <row r="28" spans="1:3">
      <c r="B28" t="s">
        <v>207</v>
      </c>
    </row>
    <row r="29" spans="1:3">
      <c r="B29" t="s">
        <v>208</v>
      </c>
    </row>
    <row r="30" spans="1:3">
      <c r="B30" t="s">
        <v>209</v>
      </c>
    </row>
    <row r="31" spans="1:3">
      <c r="B31" t="s">
        <v>210</v>
      </c>
    </row>
    <row r="32" spans="1:3">
      <c r="B32" t="s">
        <v>211</v>
      </c>
    </row>
    <row r="33" spans="1:2">
      <c r="A33" t="s">
        <v>212</v>
      </c>
      <c r="B33" t="s">
        <v>213</v>
      </c>
    </row>
    <row r="34" spans="1:2">
      <c r="B34" t="s">
        <v>214</v>
      </c>
    </row>
    <row r="35" spans="1:2">
      <c r="B35" t="s">
        <v>215</v>
      </c>
    </row>
    <row r="36" spans="1:2">
      <c r="B36" t="s">
        <v>216</v>
      </c>
    </row>
    <row r="37" spans="1:2">
      <c r="B37" t="s">
        <v>217</v>
      </c>
    </row>
    <row r="38" spans="1:2">
      <c r="B38" t="s">
        <v>218</v>
      </c>
    </row>
    <row r="39" spans="1:2">
      <c r="B39" t="s">
        <v>219</v>
      </c>
    </row>
    <row r="41" spans="1:2">
      <c r="A41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47"/>
  <sheetViews>
    <sheetView topLeftCell="BJ1" workbookViewId="0">
      <selection activeCell="F23" sqref="F23"/>
    </sheetView>
  </sheetViews>
  <sheetFormatPr defaultRowHeight="14.45"/>
  <cols>
    <col min="2" max="2" width="35" bestFit="1" customWidth="1"/>
    <col min="3" max="3" width="18.42578125" customWidth="1"/>
    <col min="4" max="64" width="16.140625" bestFit="1" customWidth="1"/>
    <col min="65" max="65" width="16.140625" style="115" bestFit="1" customWidth="1"/>
    <col min="66" max="67" width="16.140625" bestFit="1" customWidth="1"/>
    <col min="68" max="97" width="9" bestFit="1" customWidth="1"/>
  </cols>
  <sheetData>
    <row r="1" spans="1:97">
      <c r="B1" t="s">
        <v>221</v>
      </c>
    </row>
    <row r="2" spans="1:97">
      <c r="B2" t="s">
        <v>222</v>
      </c>
      <c r="C2" t="s">
        <v>223</v>
      </c>
      <c r="D2" s="74" t="s">
        <v>224</v>
      </c>
      <c r="E2" s="74" t="s">
        <v>225</v>
      </c>
      <c r="F2" s="74" t="s">
        <v>3</v>
      </c>
      <c r="G2" s="74">
        <v>44562</v>
      </c>
      <c r="H2" s="74">
        <v>44593</v>
      </c>
      <c r="I2" s="74">
        <v>44621</v>
      </c>
      <c r="J2" s="74">
        <v>44652</v>
      </c>
      <c r="K2" s="74">
        <v>44682</v>
      </c>
      <c r="L2" s="74">
        <v>44713</v>
      </c>
      <c r="M2" s="74">
        <v>44743</v>
      </c>
      <c r="N2" s="74">
        <v>44774</v>
      </c>
      <c r="O2" s="74">
        <v>44805</v>
      </c>
      <c r="P2" s="74">
        <v>44835</v>
      </c>
      <c r="Q2" s="74">
        <v>44866</v>
      </c>
      <c r="R2" s="74">
        <v>44896</v>
      </c>
      <c r="S2" s="74">
        <v>44927</v>
      </c>
      <c r="T2" s="74">
        <v>44958</v>
      </c>
      <c r="U2" s="74">
        <v>44986</v>
      </c>
      <c r="V2" s="74">
        <v>45017</v>
      </c>
      <c r="W2" s="74">
        <v>45047</v>
      </c>
      <c r="X2" s="74">
        <v>45078</v>
      </c>
      <c r="Y2" s="74">
        <v>45108</v>
      </c>
      <c r="Z2" s="74">
        <v>45139</v>
      </c>
      <c r="AA2" s="74">
        <v>45261</v>
      </c>
      <c r="AB2" t="s">
        <v>4</v>
      </c>
    </row>
    <row r="3" spans="1:97">
      <c r="A3">
        <v>1</v>
      </c>
      <c r="B3" t="s">
        <v>210</v>
      </c>
    </row>
    <row r="4" spans="1:97" s="115" customFormat="1">
      <c r="A4" s="115">
        <v>2</v>
      </c>
      <c r="B4" s="115" t="s">
        <v>27</v>
      </c>
      <c r="C4" s="119">
        <f>'[2]Evolutive SFP'!B27</f>
        <v>151015729</v>
      </c>
      <c r="D4" s="119">
        <f>'[2]Evolutive SFP'!C27</f>
        <v>1148549670</v>
      </c>
      <c r="E4" s="119">
        <f>'[2]Evolutive SFP'!D27</f>
        <v>1115492114.8</v>
      </c>
      <c r="F4" s="119">
        <f>'[2]Evolutive SFP'!E27</f>
        <v>1097473603.8699999</v>
      </c>
      <c r="G4" s="119">
        <f>'[2]Evolutive SFP'!F27</f>
        <v>1075347312.01</v>
      </c>
      <c r="H4" s="119">
        <f>'[2]Evolutive SFP'!G27</f>
        <v>1137712140.6199999</v>
      </c>
      <c r="I4" s="119">
        <f>'[2]Evolutive SFP'!H27</f>
        <v>1132099697.5</v>
      </c>
      <c r="J4" s="119">
        <f>'[2]Evolutive SFP'!I27</f>
        <v>1143539808.75</v>
      </c>
      <c r="K4" s="119">
        <f>'[2]Evolutive SFP'!J27</f>
        <v>1132733199.52</v>
      </c>
      <c r="L4" s="119">
        <f>'[2]Evolutive SFP'!K27</f>
        <v>1122803347.75</v>
      </c>
      <c r="M4" s="119">
        <f>'[2]Evolutive SFP'!L27</f>
        <v>1110947024.8300002</v>
      </c>
      <c r="N4" s="119">
        <f>'[2]Evolutive SFP'!M27</f>
        <v>1471574579.5799997</v>
      </c>
      <c r="O4" s="119">
        <f>'[2]Evolutive SFP'!N27</f>
        <v>1340038318.8699999</v>
      </c>
      <c r="P4" s="119">
        <f>'[2]Evolutive SFP'!O27</f>
        <v>1271812614.7</v>
      </c>
      <c r="Q4" s="119">
        <f>'[2]Evolutive SFP'!P27</f>
        <v>1274664305</v>
      </c>
      <c r="R4" s="119">
        <f>'[2]Evolutive SFP'!Q27</f>
        <v>1242608076.73</v>
      </c>
      <c r="S4" s="119">
        <f>'[2]Evolutive SFP'!R27</f>
        <v>1245660446.54</v>
      </c>
      <c r="T4" s="119">
        <f>'[2]Evolutive SFP'!S27</f>
        <v>1212962879.7899997</v>
      </c>
      <c r="U4" s="119">
        <f>'[2]Evolutive SFP'!T27</f>
        <v>1214202270.72</v>
      </c>
      <c r="V4" s="119">
        <f>'[2]Evolutive SFP'!U27</f>
        <v>1173621180.9299998</v>
      </c>
      <c r="W4" s="119">
        <f>'[2]Evolutive SFP'!V27</f>
        <v>1197421612.51</v>
      </c>
      <c r="X4" s="119">
        <f>'[2]Evolutive SFP'!W27</f>
        <v>1181707375.2200003</v>
      </c>
      <c r="Y4" s="119">
        <f>'[2]Evolutive SFP'!X27</f>
        <v>1174627588.74</v>
      </c>
      <c r="Z4" s="119">
        <f>'[2]Evolutive SFP'!Y27</f>
        <v>1176545077.05</v>
      </c>
      <c r="AA4" s="119">
        <f>'[2]Evolutive SFP'!Z27</f>
        <v>2974140107.3800001</v>
      </c>
      <c r="AB4" s="119">
        <f>'[2]Evolutive SFP'!AA27</f>
        <v>2813808172.1599998</v>
      </c>
      <c r="AC4" s="119">
        <f>'[2]Evolutive SFP'!AB27</f>
        <v>2696433376.1500001</v>
      </c>
      <c r="AD4" s="119">
        <f>'[2]Evolutive SFP'!AC27</f>
        <v>1292476096</v>
      </c>
      <c r="AE4" s="119">
        <f>'[2]Evolutive SFP'!AD27</f>
        <v>1255145740.77</v>
      </c>
      <c r="AF4" s="119">
        <f>'[2]Evolutive SFP'!AE27</f>
        <v>1248182133.99</v>
      </c>
      <c r="AG4" s="119">
        <f>'[2]Evolutive SFP'!AF27</f>
        <v>1230432804.6500001</v>
      </c>
      <c r="AH4" s="119">
        <f>'[2]Evolutive SFP'!AG27</f>
        <v>1255164086.24</v>
      </c>
      <c r="AI4" s="119">
        <f>'[2]Evolutive SFP'!AH27</f>
        <v>1251561382.6499999</v>
      </c>
      <c r="AJ4" s="119">
        <f>'[2]Evolutive SFP'!AI27</f>
        <v>1265242789.5999999</v>
      </c>
      <c r="AK4" s="119">
        <f>'[2]Evolutive SFP'!AJ27</f>
        <v>2518733084.3400002</v>
      </c>
      <c r="AL4" s="119">
        <f>'[2]Evolutive SFP'!AK27</f>
        <v>1256646426.9300001</v>
      </c>
      <c r="AM4" s="119">
        <f>'[2]Evolutive SFP'!AL27</f>
        <v>1490000780.6599998</v>
      </c>
      <c r="AN4" s="119">
        <f>'[2]Evolutive SFP'!AM27</f>
        <v>1421587242.75</v>
      </c>
      <c r="AO4" s="119">
        <f>'[2]Evolutive SFP'!AN27</f>
        <v>1362879984.7800002</v>
      </c>
      <c r="AP4" s="119">
        <f>'[2]Evolutive SFP'!AO27</f>
        <v>1367873753</v>
      </c>
      <c r="AQ4" s="119">
        <f>'[2]Evolutive SFP'!AP27</f>
        <v>1344379229.03</v>
      </c>
      <c r="AR4" s="119">
        <f>'[2]Evolutive SFP'!AQ27</f>
        <v>1344209164.22</v>
      </c>
      <c r="AS4" s="119">
        <f>'[2]Evolutive SFP'!AR27</f>
        <v>1334356045.6199999</v>
      </c>
      <c r="AT4" s="119">
        <f>'[2]Evolutive SFP'!AS27</f>
        <v>1369098114.8</v>
      </c>
      <c r="AU4" s="119">
        <f>'[2]Evolutive SFP'!AT27</f>
        <v>1349478001.4400001</v>
      </c>
      <c r="AV4" s="119">
        <f>'[2]Evolutive SFP'!AU27</f>
        <v>1345640991.71</v>
      </c>
      <c r="AW4" s="119">
        <f>'[2]Evolutive SFP'!AV27</f>
        <v>1348653091.3000002</v>
      </c>
      <c r="AX4" s="119">
        <f>'[2]Evolutive SFP'!AW27</f>
        <v>1332832167.2900002</v>
      </c>
      <c r="AY4" s="119">
        <f>'[2]Evolutive SFP'!AX27</f>
        <v>1321064426.3200002</v>
      </c>
      <c r="AZ4" s="119">
        <f>'[2]Evolutive SFP'!AY27</f>
        <v>1403742642.7600002</v>
      </c>
      <c r="BA4" s="119">
        <f>'[2]Evolutive SFP'!AZ27</f>
        <v>1415895179.26</v>
      </c>
      <c r="BB4" s="119">
        <f>'[2]Evolutive SFP'!BA27</f>
        <v>1378250800.5400002</v>
      </c>
      <c r="BC4" s="119">
        <f>'[2]Evolutive SFP'!BB27</f>
        <v>1384915572</v>
      </c>
      <c r="BD4" s="119">
        <f>'[2]Evolutive SFP'!BC27</f>
        <v>1364233559.3199999</v>
      </c>
      <c r="BE4" s="119">
        <f>'[2]Evolutive SFP'!BD27</f>
        <v>1353830620.2000003</v>
      </c>
      <c r="BF4" s="119">
        <f>'[2]Evolutive SFP'!BE27</f>
        <v>1327401987.6599998</v>
      </c>
      <c r="BG4" s="119">
        <f>'[2]Evolutive SFP'!BF27</f>
        <v>1353431194.01</v>
      </c>
      <c r="BH4" s="119">
        <f>'[2]Evolutive SFP'!BG27</f>
        <v>1350418309.4200001</v>
      </c>
      <c r="BI4" s="119">
        <f>'[2]Evolutive SFP'!BH27</f>
        <v>1357304122.5300002</v>
      </c>
      <c r="BJ4" s="119">
        <f>'[2]Evolutive SFP'!BI27</f>
        <v>1578408898.1900001</v>
      </c>
      <c r="BK4" s="119">
        <f>'[2]Evolutive SFP'!BJ27</f>
        <v>1520693171.4299998</v>
      </c>
      <c r="BL4" s="119">
        <f>'[2]Evolutive SFP'!BK27</f>
        <v>1469147025.72</v>
      </c>
      <c r="BM4" s="119">
        <f>'[2]Evolutive SFP'!BL27</f>
        <v>1452709669.6100001</v>
      </c>
      <c r="BN4" s="119">
        <f>'[2]Evolutive SFP'!BM27</f>
        <v>1429829218.0600002</v>
      </c>
      <c r="BO4" s="119">
        <f>'[2]Evolutive SFP'!BN27</f>
        <v>1421215209.2</v>
      </c>
      <c r="BP4" s="119">
        <f>'[2]Evolutive SFP'!BO27</f>
        <v>0</v>
      </c>
      <c r="BQ4" s="119">
        <f>'[2]Evolutive SFP'!BP27</f>
        <v>0</v>
      </c>
      <c r="BR4" s="119">
        <f>'[2]Evolutive SFP'!BQ27</f>
        <v>0</v>
      </c>
      <c r="BS4" s="119">
        <f>'[2]Evolutive SFP'!BR27</f>
        <v>0</v>
      </c>
      <c r="BT4" s="119">
        <f>'[2]Evolutive SFP'!BS27</f>
        <v>0</v>
      </c>
      <c r="BU4" s="119">
        <f>'[2]Evolutive SFP'!BT27</f>
        <v>0</v>
      </c>
      <c r="BV4" s="119">
        <f>'[2]Evolutive SFP'!BU27</f>
        <v>0</v>
      </c>
      <c r="BW4" s="119">
        <f>'[2]Evolutive SFP'!BV27</f>
        <v>0</v>
      </c>
      <c r="BX4" s="119">
        <f>'[2]Evolutive SFP'!BW27</f>
        <v>0</v>
      </c>
      <c r="BY4" s="119">
        <f>'[2]Evolutive SFP'!BX27</f>
        <v>0</v>
      </c>
      <c r="BZ4" s="119">
        <f>'[2]Evolutive SFP'!BY27</f>
        <v>0</v>
      </c>
      <c r="CA4" s="119">
        <f>'[2]Evolutive SFP'!BZ27</f>
        <v>0</v>
      </c>
      <c r="CB4" s="119">
        <f>'[2]Evolutive SFP'!CA27</f>
        <v>0</v>
      </c>
      <c r="CC4" s="119">
        <f>'[2]Evolutive SFP'!CB27</f>
        <v>0</v>
      </c>
      <c r="CD4" s="119">
        <f>'[2]Evolutive SFP'!CC27</f>
        <v>0</v>
      </c>
      <c r="CE4" s="119">
        <f>'[2]Evolutive SFP'!CD27</f>
        <v>0</v>
      </c>
      <c r="CF4" s="119">
        <f>'[2]Evolutive SFP'!CE27</f>
        <v>0</v>
      </c>
      <c r="CG4" s="119">
        <f>'[2]Evolutive SFP'!CF27</f>
        <v>0</v>
      </c>
      <c r="CH4" s="119">
        <f>'[2]Evolutive SFP'!CG27</f>
        <v>0</v>
      </c>
      <c r="CI4" s="119">
        <f>'[2]Evolutive SFP'!CH27</f>
        <v>0</v>
      </c>
      <c r="CJ4" s="119">
        <f>'[2]Evolutive SFP'!CI27</f>
        <v>0</v>
      </c>
      <c r="CK4" s="119">
        <f>'[2]Evolutive SFP'!CJ27</f>
        <v>0</v>
      </c>
      <c r="CL4" s="119">
        <f>'[2]Evolutive SFP'!CK27</f>
        <v>0</v>
      </c>
      <c r="CM4" s="119">
        <f>'[2]Evolutive SFP'!CL27</f>
        <v>0</v>
      </c>
      <c r="CN4" s="119">
        <f>'[2]Evolutive SFP'!CM27</f>
        <v>0</v>
      </c>
      <c r="CO4" s="119">
        <f>'[2]Evolutive SFP'!CN27</f>
        <v>0</v>
      </c>
      <c r="CP4" s="119">
        <f>'[2]Evolutive SFP'!CO27</f>
        <v>0</v>
      </c>
      <c r="CQ4" s="119">
        <f>'[2]Evolutive SFP'!CP27</f>
        <v>0</v>
      </c>
      <c r="CR4" s="119">
        <f>'[2]Evolutive SFP'!CQ27</f>
        <v>0</v>
      </c>
      <c r="CS4" s="119">
        <f>'[2]Evolutive SFP'!CR27</f>
        <v>0</v>
      </c>
    </row>
    <row r="5" spans="1:97">
      <c r="A5">
        <v>3</v>
      </c>
      <c r="B5" t="s">
        <v>150</v>
      </c>
      <c r="C5" s="77">
        <f>'[2]Evolutive SFP'!B31</f>
        <v>128604214</v>
      </c>
      <c r="D5" s="77">
        <f>'[2]Evolutive SFP'!C31</f>
        <v>852237862</v>
      </c>
      <c r="E5" s="77">
        <f>'[2]Evolutive SFP'!D31</f>
        <v>810862314.56999993</v>
      </c>
      <c r="F5" s="77">
        <f>'[2]Evolutive SFP'!E31</f>
        <v>794735859.57999992</v>
      </c>
      <c r="G5" s="77">
        <f>'[2]Evolutive SFP'!F31</f>
        <v>781891372.66000009</v>
      </c>
      <c r="H5" s="77">
        <f>'[2]Evolutive SFP'!G31</f>
        <v>797556305.64999998</v>
      </c>
      <c r="I5" s="77">
        <f>'[2]Evolutive SFP'!H31</f>
        <v>787182746.26999998</v>
      </c>
      <c r="J5" s="77">
        <f>'[2]Evolutive SFP'!I31</f>
        <v>795216258.02999997</v>
      </c>
      <c r="K5" s="77">
        <f>'[2]Evolutive SFP'!J31</f>
        <v>787745615.05999994</v>
      </c>
      <c r="L5" s="77">
        <f>'[2]Evolutive SFP'!K31</f>
        <v>767567354.37</v>
      </c>
      <c r="M5" s="77">
        <f>'[2]Evolutive SFP'!L31</f>
        <v>754193141.88</v>
      </c>
      <c r="N5" s="77">
        <f>'[2]Evolutive SFP'!M31</f>
        <v>1150180189.5</v>
      </c>
      <c r="O5" s="77">
        <f>'[2]Evolutive SFP'!N31</f>
        <v>1013712031.77</v>
      </c>
      <c r="P5" s="77">
        <f>'[2]Evolutive SFP'!O31</f>
        <v>931336193.43000007</v>
      </c>
      <c r="Q5" s="77">
        <f>'[2]Evolutive SFP'!P31</f>
        <v>931336191</v>
      </c>
      <c r="R5" s="77">
        <f>'[2]Evolutive SFP'!Q31</f>
        <v>902487502.74000001</v>
      </c>
      <c r="S5" s="77">
        <f>'[2]Evolutive SFP'!R31</f>
        <v>896737690.06999993</v>
      </c>
      <c r="T5" s="77">
        <f>'[2]Evolutive SFP'!S31</f>
        <v>880455581.86000013</v>
      </c>
      <c r="U5" s="77">
        <f>'[2]Evolutive SFP'!T31</f>
        <v>882496852.62</v>
      </c>
      <c r="V5" s="77">
        <f>'[2]Evolutive SFP'!U31</f>
        <v>837471994.41999996</v>
      </c>
      <c r="W5" s="77">
        <f>'[2]Evolutive SFP'!V31</f>
        <v>836380815.59000003</v>
      </c>
      <c r="X5" s="77">
        <f>'[2]Evolutive SFP'!W31</f>
        <v>838654141.42999995</v>
      </c>
      <c r="Y5" s="77">
        <f>'[2]Evolutive SFP'!X31</f>
        <v>826882175.27999997</v>
      </c>
      <c r="Z5" s="77">
        <f>'[2]Evolutive SFP'!Y31</f>
        <v>824908965.31000006</v>
      </c>
      <c r="AA5" s="77">
        <f>'[2]Evolutive SFP'!Z31</f>
        <v>1469745774.8099999</v>
      </c>
      <c r="AB5" s="77">
        <f>'[2]Evolutive SFP'!AA31</f>
        <v>1388167191.1900001</v>
      </c>
      <c r="AC5" s="77">
        <f>'[2]Evolutive SFP'!AB31</f>
        <v>1326005632.8</v>
      </c>
      <c r="AD5" s="77">
        <f>'[2]Evolutive SFP'!AC31</f>
        <v>908933229</v>
      </c>
      <c r="AE5" s="77">
        <f>'[2]Evolutive SFP'!AD31</f>
        <v>867608842.77999997</v>
      </c>
      <c r="AF5" s="77">
        <f>'[2]Evolutive SFP'!AE31</f>
        <v>861704748.71000004</v>
      </c>
      <c r="AG5" s="77">
        <f>'[2]Evolutive SFP'!AF31</f>
        <v>855714527.35000002</v>
      </c>
      <c r="AH5" s="77">
        <f>'[2]Evolutive SFP'!AG31</f>
        <v>876424426.18999994</v>
      </c>
      <c r="AI5" s="77">
        <f>'[2]Evolutive SFP'!AH31</f>
        <v>874396813.0999999</v>
      </c>
      <c r="AJ5" s="77">
        <f>'[2]Evolutive SFP'!AI31</f>
        <v>883842295.84000003</v>
      </c>
      <c r="AK5" s="77">
        <f>'[2]Evolutive SFP'!AJ31</f>
        <v>1741411717.96</v>
      </c>
      <c r="AL5" s="77">
        <f>'[2]Evolutive SFP'!AK31</f>
        <v>862677532.06999993</v>
      </c>
      <c r="AM5" s="77">
        <f>'[2]Evolutive SFP'!AL31</f>
        <v>1083730929.21</v>
      </c>
      <c r="AN5" s="77">
        <f>'[2]Evolutive SFP'!AM31</f>
        <v>998848171.25999999</v>
      </c>
      <c r="AO5" s="77">
        <f>'[2]Evolutive SFP'!AN31</f>
        <v>946509321.54999995</v>
      </c>
      <c r="AP5" s="77">
        <f>'[2]Evolutive SFP'!AO31</f>
        <v>946509324</v>
      </c>
      <c r="AQ5" s="77">
        <f>'[2]Evolutive SFP'!AP31</f>
        <v>924610049.22000003</v>
      </c>
      <c r="AR5" s="77">
        <f>'[2]Evolutive SFP'!AQ31</f>
        <v>924971142.25999999</v>
      </c>
      <c r="AS5" s="77">
        <f>'[2]Evolutive SFP'!AR31</f>
        <v>932111338.18999994</v>
      </c>
      <c r="AT5" s="77">
        <f>'[2]Evolutive SFP'!AS31</f>
        <v>934264763.92000008</v>
      </c>
      <c r="AU5" s="77">
        <f>'[2]Evolutive SFP'!AT31</f>
        <v>922006215.83000004</v>
      </c>
      <c r="AV5" s="77">
        <f>'[2]Evolutive SFP'!AU31</f>
        <v>922068494.20999992</v>
      </c>
      <c r="AW5" s="77">
        <f>'[2]Evolutive SFP'!AV31</f>
        <v>921160383.06999993</v>
      </c>
      <c r="AX5" s="77">
        <f>'[2]Evolutive SFP'!AW31</f>
        <v>895634254.21000004</v>
      </c>
      <c r="AY5" s="77">
        <f>'[2]Evolutive SFP'!AX31</f>
        <v>884475049.80999994</v>
      </c>
      <c r="AZ5" s="77">
        <f>'[2]Evolutive SFP'!AY31</f>
        <v>959533172.26999998</v>
      </c>
      <c r="BA5" s="77">
        <f>'[2]Evolutive SFP'!AZ31</f>
        <v>966193560.35000002</v>
      </c>
      <c r="BB5" s="77">
        <f>'[2]Evolutive SFP'!BA31</f>
        <v>929406148.13</v>
      </c>
      <c r="BC5" s="77">
        <f>'[2]Evolutive SFP'!BB31</f>
        <v>929406148.13</v>
      </c>
      <c r="BD5" s="77">
        <f>'[2]Evolutive SFP'!BC31</f>
        <v>910964634.44000006</v>
      </c>
      <c r="BE5" s="77">
        <f>'[2]Evolutive SFP'!BD31</f>
        <v>896947499.79999995</v>
      </c>
      <c r="BF5" s="77">
        <f>'[2]Evolutive SFP'!BE31</f>
        <v>891154248.69000006</v>
      </c>
      <c r="BG5" s="77">
        <f>'[2]Evolutive SFP'!BF31</f>
        <v>918313910.1500001</v>
      </c>
      <c r="BH5" s="77">
        <f>'[2]Evolutive SFP'!BG31</f>
        <v>911876021.4000001</v>
      </c>
      <c r="BI5" s="77">
        <f>'[2]Evolutive SFP'!BH31</f>
        <v>893501425.32999992</v>
      </c>
      <c r="BJ5" s="77">
        <f>'[2]Evolutive SFP'!BI31</f>
        <v>1097580645.21</v>
      </c>
      <c r="BK5" s="77">
        <f>'[2]Evolutive SFP'!BJ31</f>
        <v>1043281415.54</v>
      </c>
      <c r="BL5" s="77">
        <f>'[2]Evolutive SFP'!BK31</f>
        <v>998720422.71999991</v>
      </c>
      <c r="BM5" s="119">
        <f>'[2]Evolutive SFP'!BL31</f>
        <v>978552938.69000006</v>
      </c>
      <c r="BN5" s="77">
        <f>'[2]Evolutive SFP'!BM31</f>
        <v>961488841.63</v>
      </c>
      <c r="BO5" s="77">
        <f>'[2]Evolutive SFP'!BN31</f>
        <v>935024353.54999995</v>
      </c>
      <c r="BP5" s="77">
        <f>'[2]Evolutive SFP'!BO31</f>
        <v>0</v>
      </c>
      <c r="BQ5" s="77">
        <f>'[2]Evolutive SFP'!BP31</f>
        <v>0</v>
      </c>
      <c r="BR5" s="77">
        <f>'[2]Evolutive SFP'!BQ31</f>
        <v>0</v>
      </c>
      <c r="BS5" s="77">
        <f>'[2]Evolutive SFP'!BR31</f>
        <v>0</v>
      </c>
      <c r="BT5" s="77">
        <f>'[2]Evolutive SFP'!BS31</f>
        <v>0</v>
      </c>
      <c r="BU5" s="77">
        <f>'[2]Evolutive SFP'!BT31</f>
        <v>0</v>
      </c>
      <c r="BV5" s="77">
        <f>'[2]Evolutive SFP'!BU31</f>
        <v>0</v>
      </c>
      <c r="BW5" s="77">
        <f>'[2]Evolutive SFP'!BV31</f>
        <v>0</v>
      </c>
      <c r="BX5" s="77">
        <f>'[2]Evolutive SFP'!BW31</f>
        <v>0</v>
      </c>
      <c r="BY5" s="77">
        <f>'[2]Evolutive SFP'!BX31</f>
        <v>0</v>
      </c>
      <c r="BZ5" s="77">
        <f>'[2]Evolutive SFP'!BY31</f>
        <v>0</v>
      </c>
      <c r="CA5" s="77">
        <f>'[2]Evolutive SFP'!BZ31</f>
        <v>0</v>
      </c>
      <c r="CB5" s="77">
        <f>'[2]Evolutive SFP'!CA31</f>
        <v>0</v>
      </c>
      <c r="CC5" s="77">
        <f>'[2]Evolutive SFP'!CB31</f>
        <v>0</v>
      </c>
      <c r="CD5" s="77">
        <f>'[2]Evolutive SFP'!CC31</f>
        <v>0</v>
      </c>
      <c r="CE5" s="77">
        <f>'[2]Evolutive SFP'!CD31</f>
        <v>0</v>
      </c>
      <c r="CF5" s="77">
        <f>'[2]Evolutive SFP'!CE31</f>
        <v>0</v>
      </c>
      <c r="CG5" s="77">
        <f>'[2]Evolutive SFP'!CF31</f>
        <v>0</v>
      </c>
      <c r="CH5" s="77">
        <f>'[2]Evolutive SFP'!CG31</f>
        <v>0</v>
      </c>
      <c r="CI5" s="77">
        <f>'[2]Evolutive SFP'!CH31</f>
        <v>0</v>
      </c>
      <c r="CJ5" s="77">
        <f>'[2]Evolutive SFP'!CI31</f>
        <v>0</v>
      </c>
      <c r="CK5" s="77">
        <f>'[2]Evolutive SFP'!CJ31</f>
        <v>0</v>
      </c>
      <c r="CL5" s="77">
        <f>'[2]Evolutive SFP'!CK31</f>
        <v>0</v>
      </c>
      <c r="CM5" s="77">
        <f>'[2]Evolutive SFP'!CL31</f>
        <v>0</v>
      </c>
      <c r="CN5" s="77">
        <f>'[2]Evolutive SFP'!CM31</f>
        <v>0</v>
      </c>
      <c r="CO5" s="77">
        <f>'[2]Evolutive SFP'!CN31</f>
        <v>0</v>
      </c>
      <c r="CP5" s="77">
        <f>'[2]Evolutive SFP'!CO31</f>
        <v>0</v>
      </c>
      <c r="CQ5" s="77">
        <f>'[2]Evolutive SFP'!CP31</f>
        <v>0</v>
      </c>
      <c r="CR5" s="77">
        <f>'[2]Evolutive SFP'!CQ31</f>
        <v>0</v>
      </c>
      <c r="CS5" s="77">
        <f>'[2]Evolutive SFP'!CR31</f>
        <v>0</v>
      </c>
    </row>
    <row r="6" spans="1:97">
      <c r="A6">
        <v>3.1</v>
      </c>
      <c r="B6" t="s">
        <v>226</v>
      </c>
      <c r="C6" s="77">
        <f>'[2]Evolutive SFP'!B30</f>
        <v>112140909</v>
      </c>
      <c r="D6" s="77">
        <f>'[2]Evolutive SFP'!C30</f>
        <v>271523495</v>
      </c>
      <c r="E6" s="77">
        <f>'[2]Evolutive SFP'!D30</f>
        <v>271440379.66000003</v>
      </c>
      <c r="F6" s="77">
        <f>'[2]Evolutive SFP'!E30</f>
        <v>272102363.5</v>
      </c>
      <c r="G6" s="77">
        <f>'[2]Evolutive SFP'!F30</f>
        <v>275215911.81</v>
      </c>
      <c r="H6" s="77">
        <f>'[2]Evolutive SFP'!G30</f>
        <v>275942440.27999997</v>
      </c>
      <c r="I6" s="77">
        <f>'[2]Evolutive SFP'!H30</f>
        <v>278554208.33999997</v>
      </c>
      <c r="J6" s="77">
        <f>'[2]Evolutive SFP'!I30</f>
        <v>279980022.32999998</v>
      </c>
      <c r="K6" s="77">
        <f>'[2]Evolutive SFP'!J30</f>
        <v>281300354.61000001</v>
      </c>
      <c r="L6" s="77">
        <f>'[2]Evolutive SFP'!K30</f>
        <v>281983349.44</v>
      </c>
      <c r="M6" s="77">
        <f>'[2]Evolutive SFP'!L30</f>
        <v>281221645.70999998</v>
      </c>
      <c r="N6" s="77">
        <f>'[2]Evolutive SFP'!M30</f>
        <v>281992159.07999998</v>
      </c>
      <c r="O6" s="77">
        <f>'[2]Evolutive SFP'!N30</f>
        <v>285229828.56999999</v>
      </c>
      <c r="P6" s="77">
        <f>'[2]Evolutive SFP'!O30</f>
        <v>285539578.05000001</v>
      </c>
      <c r="Q6" s="77">
        <f>'[2]Evolutive SFP'!P30</f>
        <v>285538578</v>
      </c>
      <c r="R6" s="77">
        <f>'[2]Evolutive SFP'!Q30</f>
        <v>286341070</v>
      </c>
      <c r="S6" s="77">
        <f>'[2]Evolutive SFP'!R30</f>
        <v>288628737.07999998</v>
      </c>
      <c r="T6" s="77">
        <f>'[2]Evolutive SFP'!S30</f>
        <v>290381478.44</v>
      </c>
      <c r="U6" s="77">
        <f>'[2]Evolutive SFP'!T30</f>
        <v>290806289.63999999</v>
      </c>
      <c r="V6" s="77">
        <f>'[2]Evolutive SFP'!U30</f>
        <v>290924750.27999997</v>
      </c>
      <c r="W6" s="77">
        <f>'[2]Evolutive SFP'!V30</f>
        <v>291941906.38999999</v>
      </c>
      <c r="X6" s="77">
        <f>'[2]Evolutive SFP'!W30</f>
        <v>292534082.38</v>
      </c>
      <c r="Y6" s="77">
        <f>'[2]Evolutive SFP'!X30</f>
        <v>295020581.49000001</v>
      </c>
      <c r="Z6" s="77">
        <f>'[2]Evolutive SFP'!Y30</f>
        <v>295627278.47000003</v>
      </c>
      <c r="AA6" s="77">
        <f>'[2]Evolutive SFP'!Z30</f>
        <v>1052467219.11</v>
      </c>
      <c r="AB6" s="77">
        <f>'[2]Evolutive SFP'!AA30</f>
        <v>967440088.25999999</v>
      </c>
      <c r="AC6" s="77">
        <f>'[2]Evolutive SFP'!AB30</f>
        <v>908933231.12</v>
      </c>
      <c r="AD6" s="77">
        <f>'[2]Evolutive SFP'!AC30</f>
        <v>300651292</v>
      </c>
      <c r="AE6" s="77">
        <f>'[2]Evolutive SFP'!AD30</f>
        <v>299424989.75999999</v>
      </c>
      <c r="AF6" s="77">
        <f>'[2]Evolutive SFP'!AE30</f>
        <v>303007290.68000001</v>
      </c>
      <c r="AG6" s="77">
        <f>'[2]Evolutive SFP'!AF30</f>
        <v>303950035.49000001</v>
      </c>
      <c r="AH6" s="77">
        <f>'[2]Evolutive SFP'!AG30</f>
        <v>304133851.13999999</v>
      </c>
      <c r="AI6" s="77">
        <f>'[2]Evolutive SFP'!AH30</f>
        <v>303974818.43000001</v>
      </c>
      <c r="AJ6" s="77">
        <f>'[2]Evolutive SFP'!AI30</f>
        <v>303408792.72000003</v>
      </c>
      <c r="AK6" s="77">
        <f>'[2]Evolutive SFP'!AJ30</f>
        <v>611319617.34000003</v>
      </c>
      <c r="AL6" s="77">
        <f>'[2]Evolutive SFP'!AK30</f>
        <v>307785563.66000003</v>
      </c>
      <c r="AM6" s="77">
        <f>'[2]Evolutive SFP'!AL30</f>
        <v>309472558.52999997</v>
      </c>
      <c r="AN6" s="77">
        <f>'[2]Evolutive SFP'!AM30</f>
        <v>310299767.80000001</v>
      </c>
      <c r="AO6" s="77">
        <f>'[2]Evolutive SFP'!AN30</f>
        <v>299415781.75999999</v>
      </c>
      <c r="AP6" s="77">
        <f>'[2]Evolutive SFP'!AO30</f>
        <v>299415783</v>
      </c>
      <c r="AQ6" s="77">
        <f>'[2]Evolutive SFP'!AP30</f>
        <v>299133083</v>
      </c>
      <c r="AR6" s="77">
        <f>'[2]Evolutive SFP'!AQ30</f>
        <v>300154126.70999998</v>
      </c>
      <c r="AS6" s="77">
        <f>'[2]Evolutive SFP'!AR30</f>
        <v>300346981.61000001</v>
      </c>
      <c r="AT6" s="77">
        <f>'[2]Evolutive SFP'!AS30</f>
        <v>301036380.93000001</v>
      </c>
      <c r="AU6" s="77">
        <f>'[2]Evolutive SFP'!AT30</f>
        <v>302998421.13</v>
      </c>
      <c r="AV6" s="77">
        <f>'[2]Evolutive SFP'!AU30</f>
        <v>304208876.87</v>
      </c>
      <c r="AW6" s="77">
        <f>'[2]Evolutive SFP'!AV30</f>
        <v>305458489.27999997</v>
      </c>
      <c r="AX6" s="77">
        <f>'[2]Evolutive SFP'!AW30</f>
        <v>308352827.19999999</v>
      </c>
      <c r="AY6" s="77">
        <f>'[2]Evolutive SFP'!AX30</f>
        <v>308042777.74000001</v>
      </c>
      <c r="AZ6" s="77">
        <f>'[2]Evolutive SFP'!AY30</f>
        <v>309084047.00999999</v>
      </c>
      <c r="BA6" s="77">
        <f>'[2]Evolutive SFP'!AZ30</f>
        <v>311397283.72000003</v>
      </c>
      <c r="BB6" s="77">
        <f>'[2]Evolutive SFP'!BA30</f>
        <v>311674453.23000002</v>
      </c>
      <c r="BC6" s="77">
        <f>'[2]Evolutive SFP'!BB30</f>
        <v>311674453.23000002</v>
      </c>
      <c r="BD6" s="77">
        <f>'[2]Evolutive SFP'!BC30</f>
        <v>313638043.49000001</v>
      </c>
      <c r="BE6" s="77">
        <f>'[2]Evolutive SFP'!BD30</f>
        <v>314871886.69999999</v>
      </c>
      <c r="BF6" s="77">
        <f>'[2]Evolutive SFP'!BE30</f>
        <v>315415168.10000002</v>
      </c>
      <c r="BG6" s="77">
        <f>'[2]Evolutive SFP'!BF30</f>
        <v>316657077.45999998</v>
      </c>
      <c r="BH6" s="77">
        <f>'[2]Evolutive SFP'!BG30</f>
        <v>316965875.41000003</v>
      </c>
      <c r="BI6" s="77">
        <f>'[2]Evolutive SFP'!BH30</f>
        <v>318024917.51999998</v>
      </c>
      <c r="BJ6" s="77">
        <f>'[2]Evolutive SFP'!BI30</f>
        <v>320612635.45999998</v>
      </c>
      <c r="BK6" s="77">
        <f>'[2]Evolutive SFP'!BJ30</f>
        <v>321281157.38</v>
      </c>
      <c r="BL6" s="77">
        <f>'[2]Evolutive SFP'!BK30</f>
        <v>321943884.27999997</v>
      </c>
      <c r="BM6" s="119">
        <f>'[2]Evolutive SFP'!BL30</f>
        <v>323624328.94999999</v>
      </c>
      <c r="BN6" s="77">
        <f>'[2]Evolutive SFP'!BM30</f>
        <v>326437915.85000002</v>
      </c>
      <c r="BO6" s="77">
        <f>'[2]Evolutive SFP'!BN30</f>
        <v>328291050.24000001</v>
      </c>
      <c r="BP6" s="77">
        <f>'[2]Evolutive SFP'!BO30</f>
        <v>0</v>
      </c>
      <c r="BQ6" s="77">
        <f>'[2]Evolutive SFP'!BP30</f>
        <v>0</v>
      </c>
      <c r="BR6" s="77">
        <f>'[2]Evolutive SFP'!BQ30</f>
        <v>0</v>
      </c>
      <c r="BS6" s="77">
        <f>'[2]Evolutive SFP'!BR30</f>
        <v>0</v>
      </c>
      <c r="BT6" s="77">
        <f>'[2]Evolutive SFP'!BS30</f>
        <v>0</v>
      </c>
      <c r="BU6" s="77">
        <f>'[2]Evolutive SFP'!BT30</f>
        <v>0</v>
      </c>
      <c r="BV6" s="77">
        <f>'[2]Evolutive SFP'!BU30</f>
        <v>0</v>
      </c>
      <c r="BW6" s="77">
        <f>'[2]Evolutive SFP'!BV30</f>
        <v>0</v>
      </c>
      <c r="BX6" s="77">
        <f>'[2]Evolutive SFP'!BW30</f>
        <v>0</v>
      </c>
      <c r="BY6" s="77">
        <f>'[2]Evolutive SFP'!BX30</f>
        <v>0</v>
      </c>
      <c r="BZ6" s="77">
        <f>'[2]Evolutive SFP'!BY30</f>
        <v>0</v>
      </c>
      <c r="CA6" s="77">
        <f>'[2]Evolutive SFP'!BZ30</f>
        <v>0</v>
      </c>
      <c r="CB6" s="77">
        <f>'[2]Evolutive SFP'!CA30</f>
        <v>0</v>
      </c>
      <c r="CC6" s="77">
        <f>'[2]Evolutive SFP'!CB30</f>
        <v>0</v>
      </c>
      <c r="CD6" s="77">
        <f>'[2]Evolutive SFP'!CC30</f>
        <v>0</v>
      </c>
      <c r="CE6" s="77">
        <f>'[2]Evolutive SFP'!CD30</f>
        <v>0</v>
      </c>
      <c r="CF6" s="77">
        <f>'[2]Evolutive SFP'!CE30</f>
        <v>0</v>
      </c>
      <c r="CG6" s="77">
        <f>'[2]Evolutive SFP'!CF30</f>
        <v>0</v>
      </c>
      <c r="CH6" s="77">
        <f>'[2]Evolutive SFP'!CG30</f>
        <v>0</v>
      </c>
      <c r="CI6" s="77">
        <f>'[2]Evolutive SFP'!CH30</f>
        <v>0</v>
      </c>
      <c r="CJ6" s="77">
        <f>'[2]Evolutive SFP'!CI30</f>
        <v>0</v>
      </c>
      <c r="CK6" s="77">
        <f>'[2]Evolutive SFP'!CJ30</f>
        <v>0</v>
      </c>
      <c r="CL6" s="77">
        <f>'[2]Evolutive SFP'!CK30</f>
        <v>0</v>
      </c>
      <c r="CM6" s="77">
        <f>'[2]Evolutive SFP'!CL30</f>
        <v>0</v>
      </c>
      <c r="CN6" s="77">
        <f>'[2]Evolutive SFP'!CM30</f>
        <v>0</v>
      </c>
      <c r="CO6" s="77">
        <f>'[2]Evolutive SFP'!CN30</f>
        <v>0</v>
      </c>
      <c r="CP6" s="77">
        <f>'[2]Evolutive SFP'!CO30</f>
        <v>0</v>
      </c>
      <c r="CQ6" s="77">
        <f>'[2]Evolutive SFP'!CP30</f>
        <v>0</v>
      </c>
      <c r="CR6" s="77">
        <f>'[2]Evolutive SFP'!CQ30</f>
        <v>0</v>
      </c>
      <c r="CS6" s="77">
        <f>'[2]Evolutive SFP'!CR30</f>
        <v>0</v>
      </c>
    </row>
    <row r="7" spans="1:97">
      <c r="A7">
        <v>3.2</v>
      </c>
      <c r="B7" t="s">
        <v>227</v>
      </c>
      <c r="C7" s="77">
        <f>('[2]Evolutive SFP'!B28+'[2]Evolutive SFP'!B29)</f>
        <v>16463305</v>
      </c>
      <c r="D7" s="77">
        <f>('[2]Evolutive SFP'!C28+'[2]Evolutive SFP'!C29)</f>
        <v>580714367</v>
      </c>
      <c r="E7" s="77">
        <f>('[2]Evolutive SFP'!D28+'[2]Evolutive SFP'!D29)</f>
        <v>539421934.90999997</v>
      </c>
      <c r="F7" s="77">
        <f>('[2]Evolutive SFP'!E28+'[2]Evolutive SFP'!E29)</f>
        <v>522633496.07999998</v>
      </c>
      <c r="G7" s="77">
        <f>('[2]Evolutive SFP'!F28+'[2]Evolutive SFP'!F29)</f>
        <v>506675460.85000002</v>
      </c>
      <c r="H7" s="77">
        <f>('[2]Evolutive SFP'!G28+'[2]Evolutive SFP'!G29)</f>
        <v>521613865.37</v>
      </c>
      <c r="I7" s="77">
        <f>('[2]Evolutive SFP'!H28+'[2]Evolutive SFP'!H29)</f>
        <v>508628537.93000001</v>
      </c>
      <c r="J7" s="77">
        <f>('[2]Evolutive SFP'!I28+'[2]Evolutive SFP'!I29)</f>
        <v>515236235.69999999</v>
      </c>
      <c r="K7" s="77">
        <f>('[2]Evolutive SFP'!J28+'[2]Evolutive SFP'!J29)</f>
        <v>506445260.44999999</v>
      </c>
      <c r="L7" s="77">
        <f>('[2]Evolutive SFP'!K28+'[2]Evolutive SFP'!K29)</f>
        <v>485584004.93000001</v>
      </c>
      <c r="M7" s="77">
        <f>('[2]Evolutive SFP'!L28+'[2]Evolutive SFP'!L29)</f>
        <v>472971496.17000002</v>
      </c>
      <c r="N7" s="77">
        <f>('[2]Evolutive SFP'!M28+'[2]Evolutive SFP'!M29)</f>
        <v>868188030.41999996</v>
      </c>
      <c r="O7" s="77">
        <f>('[2]Evolutive SFP'!N28+'[2]Evolutive SFP'!N29)</f>
        <v>728482203.19999993</v>
      </c>
      <c r="P7" s="77">
        <f>('[2]Evolutive SFP'!O28+'[2]Evolutive SFP'!O29)</f>
        <v>645796615.38</v>
      </c>
      <c r="Q7" s="77">
        <f>('[2]Evolutive SFP'!P28+'[2]Evolutive SFP'!P29)</f>
        <v>645797613</v>
      </c>
      <c r="R7" s="77">
        <f>('[2]Evolutive SFP'!Q28+'[2]Evolutive SFP'!Q29)</f>
        <v>616146432.74000001</v>
      </c>
      <c r="S7" s="77">
        <f>('[2]Evolutive SFP'!R28+'[2]Evolutive SFP'!R29)</f>
        <v>608108952.99000001</v>
      </c>
      <c r="T7" s="77">
        <f>('[2]Evolutive SFP'!S28+'[2]Evolutive SFP'!S29)</f>
        <v>590074103.42000008</v>
      </c>
      <c r="U7" s="77">
        <f>('[2]Evolutive SFP'!T28+'[2]Evolutive SFP'!T29)</f>
        <v>591690562.98000002</v>
      </c>
      <c r="V7" s="77">
        <f>('[2]Evolutive SFP'!U28+'[2]Evolutive SFP'!U29)</f>
        <v>546547244.13999999</v>
      </c>
      <c r="W7" s="77">
        <f>('[2]Evolutive SFP'!V28+'[2]Evolutive SFP'!V29)</f>
        <v>544438909.20000005</v>
      </c>
      <c r="X7" s="77">
        <f>('[2]Evolutive SFP'!W28+'[2]Evolutive SFP'!W29)</f>
        <v>546120059.04999995</v>
      </c>
      <c r="Y7" s="77">
        <f>('[2]Evolutive SFP'!X28+'[2]Evolutive SFP'!X29)</f>
        <v>531861593.78999996</v>
      </c>
      <c r="Z7" s="77">
        <f>('[2]Evolutive SFP'!Y28+'[2]Evolutive SFP'!Y29)</f>
        <v>529281686.84000003</v>
      </c>
      <c r="AA7" s="77">
        <f>('[2]Evolutive SFP'!Z28+'[2]Evolutive SFP'!Z29)</f>
        <v>417278555.69999999</v>
      </c>
      <c r="AB7" s="77">
        <f>('[2]Evolutive SFP'!AA28+'[2]Evolutive SFP'!AA29)</f>
        <v>420727102.92999995</v>
      </c>
      <c r="AC7" s="77">
        <f>('[2]Evolutive SFP'!AB28+'[2]Evolutive SFP'!AB29)</f>
        <v>417072401.67999995</v>
      </c>
      <c r="AD7" s="77">
        <f>('[2]Evolutive SFP'!AC28+'[2]Evolutive SFP'!AC29)</f>
        <v>608281937</v>
      </c>
      <c r="AE7" s="77">
        <f>('[2]Evolutive SFP'!AD28+'[2]Evolutive SFP'!AD29)</f>
        <v>568183853.01999998</v>
      </c>
      <c r="AF7" s="77">
        <f>('[2]Evolutive SFP'!AE28+'[2]Evolutive SFP'!AE29)</f>
        <v>558697458.02999997</v>
      </c>
      <c r="AG7" s="77">
        <f>('[2]Evolutive SFP'!AF28+'[2]Evolutive SFP'!AF29)</f>
        <v>551764491.86000001</v>
      </c>
      <c r="AH7" s="77">
        <f>('[2]Evolutive SFP'!AG28+'[2]Evolutive SFP'!AG29)</f>
        <v>572290575.04999995</v>
      </c>
      <c r="AI7" s="77">
        <f>('[2]Evolutive SFP'!AH28+'[2]Evolutive SFP'!AH29)</f>
        <v>570421994.66999996</v>
      </c>
      <c r="AJ7" s="77">
        <f>('[2]Evolutive SFP'!AI28+'[2]Evolutive SFP'!AI29)</f>
        <v>580433503.12</v>
      </c>
      <c r="AK7" s="77">
        <f>('[2]Evolutive SFP'!AJ28+'[2]Evolutive SFP'!AJ29)</f>
        <v>1130092100.6199999</v>
      </c>
      <c r="AL7" s="77">
        <f>('[2]Evolutive SFP'!AK28+'[2]Evolutive SFP'!AK29)</f>
        <v>554891968.40999997</v>
      </c>
      <c r="AM7" s="77">
        <f>('[2]Evolutive SFP'!AL28+'[2]Evolutive SFP'!AL29)</f>
        <v>774258370.68000007</v>
      </c>
      <c r="AN7" s="77">
        <f>('[2]Evolutive SFP'!AM28+'[2]Evolutive SFP'!AM29)</f>
        <v>688548403.46000004</v>
      </c>
      <c r="AO7" s="77">
        <f>('[2]Evolutive SFP'!AN28+'[2]Evolutive SFP'!AN29)</f>
        <v>647093539.78999996</v>
      </c>
      <c r="AP7" s="77">
        <f>('[2]Evolutive SFP'!AO28+'[2]Evolutive SFP'!AO29)</f>
        <v>647093541</v>
      </c>
      <c r="AQ7" s="77">
        <f>('[2]Evolutive SFP'!AP28+'[2]Evolutive SFP'!AP29)</f>
        <v>625476966.22000003</v>
      </c>
      <c r="AR7" s="77">
        <f>('[2]Evolutive SFP'!AQ28+'[2]Evolutive SFP'!AQ29)</f>
        <v>624817015.54999995</v>
      </c>
      <c r="AS7" s="77">
        <f>('[2]Evolutive SFP'!AR28+'[2]Evolutive SFP'!AR29)</f>
        <v>631764356.57999992</v>
      </c>
      <c r="AT7" s="77">
        <f>('[2]Evolutive SFP'!AS28+'[2]Evolutive SFP'!AS29)</f>
        <v>633228382.99000001</v>
      </c>
      <c r="AU7" s="77">
        <f>('[2]Evolutive SFP'!AT28+'[2]Evolutive SFP'!AT29)</f>
        <v>619007794.70000005</v>
      </c>
      <c r="AV7" s="77">
        <f>('[2]Evolutive SFP'!AU28+'[2]Evolutive SFP'!AU29)</f>
        <v>617859617.33999991</v>
      </c>
      <c r="AW7" s="77">
        <f>('[2]Evolutive SFP'!AV28+'[2]Evolutive SFP'!AV29)</f>
        <v>615701893.78999996</v>
      </c>
      <c r="AX7" s="77">
        <f>('[2]Evolutive SFP'!AW28+'[2]Evolutive SFP'!AW29)</f>
        <v>587281427.00999999</v>
      </c>
      <c r="AY7" s="77">
        <f>('[2]Evolutive SFP'!AX28+'[2]Evolutive SFP'!AX29)</f>
        <v>576432272.06999993</v>
      </c>
      <c r="AZ7" s="77">
        <f>('[2]Evolutive SFP'!AY28+'[2]Evolutive SFP'!AY29)</f>
        <v>650449125.25999999</v>
      </c>
      <c r="BA7" s="77">
        <f>('[2]Evolutive SFP'!AZ28+'[2]Evolutive SFP'!AZ29)</f>
        <v>654796276.63</v>
      </c>
      <c r="BB7" s="77">
        <f>('[2]Evolutive SFP'!BA28+'[2]Evolutive SFP'!BA29)</f>
        <v>617731694.89999998</v>
      </c>
      <c r="BC7" s="77">
        <f>('[2]Evolutive SFP'!BB28+'[2]Evolutive SFP'!BB29)</f>
        <v>617731694.89999998</v>
      </c>
      <c r="BD7" s="77">
        <f>('[2]Evolutive SFP'!BC28+'[2]Evolutive SFP'!BC29)</f>
        <v>597326590.95000005</v>
      </c>
      <c r="BE7" s="77">
        <f>('[2]Evolutive SFP'!BD28+'[2]Evolutive SFP'!BD29)</f>
        <v>582075613.10000002</v>
      </c>
      <c r="BF7" s="77">
        <f>('[2]Evolutive SFP'!BE28+'[2]Evolutive SFP'!BE29)</f>
        <v>575739080.59000003</v>
      </c>
      <c r="BG7" s="77">
        <f>('[2]Evolutive SFP'!BF28+'[2]Evolutive SFP'!BF29)</f>
        <v>601656832.69000006</v>
      </c>
      <c r="BH7" s="77">
        <f>('[2]Evolutive SFP'!BG28+'[2]Evolutive SFP'!BG29)</f>
        <v>594910145.99000001</v>
      </c>
      <c r="BI7" s="77">
        <f>('[2]Evolutive SFP'!BH28+'[2]Evolutive SFP'!BH29)</f>
        <v>575476507.80999994</v>
      </c>
      <c r="BJ7" s="77">
        <f>('[2]Evolutive SFP'!BI28+'[2]Evolutive SFP'!BI29)</f>
        <v>776968009.75</v>
      </c>
      <c r="BK7" s="77">
        <f>('[2]Evolutive SFP'!BJ28+'[2]Evolutive SFP'!BJ29)</f>
        <v>722000258.15999997</v>
      </c>
      <c r="BL7" s="77">
        <f>('[2]Evolutive SFP'!BK28+'[2]Evolutive SFP'!BK29)</f>
        <v>676776538.43999994</v>
      </c>
      <c r="BM7" s="119">
        <f>('[2]Evolutive SFP'!BL28+'[2]Evolutive SFP'!BL29)</f>
        <v>654928609.74000001</v>
      </c>
      <c r="BN7" s="77">
        <f>('[2]Evolutive SFP'!BM28+'[2]Evolutive SFP'!BM29)</f>
        <v>635050925.77999997</v>
      </c>
      <c r="BO7" s="77">
        <f>('[2]Evolutive SFP'!BN28+'[2]Evolutive SFP'!BN29)</f>
        <v>606733303.30999994</v>
      </c>
      <c r="BP7" s="77">
        <f>('[2]Evolutive SFP'!BO28+'[2]Evolutive SFP'!BO29)</f>
        <v>0</v>
      </c>
      <c r="BQ7" s="77">
        <f>('[2]Evolutive SFP'!BP28+'[2]Evolutive SFP'!BP29)</f>
        <v>0</v>
      </c>
      <c r="BR7" s="77">
        <f>('[2]Evolutive SFP'!BQ28+'[2]Evolutive SFP'!BQ29)</f>
        <v>0</v>
      </c>
      <c r="BS7" s="77">
        <f>('[2]Evolutive SFP'!BR28+'[2]Evolutive SFP'!BR29)</f>
        <v>0</v>
      </c>
      <c r="BT7" s="77">
        <f>('[2]Evolutive SFP'!BS28+'[2]Evolutive SFP'!BS29)</f>
        <v>0</v>
      </c>
      <c r="BU7" s="77">
        <f>('[2]Evolutive SFP'!BT28+'[2]Evolutive SFP'!BT29)</f>
        <v>0</v>
      </c>
      <c r="BV7" s="77">
        <f>('[2]Evolutive SFP'!BU28+'[2]Evolutive SFP'!BU29)</f>
        <v>0</v>
      </c>
      <c r="BW7" s="77">
        <f>('[2]Evolutive SFP'!BV28+'[2]Evolutive SFP'!BV29)</f>
        <v>0</v>
      </c>
      <c r="BX7" s="77">
        <f>('[2]Evolutive SFP'!BW28+'[2]Evolutive SFP'!BW29)</f>
        <v>0</v>
      </c>
      <c r="BY7" s="77">
        <f>('[2]Evolutive SFP'!BX28+'[2]Evolutive SFP'!BX29)</f>
        <v>0</v>
      </c>
      <c r="BZ7" s="77">
        <f>('[2]Evolutive SFP'!BY28+'[2]Evolutive SFP'!BY29)</f>
        <v>0</v>
      </c>
      <c r="CA7" s="77">
        <f>('[2]Evolutive SFP'!BZ28+'[2]Evolutive SFP'!BZ29)</f>
        <v>0</v>
      </c>
      <c r="CB7" s="77">
        <f>('[2]Evolutive SFP'!CA28+'[2]Evolutive SFP'!CA29)</f>
        <v>0</v>
      </c>
      <c r="CC7" s="77">
        <f>('[2]Evolutive SFP'!CB28+'[2]Evolutive SFP'!CB29)</f>
        <v>0</v>
      </c>
      <c r="CD7" s="77">
        <f>('[2]Evolutive SFP'!CC28+'[2]Evolutive SFP'!CC29)</f>
        <v>0</v>
      </c>
      <c r="CE7" s="77">
        <f>('[2]Evolutive SFP'!CD28+'[2]Evolutive SFP'!CD29)</f>
        <v>0</v>
      </c>
      <c r="CF7" s="77">
        <f>('[2]Evolutive SFP'!CE28+'[2]Evolutive SFP'!CE29)</f>
        <v>0</v>
      </c>
      <c r="CG7" s="77">
        <f>('[2]Evolutive SFP'!CF28+'[2]Evolutive SFP'!CF29)</f>
        <v>0</v>
      </c>
      <c r="CH7" s="77">
        <f>('[2]Evolutive SFP'!CG28+'[2]Evolutive SFP'!CG29)</f>
        <v>0</v>
      </c>
      <c r="CI7" s="77">
        <f>('[2]Evolutive SFP'!CH28+'[2]Evolutive SFP'!CH29)</f>
        <v>0</v>
      </c>
      <c r="CJ7" s="77">
        <f>('[2]Evolutive SFP'!CI28+'[2]Evolutive SFP'!CI29)</f>
        <v>0</v>
      </c>
      <c r="CK7" s="77">
        <f>('[2]Evolutive SFP'!CJ28+'[2]Evolutive SFP'!CJ29)</f>
        <v>0</v>
      </c>
      <c r="CL7" s="77">
        <f>('[2]Evolutive SFP'!CK28+'[2]Evolutive SFP'!CK29)</f>
        <v>0</v>
      </c>
      <c r="CM7" s="77">
        <f>('[2]Evolutive SFP'!CL28+'[2]Evolutive SFP'!CL29)</f>
        <v>0</v>
      </c>
      <c r="CN7" s="77">
        <f>('[2]Evolutive SFP'!CM28+'[2]Evolutive SFP'!CM29)</f>
        <v>0</v>
      </c>
      <c r="CO7" s="77">
        <f>('[2]Evolutive SFP'!CN28+'[2]Evolutive SFP'!CN29)</f>
        <v>0</v>
      </c>
      <c r="CP7" s="77">
        <f>('[2]Evolutive SFP'!CO28+'[2]Evolutive SFP'!CO29)</f>
        <v>0</v>
      </c>
      <c r="CQ7" s="77">
        <f>('[2]Evolutive SFP'!CP28+'[2]Evolutive SFP'!CP29)</f>
        <v>0</v>
      </c>
      <c r="CR7" s="77">
        <f>('[2]Evolutive SFP'!CQ28+'[2]Evolutive SFP'!CQ29)</f>
        <v>0</v>
      </c>
      <c r="CS7" s="77">
        <f>('[2]Evolutive SFP'!CR28+'[2]Evolutive SFP'!CR29)</f>
        <v>0</v>
      </c>
    </row>
    <row r="8" spans="1:97">
      <c r="A8">
        <v>4</v>
      </c>
      <c r="B8" t="s">
        <v>157</v>
      </c>
      <c r="C8" s="77">
        <f>'[2]Evolutive SFP'!B37</f>
        <v>2291669</v>
      </c>
      <c r="D8" s="77">
        <f>'[2]Evolutive SFP'!C37</f>
        <v>0</v>
      </c>
      <c r="E8" s="77">
        <f>'[2]Evolutive SFP'!D37</f>
        <v>0</v>
      </c>
      <c r="F8" s="77">
        <f>'[2]Evolutive SFP'!E37</f>
        <v>0</v>
      </c>
      <c r="G8" s="77">
        <f>'[2]Evolutive SFP'!F37</f>
        <v>0</v>
      </c>
      <c r="H8" s="77">
        <f>'[2]Evolutive SFP'!G37</f>
        <v>50000000</v>
      </c>
      <c r="I8" s="77">
        <f>'[2]Evolutive SFP'!H37</f>
        <v>50000000</v>
      </c>
      <c r="J8" s="77">
        <f>'[2]Evolutive SFP'!I37</f>
        <v>50000000</v>
      </c>
      <c r="K8" s="77">
        <f>'[2]Evolutive SFP'!J37</f>
        <v>50000000</v>
      </c>
      <c r="L8" s="77">
        <f>'[2]Evolutive SFP'!K37</f>
        <v>50000000</v>
      </c>
      <c r="M8" s="77">
        <f>'[2]Evolutive SFP'!L37</f>
        <v>50000000</v>
      </c>
      <c r="N8" s="77">
        <f>'[2]Evolutive SFP'!M37</f>
        <v>0</v>
      </c>
      <c r="O8" s="77">
        <f>'[2]Evolutive SFP'!N37</f>
        <v>0</v>
      </c>
      <c r="P8" s="77">
        <f>'[2]Evolutive SFP'!O37</f>
        <v>0</v>
      </c>
      <c r="Q8" s="77">
        <f>'[2]Evolutive SFP'!P37</f>
        <v>0</v>
      </c>
      <c r="R8" s="77">
        <f>'[2]Evolutive SFP'!Q37</f>
        <v>0</v>
      </c>
      <c r="S8" s="77">
        <f>'[2]Evolutive SFP'!R37</f>
        <v>0</v>
      </c>
      <c r="T8" s="77">
        <f>'[2]Evolutive SFP'!S37</f>
        <v>0</v>
      </c>
      <c r="U8" s="77">
        <f>'[2]Evolutive SFP'!T37</f>
        <v>0</v>
      </c>
      <c r="V8" s="77">
        <f>'[2]Evolutive SFP'!U37</f>
        <v>0</v>
      </c>
      <c r="W8" s="77">
        <f>'[2]Evolutive SFP'!V37</f>
        <v>0</v>
      </c>
      <c r="X8" s="77">
        <f>'[2]Evolutive SFP'!W37</f>
        <v>0</v>
      </c>
      <c r="Y8" s="77">
        <f>'[2]Evolutive SFP'!X37</f>
        <v>0</v>
      </c>
      <c r="Z8" s="77">
        <f>'[2]Evolutive SFP'!Y37</f>
        <v>0</v>
      </c>
      <c r="AA8" s="77">
        <f>'[2]Evolutive SFP'!Z37</f>
        <v>1108105286.6400001</v>
      </c>
      <c r="AB8" s="77">
        <f>'[2]Evolutive SFP'!AA37</f>
        <v>1020903474.34</v>
      </c>
      <c r="AC8" s="77">
        <f>'[2]Evolutive SFP'!AB37</f>
        <v>963955519.12</v>
      </c>
      <c r="AD8" s="77">
        <f>'[2]Evolutive SFP'!AC37</f>
        <v>0</v>
      </c>
      <c r="AE8" s="77">
        <f>'[2]Evolutive SFP'!AD37</f>
        <v>0</v>
      </c>
      <c r="AF8" s="77">
        <f>'[2]Evolutive SFP'!AE37</f>
        <v>0</v>
      </c>
      <c r="AG8" s="77">
        <f>'[2]Evolutive SFP'!AF37</f>
        <v>0</v>
      </c>
      <c r="AH8" s="77">
        <f>'[2]Evolutive SFP'!AG37</f>
        <v>0</v>
      </c>
      <c r="AI8" s="77">
        <f>'[2]Evolutive SFP'!AH37</f>
        <v>0</v>
      </c>
      <c r="AJ8" s="77">
        <f>'[2]Evolutive SFP'!AI37</f>
        <v>0</v>
      </c>
      <c r="AK8" s="77">
        <f>'[2]Evolutive SFP'!AJ37</f>
        <v>0</v>
      </c>
      <c r="AL8" s="77">
        <f>'[2]Evolutive SFP'!AK37</f>
        <v>0</v>
      </c>
      <c r="AM8" s="77">
        <f>'[2]Evolutive SFP'!AL37</f>
        <v>0</v>
      </c>
      <c r="AN8" s="77">
        <f>'[2]Evolutive SFP'!AM37</f>
        <v>0</v>
      </c>
      <c r="AO8" s="77">
        <f>'[2]Evolutive SFP'!AN37</f>
        <v>0</v>
      </c>
      <c r="AP8" s="77">
        <f>'[2]Evolutive SFP'!AO37</f>
        <v>0</v>
      </c>
      <c r="AQ8" s="77">
        <f>'[2]Evolutive SFP'!AP37</f>
        <v>0</v>
      </c>
      <c r="AR8" s="77">
        <f>'[2]Evolutive SFP'!AQ37</f>
        <v>0</v>
      </c>
      <c r="AS8" s="77">
        <f>'[2]Evolutive SFP'!AR37</f>
        <v>0</v>
      </c>
      <c r="AT8" s="77">
        <f>'[2]Evolutive SFP'!AS37</f>
        <v>0</v>
      </c>
      <c r="AU8" s="77">
        <f>'[2]Evolutive SFP'!AT37</f>
        <v>0</v>
      </c>
      <c r="AV8" s="77">
        <f>'[2]Evolutive SFP'!AU37</f>
        <v>0</v>
      </c>
      <c r="AW8" s="77">
        <f>'[2]Evolutive SFP'!AV37</f>
        <v>0</v>
      </c>
      <c r="AX8" s="77">
        <f>'[2]Evolutive SFP'!AW37</f>
        <v>0</v>
      </c>
      <c r="AY8" s="77">
        <f>'[2]Evolutive SFP'!AX37</f>
        <v>0</v>
      </c>
      <c r="AZ8" s="77">
        <f>'[2]Evolutive SFP'!AY37</f>
        <v>0</v>
      </c>
      <c r="BA8" s="77">
        <f>'[2]Evolutive SFP'!AZ37</f>
        <v>0</v>
      </c>
      <c r="BB8" s="77">
        <f>'[2]Evolutive SFP'!BA37</f>
        <v>0</v>
      </c>
      <c r="BC8" s="77">
        <f>'[2]Evolutive SFP'!BB37</f>
        <v>0</v>
      </c>
      <c r="BD8" s="77">
        <f>'[2]Evolutive SFP'!BC37</f>
        <v>0</v>
      </c>
      <c r="BE8" s="77">
        <f>'[2]Evolutive SFP'!BD37</f>
        <v>0</v>
      </c>
      <c r="BF8" s="77">
        <f>'[2]Evolutive SFP'!BE37</f>
        <v>0</v>
      </c>
      <c r="BG8" s="77">
        <f>'[2]Evolutive SFP'!BF37</f>
        <v>0</v>
      </c>
      <c r="BH8" s="77">
        <f>'[2]Evolutive SFP'!BG37</f>
        <v>0</v>
      </c>
      <c r="BI8" s="77">
        <f>'[2]Evolutive SFP'!BH37</f>
        <v>0</v>
      </c>
      <c r="BJ8" s="77">
        <f>'[2]Evolutive SFP'!BI37</f>
        <v>0</v>
      </c>
      <c r="BK8" s="77">
        <f>'[2]Evolutive SFP'!BJ37</f>
        <v>0</v>
      </c>
      <c r="BL8" s="77">
        <f>'[2]Evolutive SFP'!BK37</f>
        <v>0</v>
      </c>
      <c r="BM8" s="119">
        <f>'[2]Evolutive SFP'!BL37</f>
        <v>0</v>
      </c>
      <c r="BN8" s="77">
        <f>'[2]Evolutive SFP'!BM37</f>
        <v>0</v>
      </c>
      <c r="BO8" s="77">
        <f>'[2]Evolutive SFP'!BN37</f>
        <v>0</v>
      </c>
      <c r="BP8" s="77">
        <f>'[2]Evolutive SFP'!BO37</f>
        <v>0</v>
      </c>
      <c r="BQ8" s="77">
        <f>'[2]Evolutive SFP'!BP37</f>
        <v>0</v>
      </c>
      <c r="BR8" s="77">
        <f>'[2]Evolutive SFP'!BQ37</f>
        <v>0</v>
      </c>
      <c r="BS8" s="77">
        <f>'[2]Evolutive SFP'!BR37</f>
        <v>0</v>
      </c>
      <c r="BT8" s="77">
        <f>'[2]Evolutive SFP'!BS37</f>
        <v>0</v>
      </c>
      <c r="BU8" s="77">
        <f>'[2]Evolutive SFP'!BT37</f>
        <v>0</v>
      </c>
      <c r="BV8" s="77">
        <f>'[2]Evolutive SFP'!BU37</f>
        <v>0</v>
      </c>
      <c r="BW8" s="77">
        <f>'[2]Evolutive SFP'!BV37</f>
        <v>0</v>
      </c>
      <c r="BX8" s="77">
        <f>'[2]Evolutive SFP'!BW37</f>
        <v>0</v>
      </c>
      <c r="BY8" s="77">
        <f>'[2]Evolutive SFP'!BX37</f>
        <v>0</v>
      </c>
      <c r="BZ8" s="77">
        <f>'[2]Evolutive SFP'!BY37</f>
        <v>0</v>
      </c>
      <c r="CA8" s="77">
        <f>'[2]Evolutive SFP'!BZ37</f>
        <v>0</v>
      </c>
      <c r="CB8" s="77">
        <f>'[2]Evolutive SFP'!CA37</f>
        <v>0</v>
      </c>
      <c r="CC8" s="77">
        <f>'[2]Evolutive SFP'!CB37</f>
        <v>0</v>
      </c>
      <c r="CD8" s="77">
        <f>'[2]Evolutive SFP'!CC37</f>
        <v>0</v>
      </c>
      <c r="CE8" s="77">
        <f>'[2]Evolutive SFP'!CD37</f>
        <v>0</v>
      </c>
      <c r="CF8" s="77">
        <f>'[2]Evolutive SFP'!CE37</f>
        <v>0</v>
      </c>
      <c r="CG8" s="77">
        <f>'[2]Evolutive SFP'!CF37</f>
        <v>0</v>
      </c>
      <c r="CH8" s="77">
        <f>'[2]Evolutive SFP'!CG37</f>
        <v>0</v>
      </c>
      <c r="CI8" s="77">
        <f>'[2]Evolutive SFP'!CH37</f>
        <v>0</v>
      </c>
      <c r="CJ8" s="77">
        <f>'[2]Evolutive SFP'!CI37</f>
        <v>0</v>
      </c>
      <c r="CK8" s="77">
        <f>'[2]Evolutive SFP'!CJ37</f>
        <v>0</v>
      </c>
      <c r="CL8" s="77">
        <f>'[2]Evolutive SFP'!CK37</f>
        <v>0</v>
      </c>
      <c r="CM8" s="77">
        <f>'[2]Evolutive SFP'!CL37</f>
        <v>0</v>
      </c>
      <c r="CN8" s="77">
        <f>'[2]Evolutive SFP'!CM37</f>
        <v>0</v>
      </c>
      <c r="CO8" s="77">
        <f>'[2]Evolutive SFP'!CN37</f>
        <v>0</v>
      </c>
      <c r="CP8" s="77">
        <f>'[2]Evolutive SFP'!CO37</f>
        <v>0</v>
      </c>
      <c r="CQ8" s="77">
        <f>'[2]Evolutive SFP'!CP37</f>
        <v>0</v>
      </c>
      <c r="CR8" s="77">
        <f>'[2]Evolutive SFP'!CQ37</f>
        <v>0</v>
      </c>
      <c r="CS8" s="77">
        <f>'[2]Evolutive SFP'!CR37</f>
        <v>0</v>
      </c>
    </row>
    <row r="9" spans="1:97"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119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</row>
    <row r="10" spans="1:97">
      <c r="A10">
        <v>5</v>
      </c>
      <c r="B10" t="s">
        <v>228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119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</row>
    <row r="11" spans="1:97">
      <c r="A11">
        <v>5.0999999999999996</v>
      </c>
      <c r="B11" t="s">
        <v>59</v>
      </c>
      <c r="C11" s="77">
        <f t="shared" ref="C11" si="0">C14-C22-C25</f>
        <v>14446887</v>
      </c>
      <c r="D11" s="77">
        <f t="shared" ref="D11:BO11" si="1">D14-D22-D25</f>
        <v>206304838</v>
      </c>
      <c r="E11" s="77">
        <f t="shared" si="1"/>
        <v>179624935.51999998</v>
      </c>
      <c r="F11" s="77">
        <f t="shared" si="1"/>
        <v>172973306.14999998</v>
      </c>
      <c r="G11" s="77">
        <f t="shared" si="1"/>
        <v>174469854.73999998</v>
      </c>
      <c r="H11" s="77">
        <f t="shared" si="1"/>
        <v>173639651.39999998</v>
      </c>
      <c r="I11" s="77">
        <f t="shared" si="1"/>
        <v>172534431.69999999</v>
      </c>
      <c r="J11" s="77">
        <f t="shared" si="1"/>
        <v>173378820.76999998</v>
      </c>
      <c r="K11" s="77">
        <f t="shared" si="1"/>
        <v>174110012.29999998</v>
      </c>
      <c r="L11" s="77">
        <f t="shared" si="1"/>
        <v>180454741.33999997</v>
      </c>
      <c r="M11" s="77">
        <f t="shared" si="1"/>
        <v>180776037.26999998</v>
      </c>
      <c r="N11" s="77">
        <f t="shared" si="1"/>
        <v>192620055.01999998</v>
      </c>
      <c r="O11" s="77">
        <f t="shared" si="1"/>
        <v>-94169912.560000002</v>
      </c>
      <c r="P11" s="77">
        <f t="shared" si="1"/>
        <v>-135544628.93000004</v>
      </c>
      <c r="Q11" s="77">
        <f t="shared" si="1"/>
        <v>202395897</v>
      </c>
      <c r="R11" s="77">
        <f t="shared" si="1"/>
        <v>19539563.939999998</v>
      </c>
      <c r="S11" s="77">
        <f t="shared" si="1"/>
        <v>51340390.059999973</v>
      </c>
      <c r="T11" s="77">
        <f t="shared" si="1"/>
        <v>53133512.019999981</v>
      </c>
      <c r="U11" s="77">
        <f t="shared" si="1"/>
        <v>55240001.919999987</v>
      </c>
      <c r="V11" s="77">
        <f t="shared" si="1"/>
        <v>49061973.379999965</v>
      </c>
      <c r="W11" s="77">
        <f t="shared" si="1"/>
        <v>33391740.219999969</v>
      </c>
      <c r="X11" s="77">
        <f t="shared" si="1"/>
        <v>31209190.969999969</v>
      </c>
      <c r="Y11" s="77">
        <f t="shared" si="1"/>
        <v>35738180.939999968</v>
      </c>
      <c r="Z11" s="77">
        <f t="shared" si="1"/>
        <v>37345463.519999981</v>
      </c>
      <c r="AA11" s="77">
        <f t="shared" si="1"/>
        <v>-446532355.96000004</v>
      </c>
      <c r="AB11" s="77">
        <f t="shared" si="1"/>
        <v>-480708095.88999999</v>
      </c>
      <c r="AC11" s="77">
        <f t="shared" si="1"/>
        <v>-489164190.47000003</v>
      </c>
      <c r="AD11" s="77">
        <f t="shared" si="1"/>
        <v>27638255</v>
      </c>
      <c r="AE11" s="77">
        <f t="shared" si="1"/>
        <v>16239144.270000041</v>
      </c>
      <c r="AF11" s="77">
        <f t="shared" si="1"/>
        <v>98570996.570000023</v>
      </c>
      <c r="AG11" s="77">
        <f t="shared" si="1"/>
        <v>47994744.119999975</v>
      </c>
      <c r="AH11" s="77">
        <f t="shared" si="1"/>
        <v>30437896.869999975</v>
      </c>
      <c r="AI11" s="77">
        <f t="shared" si="1"/>
        <v>-18858424.449999988</v>
      </c>
      <c r="AJ11" s="77">
        <f t="shared" si="1"/>
        <v>-66561784.169999957</v>
      </c>
      <c r="AK11" s="77">
        <f t="shared" si="1"/>
        <v>-28681442.799999952</v>
      </c>
      <c r="AL11" s="77">
        <f t="shared" si="1"/>
        <v>-66253752.629999995</v>
      </c>
      <c r="AM11" s="77">
        <f t="shared" si="1"/>
        <v>-27731433.590000033</v>
      </c>
      <c r="AN11" s="77">
        <f t="shared" si="1"/>
        <v>-68168310.139999986</v>
      </c>
      <c r="AO11" s="77">
        <f t="shared" si="1"/>
        <v>-162299486.06999999</v>
      </c>
      <c r="AP11" s="77">
        <f t="shared" si="1"/>
        <v>-121425418</v>
      </c>
      <c r="AQ11" s="77">
        <f t="shared" si="1"/>
        <v>-108891189.13999993</v>
      </c>
      <c r="AR11" s="77">
        <f t="shared" si="1"/>
        <v>-124249341.00999993</v>
      </c>
      <c r="AS11" s="77">
        <f t="shared" si="1"/>
        <v>-125831200.70999998</v>
      </c>
      <c r="AT11" s="77">
        <f t="shared" si="1"/>
        <v>-94107032.099999964</v>
      </c>
      <c r="AU11" s="77">
        <f t="shared" si="1"/>
        <v>-81054987.24999994</v>
      </c>
      <c r="AV11" s="77">
        <f t="shared" si="1"/>
        <v>-80206470.399999976</v>
      </c>
      <c r="AW11" s="77">
        <f t="shared" si="1"/>
        <v>-28730983.50999999</v>
      </c>
      <c r="AX11" s="77">
        <f t="shared" si="1"/>
        <v>-77169467.419999957</v>
      </c>
      <c r="AY11" s="77">
        <f t="shared" si="1"/>
        <v>-55825146.579999983</v>
      </c>
      <c r="AZ11" s="77">
        <f t="shared" si="1"/>
        <v>23955741.120000064</v>
      </c>
      <c r="BA11" s="77">
        <f t="shared" si="1"/>
        <v>27591431.180000007</v>
      </c>
      <c r="BB11" s="77">
        <f t="shared" si="1"/>
        <v>285465369.70000005</v>
      </c>
      <c r="BC11" s="77">
        <f t="shared" si="1"/>
        <v>273877880.72000003</v>
      </c>
      <c r="BD11" s="77">
        <f t="shared" si="1"/>
        <v>287159986.99000001</v>
      </c>
      <c r="BE11" s="77">
        <f t="shared" si="1"/>
        <v>285650982.45000005</v>
      </c>
      <c r="BF11" s="77">
        <f t="shared" si="1"/>
        <v>273213846.20000005</v>
      </c>
      <c r="BG11" s="77">
        <f t="shared" si="1"/>
        <v>275860056.95000005</v>
      </c>
      <c r="BH11" s="77">
        <f t="shared" si="1"/>
        <v>278262022.30000001</v>
      </c>
      <c r="BI11" s="77">
        <f t="shared" si="1"/>
        <v>279772058.11000001</v>
      </c>
      <c r="BJ11" s="77">
        <f t="shared" si="1"/>
        <v>285737272.07000005</v>
      </c>
      <c r="BK11" s="77">
        <f t="shared" si="1"/>
        <v>286763039.38999999</v>
      </c>
      <c r="BL11" s="77">
        <f t="shared" si="1"/>
        <v>288070528.10000002</v>
      </c>
      <c r="BM11" s="119">
        <f t="shared" si="1"/>
        <v>291729358.92999995</v>
      </c>
      <c r="BN11" s="77">
        <f t="shared" si="1"/>
        <v>294022825.45000005</v>
      </c>
      <c r="BO11" s="77">
        <f t="shared" si="1"/>
        <v>288741088.78000003</v>
      </c>
      <c r="BP11" s="77">
        <f t="shared" ref="BP11:CS11" si="2">BP14-BP22-BP25</f>
        <v>0</v>
      </c>
      <c r="BQ11" s="77">
        <f t="shared" si="2"/>
        <v>0</v>
      </c>
      <c r="BR11" s="77">
        <f t="shared" si="2"/>
        <v>0</v>
      </c>
      <c r="BS11" s="77">
        <f t="shared" si="2"/>
        <v>0</v>
      </c>
      <c r="BT11" s="77">
        <f t="shared" si="2"/>
        <v>0</v>
      </c>
      <c r="BU11" s="77">
        <f t="shared" si="2"/>
        <v>0</v>
      </c>
      <c r="BV11" s="77">
        <f t="shared" si="2"/>
        <v>0</v>
      </c>
      <c r="BW11" s="77">
        <f t="shared" si="2"/>
        <v>0</v>
      </c>
      <c r="BX11" s="77">
        <f t="shared" si="2"/>
        <v>0</v>
      </c>
      <c r="BY11" s="77">
        <f t="shared" si="2"/>
        <v>0</v>
      </c>
      <c r="BZ11" s="77">
        <f t="shared" si="2"/>
        <v>0</v>
      </c>
      <c r="CA11" s="77">
        <f t="shared" si="2"/>
        <v>0</v>
      </c>
      <c r="CB11" s="77">
        <f t="shared" si="2"/>
        <v>0</v>
      </c>
      <c r="CC11" s="77">
        <f t="shared" si="2"/>
        <v>0</v>
      </c>
      <c r="CD11" s="77">
        <f t="shared" si="2"/>
        <v>0</v>
      </c>
      <c r="CE11" s="77">
        <f t="shared" si="2"/>
        <v>0</v>
      </c>
      <c r="CF11" s="77">
        <f t="shared" si="2"/>
        <v>0</v>
      </c>
      <c r="CG11" s="77">
        <f t="shared" si="2"/>
        <v>0</v>
      </c>
      <c r="CH11" s="77">
        <f t="shared" si="2"/>
        <v>0</v>
      </c>
      <c r="CI11" s="77">
        <f t="shared" si="2"/>
        <v>0</v>
      </c>
      <c r="CJ11" s="77">
        <f t="shared" si="2"/>
        <v>0</v>
      </c>
      <c r="CK11" s="77">
        <f t="shared" si="2"/>
        <v>0</v>
      </c>
      <c r="CL11" s="77">
        <f t="shared" si="2"/>
        <v>0</v>
      </c>
      <c r="CM11" s="77">
        <f t="shared" si="2"/>
        <v>0</v>
      </c>
      <c r="CN11" s="77">
        <f t="shared" si="2"/>
        <v>0</v>
      </c>
      <c r="CO11" s="77">
        <f t="shared" si="2"/>
        <v>0</v>
      </c>
      <c r="CP11" s="77">
        <f t="shared" si="2"/>
        <v>0</v>
      </c>
      <c r="CQ11" s="77">
        <f t="shared" si="2"/>
        <v>0</v>
      </c>
      <c r="CR11" s="77">
        <f t="shared" si="2"/>
        <v>0</v>
      </c>
      <c r="CS11" s="77">
        <f t="shared" si="2"/>
        <v>0</v>
      </c>
    </row>
    <row r="12" spans="1:97">
      <c r="A12">
        <v>5.2</v>
      </c>
      <c r="B12" t="s">
        <v>229</v>
      </c>
      <c r="C12" s="77">
        <f>C11-C15</f>
        <v>3952190</v>
      </c>
      <c r="D12" s="77">
        <f t="shared" ref="D12:BO12" si="3">D11-D15</f>
        <v>65639391</v>
      </c>
      <c r="E12" s="77">
        <f t="shared" si="3"/>
        <v>38370553.769999981</v>
      </c>
      <c r="F12" s="77">
        <f t="shared" si="3"/>
        <v>31174581.439999968</v>
      </c>
      <c r="G12" s="77">
        <f t="shared" si="3"/>
        <v>32057095.339999974</v>
      </c>
      <c r="H12" s="77">
        <f t="shared" si="3"/>
        <v>30642036.779999971</v>
      </c>
      <c r="I12" s="77">
        <f t="shared" si="3"/>
        <v>28886699.459999979</v>
      </c>
      <c r="J12" s="77">
        <f t="shared" si="3"/>
        <v>29134082.73999998</v>
      </c>
      <c r="K12" s="77">
        <f t="shared" si="3"/>
        <v>29367040.589999974</v>
      </c>
      <c r="L12" s="77">
        <f t="shared" si="3"/>
        <v>35160438.639999986</v>
      </c>
      <c r="M12" s="77">
        <f t="shared" si="3"/>
        <v>34416279.799999982</v>
      </c>
      <c r="N12" s="77">
        <f t="shared" si="3"/>
        <v>38360004.309999973</v>
      </c>
      <c r="O12" s="77">
        <f t="shared" si="3"/>
        <v>-249668364.55000001</v>
      </c>
      <c r="P12" s="77">
        <f t="shared" si="3"/>
        <v>-292244800.69000006</v>
      </c>
      <c r="Q12" s="77">
        <f t="shared" si="3"/>
        <v>45695725</v>
      </c>
      <c r="R12" s="77">
        <f t="shared" si="3"/>
        <v>-138491902.15000001</v>
      </c>
      <c r="S12" s="77">
        <f t="shared" si="3"/>
        <v>-107908349.95000002</v>
      </c>
      <c r="T12" s="77">
        <f t="shared" si="3"/>
        <v>-107581411.47000003</v>
      </c>
      <c r="U12" s="77">
        <f t="shared" si="3"/>
        <v>-106901250.38000003</v>
      </c>
      <c r="V12" s="77">
        <f t="shared" si="3"/>
        <v>-114056246.56000003</v>
      </c>
      <c r="W12" s="77">
        <f t="shared" si="3"/>
        <v>-131042378.80000004</v>
      </c>
      <c r="X12" s="77">
        <f t="shared" si="3"/>
        <v>-134455226.00000003</v>
      </c>
      <c r="Y12" s="77">
        <f t="shared" si="3"/>
        <v>-131374190.03000003</v>
      </c>
      <c r="Z12" s="77">
        <f t="shared" si="3"/>
        <v>-130952748.48000002</v>
      </c>
      <c r="AA12" s="77">
        <f t="shared" si="3"/>
        <v>-446532355.96000004</v>
      </c>
      <c r="AB12" s="77">
        <f t="shared" si="3"/>
        <v>-480708095.88999999</v>
      </c>
      <c r="AC12" s="77">
        <f t="shared" si="3"/>
        <v>-489164190.47000003</v>
      </c>
      <c r="AD12" s="77">
        <f t="shared" si="3"/>
        <v>-145060027</v>
      </c>
      <c r="AE12" s="77">
        <f t="shared" si="3"/>
        <v>-157904380.72999996</v>
      </c>
      <c r="AF12" s="77">
        <f t="shared" si="3"/>
        <v>-77156816.279999971</v>
      </c>
      <c r="AG12" s="77">
        <f t="shared" si="3"/>
        <v>-128250833.44000003</v>
      </c>
      <c r="AH12" s="77">
        <f t="shared" si="3"/>
        <v>-146312708.02000001</v>
      </c>
      <c r="AI12" s="77">
        <f t="shared" si="3"/>
        <v>-196078311.72999999</v>
      </c>
      <c r="AJ12" s="77">
        <f t="shared" si="3"/>
        <v>-244225813.20999995</v>
      </c>
      <c r="AK12" s="77">
        <f t="shared" si="3"/>
        <v>-386100553.37999994</v>
      </c>
      <c r="AL12" s="77">
        <f t="shared" si="3"/>
        <v>-245463014.13</v>
      </c>
      <c r="AM12" s="77">
        <f t="shared" si="3"/>
        <v>-215863310.00000003</v>
      </c>
      <c r="AN12" s="77">
        <f t="shared" si="3"/>
        <v>-256839537.75</v>
      </c>
      <c r="AO12" s="77">
        <f t="shared" si="3"/>
        <v>-350668525.52999997</v>
      </c>
      <c r="AP12" s="77">
        <f t="shared" si="3"/>
        <v>-309794457</v>
      </c>
      <c r="AQ12" s="77">
        <f t="shared" si="3"/>
        <v>-297713166.82999992</v>
      </c>
      <c r="AR12" s="77">
        <f t="shared" si="3"/>
        <v>-313445609.03999996</v>
      </c>
      <c r="AS12" s="77">
        <f t="shared" si="3"/>
        <v>-315828979.5</v>
      </c>
      <c r="AT12" s="77">
        <f t="shared" si="3"/>
        <v>-285282073.10999995</v>
      </c>
      <c r="AU12" s="77">
        <f t="shared" si="3"/>
        <v>-273143464.35999995</v>
      </c>
      <c r="AV12" s="77">
        <f t="shared" si="3"/>
        <v>-273131990.36000001</v>
      </c>
      <c r="AW12" s="77">
        <f t="shared" si="3"/>
        <v>-222317240.03999999</v>
      </c>
      <c r="AX12" s="77">
        <f t="shared" si="3"/>
        <v>-271294265.68999994</v>
      </c>
      <c r="AY12" s="77">
        <f t="shared" si="3"/>
        <v>-250540869.35999998</v>
      </c>
      <c r="AZ12" s="77">
        <f t="shared" si="3"/>
        <v>-177276653.62999994</v>
      </c>
      <c r="BA12" s="77">
        <f t="shared" si="3"/>
        <v>-174261132.32999998</v>
      </c>
      <c r="BB12" s="77">
        <f t="shared" si="3"/>
        <v>82896933.080000043</v>
      </c>
      <c r="BC12" s="77">
        <f t="shared" si="3"/>
        <v>71309444.100000024</v>
      </c>
      <c r="BD12" s="77">
        <f t="shared" si="3"/>
        <v>83792664.25</v>
      </c>
      <c r="BE12" s="77">
        <f t="shared" si="3"/>
        <v>81634208.100000054</v>
      </c>
      <c r="BF12" s="77">
        <f t="shared" si="3"/>
        <v>67784190.620000035</v>
      </c>
      <c r="BG12" s="77">
        <f t="shared" si="3"/>
        <v>69508280.450000048</v>
      </c>
      <c r="BH12" s="77">
        <f t="shared" si="3"/>
        <v>70781783.920000017</v>
      </c>
      <c r="BI12" s="77">
        <f t="shared" si="3"/>
        <v>71363867.360000014</v>
      </c>
      <c r="BJ12" s="77">
        <f t="shared" si="3"/>
        <v>73125166.740000039</v>
      </c>
      <c r="BK12" s="77">
        <f t="shared" si="3"/>
        <v>73360163.949999988</v>
      </c>
      <c r="BL12" s="77">
        <f t="shared" si="3"/>
        <v>73779097.350000024</v>
      </c>
      <c r="BM12" s="119">
        <f t="shared" si="3"/>
        <v>76648280.109999955</v>
      </c>
      <c r="BN12" s="77">
        <f t="shared" si="3"/>
        <v>77917462.990000039</v>
      </c>
      <c r="BO12" s="77">
        <f t="shared" si="3"/>
        <v>71620774.740000039</v>
      </c>
      <c r="BP12" s="77">
        <f t="shared" ref="BP12:CS12" si="4">BP11-BP15</f>
        <v>0</v>
      </c>
      <c r="BQ12" s="77">
        <f t="shared" si="4"/>
        <v>0</v>
      </c>
      <c r="BR12" s="77">
        <f t="shared" si="4"/>
        <v>0</v>
      </c>
      <c r="BS12" s="77">
        <f t="shared" si="4"/>
        <v>0</v>
      </c>
      <c r="BT12" s="77">
        <f t="shared" si="4"/>
        <v>0</v>
      </c>
      <c r="BU12" s="77">
        <f t="shared" si="4"/>
        <v>0</v>
      </c>
      <c r="BV12" s="77">
        <f t="shared" si="4"/>
        <v>0</v>
      </c>
      <c r="BW12" s="77">
        <f t="shared" si="4"/>
        <v>0</v>
      </c>
      <c r="BX12" s="77">
        <f t="shared" si="4"/>
        <v>0</v>
      </c>
      <c r="BY12" s="77">
        <f t="shared" si="4"/>
        <v>0</v>
      </c>
      <c r="BZ12" s="77">
        <f t="shared" si="4"/>
        <v>0</v>
      </c>
      <c r="CA12" s="77">
        <f t="shared" si="4"/>
        <v>0</v>
      </c>
      <c r="CB12" s="77">
        <f t="shared" si="4"/>
        <v>0</v>
      </c>
      <c r="CC12" s="77">
        <f t="shared" si="4"/>
        <v>0</v>
      </c>
      <c r="CD12" s="77">
        <f t="shared" si="4"/>
        <v>0</v>
      </c>
      <c r="CE12" s="77">
        <f t="shared" si="4"/>
        <v>0</v>
      </c>
      <c r="CF12" s="77">
        <f t="shared" si="4"/>
        <v>0</v>
      </c>
      <c r="CG12" s="77">
        <f t="shared" si="4"/>
        <v>0</v>
      </c>
      <c r="CH12" s="77">
        <f t="shared" si="4"/>
        <v>0</v>
      </c>
      <c r="CI12" s="77">
        <f t="shared" si="4"/>
        <v>0</v>
      </c>
      <c r="CJ12" s="77">
        <f t="shared" si="4"/>
        <v>0</v>
      </c>
      <c r="CK12" s="77">
        <f t="shared" si="4"/>
        <v>0</v>
      </c>
      <c r="CL12" s="77">
        <f t="shared" si="4"/>
        <v>0</v>
      </c>
      <c r="CM12" s="77">
        <f t="shared" si="4"/>
        <v>0</v>
      </c>
      <c r="CN12" s="77">
        <f t="shared" si="4"/>
        <v>0</v>
      </c>
      <c r="CO12" s="77">
        <f t="shared" si="4"/>
        <v>0</v>
      </c>
      <c r="CP12" s="77">
        <f t="shared" si="4"/>
        <v>0</v>
      </c>
      <c r="CQ12" s="77">
        <f t="shared" si="4"/>
        <v>0</v>
      </c>
      <c r="CR12" s="77">
        <f t="shared" si="4"/>
        <v>0</v>
      </c>
      <c r="CS12" s="77">
        <f t="shared" si="4"/>
        <v>0</v>
      </c>
    </row>
    <row r="13" spans="1:97"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119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</row>
    <row r="14" spans="1:97">
      <c r="A14">
        <v>5.3</v>
      </c>
      <c r="B14" t="s">
        <v>230</v>
      </c>
      <c r="C14" s="77">
        <f>C15+C16+C17+C18+C19+C20+C21</f>
        <v>14919147</v>
      </c>
      <c r="D14" s="77">
        <f t="shared" ref="D14:BO14" si="5">D15+D16+D17+D18+D19+D20+D21</f>
        <v>256104993</v>
      </c>
      <c r="E14" s="77">
        <f t="shared" si="5"/>
        <v>228460323.94999999</v>
      </c>
      <c r="F14" s="77">
        <f t="shared" si="5"/>
        <v>226171928.57999998</v>
      </c>
      <c r="G14" s="77">
        <f t="shared" si="5"/>
        <v>223405243.16999999</v>
      </c>
      <c r="H14" s="77">
        <f t="shared" si="5"/>
        <v>222625039.82999998</v>
      </c>
      <c r="I14" s="77">
        <f t="shared" si="5"/>
        <v>221569820.13</v>
      </c>
      <c r="J14" s="77">
        <f t="shared" si="5"/>
        <v>222464209.19999999</v>
      </c>
      <c r="K14" s="77">
        <f t="shared" si="5"/>
        <v>223245400.72999999</v>
      </c>
      <c r="L14" s="77">
        <f t="shared" si="5"/>
        <v>229840129.76999998</v>
      </c>
      <c r="M14" s="77">
        <f t="shared" si="5"/>
        <v>230211425.69999999</v>
      </c>
      <c r="N14" s="77">
        <f t="shared" si="5"/>
        <v>242105443.44999999</v>
      </c>
      <c r="O14" s="77">
        <f t="shared" si="5"/>
        <v>245365475.87</v>
      </c>
      <c r="P14" s="77">
        <f t="shared" si="5"/>
        <v>254082815.80999997</v>
      </c>
      <c r="Q14" s="77">
        <f t="shared" si="5"/>
        <v>254082819</v>
      </c>
      <c r="R14" s="77">
        <f t="shared" si="5"/>
        <v>259167008.68000001</v>
      </c>
      <c r="S14" s="77">
        <f t="shared" si="5"/>
        <v>257017834.79999998</v>
      </c>
      <c r="T14" s="77">
        <f t="shared" si="5"/>
        <v>252860956.75999999</v>
      </c>
      <c r="U14" s="77">
        <f t="shared" si="5"/>
        <v>255067446.66</v>
      </c>
      <c r="V14" s="77">
        <f t="shared" si="5"/>
        <v>255637058.11999997</v>
      </c>
      <c r="W14" s="77">
        <f t="shared" si="5"/>
        <v>260016824.95999998</v>
      </c>
      <c r="X14" s="77">
        <f t="shared" si="5"/>
        <v>257784275.70999998</v>
      </c>
      <c r="Y14" s="77">
        <f t="shared" si="5"/>
        <v>262363265.67999998</v>
      </c>
      <c r="Z14" s="77">
        <f t="shared" si="5"/>
        <v>264020548.25999999</v>
      </c>
      <c r="AA14" s="77">
        <f t="shared" si="5"/>
        <v>102505637.28</v>
      </c>
      <c r="AB14" s="77">
        <f t="shared" si="5"/>
        <v>108193294.89</v>
      </c>
      <c r="AC14" s="77">
        <f t="shared" si="5"/>
        <v>116856338.40000001</v>
      </c>
      <c r="AD14" s="77">
        <f t="shared" si="5"/>
        <v>287768345</v>
      </c>
      <c r="AE14" s="77">
        <f t="shared" si="5"/>
        <v>293419234.55000001</v>
      </c>
      <c r="AF14" s="77">
        <f t="shared" si="5"/>
        <v>293801086.85000002</v>
      </c>
      <c r="AG14" s="77">
        <f t="shared" si="5"/>
        <v>285324834.39999998</v>
      </c>
      <c r="AH14" s="77">
        <f t="shared" si="5"/>
        <v>287767987.14999998</v>
      </c>
      <c r="AI14" s="77">
        <f t="shared" si="5"/>
        <v>288521665.82999998</v>
      </c>
      <c r="AJ14" s="77">
        <f t="shared" si="5"/>
        <v>290879912.45000005</v>
      </c>
      <c r="AK14" s="77">
        <f t="shared" si="5"/>
        <v>586425971.16000009</v>
      </c>
      <c r="AL14" s="77">
        <f t="shared" si="5"/>
        <v>291349954.35000002</v>
      </c>
      <c r="AM14" s="77">
        <f t="shared" si="5"/>
        <v>304872273.38999999</v>
      </c>
      <c r="AN14" s="77">
        <f t="shared" si="5"/>
        <v>316551992.34000003</v>
      </c>
      <c r="AO14" s="77">
        <f t="shared" si="5"/>
        <v>322470816.41000003</v>
      </c>
      <c r="AP14" s="77">
        <f t="shared" si="5"/>
        <v>323207537</v>
      </c>
      <c r="AQ14" s="77">
        <f t="shared" si="5"/>
        <v>325954776.07000005</v>
      </c>
      <c r="AR14" s="77">
        <f t="shared" si="5"/>
        <v>324111837.20000005</v>
      </c>
      <c r="AS14" s="77">
        <f t="shared" si="5"/>
        <v>314114764.5</v>
      </c>
      <c r="AT14" s="77">
        <f t="shared" si="5"/>
        <v>315888933.11000001</v>
      </c>
      <c r="AU14" s="77">
        <f t="shared" si="5"/>
        <v>319069693.56000006</v>
      </c>
      <c r="AV14" s="77">
        <f t="shared" si="5"/>
        <v>319916036.86000001</v>
      </c>
      <c r="AW14" s="77">
        <f t="shared" si="5"/>
        <v>321391523.75</v>
      </c>
      <c r="AX14" s="77">
        <f t="shared" si="5"/>
        <v>323107006.65000004</v>
      </c>
      <c r="AY14" s="77">
        <f t="shared" si="5"/>
        <v>324501327.49000001</v>
      </c>
      <c r="AZ14" s="77">
        <f t="shared" si="5"/>
        <v>334332215.19000006</v>
      </c>
      <c r="BA14" s="77">
        <f t="shared" si="5"/>
        <v>337967905.25</v>
      </c>
      <c r="BB14" s="77">
        <f t="shared" si="5"/>
        <v>345941843.77000004</v>
      </c>
      <c r="BC14" s="77">
        <f t="shared" si="5"/>
        <v>343203033.72000003</v>
      </c>
      <c r="BD14" s="77">
        <f t="shared" si="5"/>
        <v>347636461.06</v>
      </c>
      <c r="BE14" s="77">
        <f t="shared" si="5"/>
        <v>346177456.52000004</v>
      </c>
      <c r="BF14" s="77">
        <f t="shared" si="5"/>
        <v>333790320.27000004</v>
      </c>
      <c r="BG14" s="77">
        <f t="shared" si="5"/>
        <v>336536531.02000004</v>
      </c>
      <c r="BH14" s="77">
        <f t="shared" si="5"/>
        <v>338988496.37</v>
      </c>
      <c r="BI14" s="77">
        <f t="shared" si="5"/>
        <v>340578631.64000005</v>
      </c>
      <c r="BJ14" s="77">
        <f t="shared" si="5"/>
        <v>346593845.60000002</v>
      </c>
      <c r="BK14" s="77">
        <f t="shared" si="5"/>
        <v>347669612.92000002</v>
      </c>
      <c r="BL14" s="77">
        <f t="shared" si="5"/>
        <v>349027101.63</v>
      </c>
      <c r="BM14" s="119">
        <f t="shared" si="5"/>
        <v>352735932.45999998</v>
      </c>
      <c r="BN14" s="77">
        <f t="shared" si="5"/>
        <v>355142303.88000005</v>
      </c>
      <c r="BO14" s="77">
        <f t="shared" si="5"/>
        <v>349910567.21000004</v>
      </c>
      <c r="BP14" s="77">
        <f t="shared" ref="BP14:CS14" si="6">BP15+BP16+BP17+BP18+BP19+BP20+BP21</f>
        <v>0</v>
      </c>
      <c r="BQ14" s="77">
        <f t="shared" si="6"/>
        <v>0</v>
      </c>
      <c r="BR14" s="77">
        <f t="shared" si="6"/>
        <v>0</v>
      </c>
      <c r="BS14" s="77">
        <f t="shared" si="6"/>
        <v>0</v>
      </c>
      <c r="BT14" s="77">
        <f t="shared" si="6"/>
        <v>0</v>
      </c>
      <c r="BU14" s="77">
        <f t="shared" si="6"/>
        <v>0</v>
      </c>
      <c r="BV14" s="77">
        <f t="shared" si="6"/>
        <v>0</v>
      </c>
      <c r="BW14" s="77">
        <f t="shared" si="6"/>
        <v>0</v>
      </c>
      <c r="BX14" s="77">
        <f t="shared" si="6"/>
        <v>0</v>
      </c>
      <c r="BY14" s="77">
        <f t="shared" si="6"/>
        <v>0</v>
      </c>
      <c r="BZ14" s="77">
        <f t="shared" si="6"/>
        <v>0</v>
      </c>
      <c r="CA14" s="77">
        <f t="shared" si="6"/>
        <v>0</v>
      </c>
      <c r="CB14" s="77">
        <f t="shared" si="6"/>
        <v>0</v>
      </c>
      <c r="CC14" s="77">
        <f t="shared" si="6"/>
        <v>0</v>
      </c>
      <c r="CD14" s="77">
        <f t="shared" si="6"/>
        <v>0</v>
      </c>
      <c r="CE14" s="77">
        <f t="shared" si="6"/>
        <v>0</v>
      </c>
      <c r="CF14" s="77">
        <f t="shared" si="6"/>
        <v>0</v>
      </c>
      <c r="CG14" s="77">
        <f t="shared" si="6"/>
        <v>0</v>
      </c>
      <c r="CH14" s="77">
        <f t="shared" si="6"/>
        <v>0</v>
      </c>
      <c r="CI14" s="77">
        <f t="shared" si="6"/>
        <v>0</v>
      </c>
      <c r="CJ14" s="77">
        <f t="shared" si="6"/>
        <v>0</v>
      </c>
      <c r="CK14" s="77">
        <f t="shared" si="6"/>
        <v>0</v>
      </c>
      <c r="CL14" s="77">
        <f t="shared" si="6"/>
        <v>0</v>
      </c>
      <c r="CM14" s="77">
        <f t="shared" si="6"/>
        <v>0</v>
      </c>
      <c r="CN14" s="77">
        <f t="shared" si="6"/>
        <v>0</v>
      </c>
      <c r="CO14" s="77">
        <f t="shared" si="6"/>
        <v>0</v>
      </c>
      <c r="CP14" s="77">
        <f t="shared" si="6"/>
        <v>0</v>
      </c>
      <c r="CQ14" s="77">
        <f t="shared" si="6"/>
        <v>0</v>
      </c>
      <c r="CR14" s="77">
        <f t="shared" si="6"/>
        <v>0</v>
      </c>
      <c r="CS14" s="77">
        <f t="shared" si="6"/>
        <v>0</v>
      </c>
    </row>
    <row r="15" spans="1:97">
      <c r="A15" t="s">
        <v>231</v>
      </c>
      <c r="B15" t="s">
        <v>232</v>
      </c>
      <c r="C15" s="77">
        <f>'[2]Evolutive SFP'!B39</f>
        <v>10494697</v>
      </c>
      <c r="D15" s="77">
        <f>'[2]Evolutive SFP'!C39</f>
        <v>140665447</v>
      </c>
      <c r="E15" s="77">
        <f>'[2]Evolutive SFP'!D39</f>
        <v>141254381.75</v>
      </c>
      <c r="F15" s="77">
        <f>'[2]Evolutive SFP'!E39</f>
        <v>141798724.71000001</v>
      </c>
      <c r="G15" s="77">
        <f>'[2]Evolutive SFP'!F39</f>
        <v>142412759.40000001</v>
      </c>
      <c r="H15" s="77">
        <f>'[2]Evolutive SFP'!G39</f>
        <v>142997614.62</v>
      </c>
      <c r="I15" s="77">
        <f>'[2]Evolutive SFP'!H39</f>
        <v>143647732.24000001</v>
      </c>
      <c r="J15" s="77">
        <f>'[2]Evolutive SFP'!I39</f>
        <v>144244738.03</v>
      </c>
      <c r="K15" s="77">
        <f>'[2]Evolutive SFP'!J39</f>
        <v>144742971.71000001</v>
      </c>
      <c r="L15" s="77">
        <f>'[2]Evolutive SFP'!K39</f>
        <v>145294302.69999999</v>
      </c>
      <c r="M15" s="77">
        <f>'[2]Evolutive SFP'!L39</f>
        <v>146359757.47</v>
      </c>
      <c r="N15" s="77">
        <f>'[2]Evolutive SFP'!M39</f>
        <v>154260050.71000001</v>
      </c>
      <c r="O15" s="77">
        <f>'[2]Evolutive SFP'!N39</f>
        <v>155498451.99000001</v>
      </c>
      <c r="P15" s="77">
        <f>'[2]Evolutive SFP'!O39</f>
        <v>156700171.75999999</v>
      </c>
      <c r="Q15" s="77">
        <f>'[2]Evolutive SFP'!P39</f>
        <v>156700172</v>
      </c>
      <c r="R15" s="77">
        <f>'[2]Evolutive SFP'!Q39</f>
        <v>158031466.09</v>
      </c>
      <c r="S15" s="77">
        <f>'[2]Evolutive SFP'!R39</f>
        <v>159248740.00999999</v>
      </c>
      <c r="T15" s="77">
        <f>'[2]Evolutive SFP'!S39</f>
        <v>160714923.49000001</v>
      </c>
      <c r="U15" s="77">
        <f>'[2]Evolutive SFP'!T39</f>
        <v>162141252.30000001</v>
      </c>
      <c r="V15" s="77">
        <f>'[2]Evolutive SFP'!U39</f>
        <v>163118219.94</v>
      </c>
      <c r="W15" s="77">
        <f>'[2]Evolutive SFP'!V39</f>
        <v>164434119.02000001</v>
      </c>
      <c r="X15" s="77">
        <f>'[2]Evolutive SFP'!W39</f>
        <v>165664416.97</v>
      </c>
      <c r="Y15" s="77">
        <f>'[2]Evolutive SFP'!X39</f>
        <v>167112370.97</v>
      </c>
      <c r="Z15" s="77">
        <f>'[2]Evolutive SFP'!Y39</f>
        <v>168298212</v>
      </c>
      <c r="AA15" s="77">
        <f>'[2]Evolutive SFP'!Z39</f>
        <v>0</v>
      </c>
      <c r="AB15" s="77">
        <f>'[2]Evolutive SFP'!AA39</f>
        <v>0</v>
      </c>
      <c r="AC15" s="77">
        <f>'[2]Evolutive SFP'!AB39</f>
        <v>0</v>
      </c>
      <c r="AD15" s="77">
        <f>'[2]Evolutive SFP'!AC39</f>
        <v>172698282</v>
      </c>
      <c r="AE15" s="77">
        <f>'[2]Evolutive SFP'!AD39</f>
        <v>174143525</v>
      </c>
      <c r="AF15" s="77">
        <f>'[2]Evolutive SFP'!AE39</f>
        <v>175727812.84999999</v>
      </c>
      <c r="AG15" s="77">
        <f>'[2]Evolutive SFP'!AF39</f>
        <v>176245577.56</v>
      </c>
      <c r="AH15" s="77">
        <f>'[2]Evolutive SFP'!AG39</f>
        <v>176750604.88999999</v>
      </c>
      <c r="AI15" s="77">
        <f>'[2]Evolutive SFP'!AH39</f>
        <v>177219887.28</v>
      </c>
      <c r="AJ15" s="77">
        <f>'[2]Evolutive SFP'!AI39</f>
        <v>177664029.03999999</v>
      </c>
      <c r="AK15" s="77">
        <f>'[2]Evolutive SFP'!AJ39</f>
        <v>357419110.57999998</v>
      </c>
      <c r="AL15" s="77">
        <f>'[2]Evolutive SFP'!AK39</f>
        <v>179209261.5</v>
      </c>
      <c r="AM15" s="77">
        <f>'[2]Evolutive SFP'!AL39</f>
        <v>188131876.41</v>
      </c>
      <c r="AN15" s="77">
        <f>'[2]Evolutive SFP'!AM39</f>
        <v>188671227.61000001</v>
      </c>
      <c r="AO15" s="77">
        <f>'[2]Evolutive SFP'!AN39</f>
        <v>188369039.46000001</v>
      </c>
      <c r="AP15" s="77">
        <f>'[2]Evolutive SFP'!AO39</f>
        <v>188369039</v>
      </c>
      <c r="AQ15" s="77">
        <f>'[2]Evolutive SFP'!AP39</f>
        <v>188821977.69</v>
      </c>
      <c r="AR15" s="77">
        <f>'[2]Evolutive SFP'!AQ39</f>
        <v>189196268.03</v>
      </c>
      <c r="AS15" s="77">
        <f>'[2]Evolutive SFP'!AR39</f>
        <v>189997778.78999999</v>
      </c>
      <c r="AT15" s="77">
        <f>'[2]Evolutive SFP'!AS39</f>
        <v>191175041.00999999</v>
      </c>
      <c r="AU15" s="77">
        <f>'[2]Evolutive SFP'!AT39</f>
        <v>192088477.11000001</v>
      </c>
      <c r="AV15" s="77">
        <f>'[2]Evolutive SFP'!AU39</f>
        <v>192925519.96000001</v>
      </c>
      <c r="AW15" s="77">
        <f>'[2]Evolutive SFP'!AV39</f>
        <v>193586256.53</v>
      </c>
      <c r="AX15" s="77">
        <f>'[2]Evolutive SFP'!AW39</f>
        <v>194124798.27000001</v>
      </c>
      <c r="AY15" s="77">
        <f>'[2]Evolutive SFP'!AX39</f>
        <v>194715722.78</v>
      </c>
      <c r="AZ15" s="77">
        <f>'[2]Evolutive SFP'!AY39</f>
        <v>201232394.75</v>
      </c>
      <c r="BA15" s="77">
        <f>'[2]Evolutive SFP'!AZ39</f>
        <v>201852563.50999999</v>
      </c>
      <c r="BB15" s="77">
        <f>'[2]Evolutive SFP'!BA39</f>
        <v>202568436.62</v>
      </c>
      <c r="BC15" s="77">
        <f>'[2]Evolutive SFP'!BB39</f>
        <v>202568436.62</v>
      </c>
      <c r="BD15" s="77">
        <f>'[2]Evolutive SFP'!BC39</f>
        <v>203367322.74000001</v>
      </c>
      <c r="BE15" s="77">
        <f>'[2]Evolutive SFP'!BD39</f>
        <v>204016774.34999999</v>
      </c>
      <c r="BF15" s="77">
        <f>'[2]Evolutive SFP'!BE39</f>
        <v>205429655.58000001</v>
      </c>
      <c r="BG15" s="77">
        <f>'[2]Evolutive SFP'!BF39</f>
        <v>206351776.5</v>
      </c>
      <c r="BH15" s="77">
        <f>'[2]Evolutive SFP'!BG39</f>
        <v>207480238.38</v>
      </c>
      <c r="BI15" s="77">
        <f>'[2]Evolutive SFP'!BH39</f>
        <v>208408190.75</v>
      </c>
      <c r="BJ15" s="77">
        <f>'[2]Evolutive SFP'!BI39</f>
        <v>212612105.33000001</v>
      </c>
      <c r="BK15" s="77">
        <f>'[2]Evolutive SFP'!BJ39</f>
        <v>213402875.44</v>
      </c>
      <c r="BL15" s="77">
        <f>'[2]Evolutive SFP'!BK39</f>
        <v>214291430.75</v>
      </c>
      <c r="BM15" s="119">
        <f>'[2]Evolutive SFP'!BL39</f>
        <v>215081078.81999999</v>
      </c>
      <c r="BN15" s="77">
        <f>'[2]Evolutive SFP'!BM39</f>
        <v>216105362.46000001</v>
      </c>
      <c r="BO15" s="77">
        <f>'[2]Evolutive SFP'!BN39</f>
        <v>217120314.03999999</v>
      </c>
      <c r="BP15" s="77">
        <f>'[2]Evolutive SFP'!BO39</f>
        <v>0</v>
      </c>
      <c r="BQ15" s="77">
        <f>'[2]Evolutive SFP'!BP39</f>
        <v>0</v>
      </c>
      <c r="BR15" s="77">
        <f>'[2]Evolutive SFP'!BQ39</f>
        <v>0</v>
      </c>
      <c r="BS15" s="77">
        <f>'[2]Evolutive SFP'!BR39</f>
        <v>0</v>
      </c>
      <c r="BT15" s="77">
        <f>'[2]Evolutive SFP'!BS39</f>
        <v>0</v>
      </c>
      <c r="BU15" s="77">
        <f>'[2]Evolutive SFP'!BT39</f>
        <v>0</v>
      </c>
      <c r="BV15" s="77">
        <f>'[2]Evolutive SFP'!BU39</f>
        <v>0</v>
      </c>
      <c r="BW15" s="77">
        <f>'[2]Evolutive SFP'!BV39</f>
        <v>0</v>
      </c>
      <c r="BX15" s="77">
        <f>'[2]Evolutive SFP'!BW39</f>
        <v>0</v>
      </c>
      <c r="BY15" s="77">
        <f>'[2]Evolutive SFP'!BX39</f>
        <v>0</v>
      </c>
      <c r="BZ15" s="77">
        <f>'[2]Evolutive SFP'!BY39</f>
        <v>0</v>
      </c>
      <c r="CA15" s="77">
        <f>'[2]Evolutive SFP'!BZ39</f>
        <v>0</v>
      </c>
      <c r="CB15" s="77">
        <f>'[2]Evolutive SFP'!CA39</f>
        <v>0</v>
      </c>
      <c r="CC15" s="77">
        <f>'[2]Evolutive SFP'!CB39</f>
        <v>0</v>
      </c>
      <c r="CD15" s="77">
        <f>'[2]Evolutive SFP'!CC39</f>
        <v>0</v>
      </c>
      <c r="CE15" s="77">
        <f>'[2]Evolutive SFP'!CD39</f>
        <v>0</v>
      </c>
      <c r="CF15" s="77">
        <f>'[2]Evolutive SFP'!CE39</f>
        <v>0</v>
      </c>
      <c r="CG15" s="77">
        <f>'[2]Evolutive SFP'!CF39</f>
        <v>0</v>
      </c>
      <c r="CH15" s="77">
        <f>'[2]Evolutive SFP'!CG39</f>
        <v>0</v>
      </c>
      <c r="CI15" s="77">
        <f>'[2]Evolutive SFP'!CH39</f>
        <v>0</v>
      </c>
      <c r="CJ15" s="77">
        <f>'[2]Evolutive SFP'!CI39</f>
        <v>0</v>
      </c>
      <c r="CK15" s="77">
        <f>'[2]Evolutive SFP'!CJ39</f>
        <v>0</v>
      </c>
      <c r="CL15" s="77">
        <f>'[2]Evolutive SFP'!CK39</f>
        <v>0</v>
      </c>
      <c r="CM15" s="77">
        <f>'[2]Evolutive SFP'!CL39</f>
        <v>0</v>
      </c>
      <c r="CN15" s="77">
        <f>'[2]Evolutive SFP'!CM39</f>
        <v>0</v>
      </c>
      <c r="CO15" s="77">
        <f>'[2]Evolutive SFP'!CN39</f>
        <v>0</v>
      </c>
      <c r="CP15" s="77">
        <f>'[2]Evolutive SFP'!CO39</f>
        <v>0</v>
      </c>
      <c r="CQ15" s="77">
        <f>'[2]Evolutive SFP'!CP39</f>
        <v>0</v>
      </c>
      <c r="CR15" s="77">
        <f>'[2]Evolutive SFP'!CQ39</f>
        <v>0</v>
      </c>
      <c r="CS15" s="77">
        <f>'[2]Evolutive SFP'!CR39</f>
        <v>0</v>
      </c>
    </row>
    <row r="16" spans="1:97">
      <c r="A16" t="s">
        <v>233</v>
      </c>
      <c r="B16" t="s">
        <v>234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119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</row>
    <row r="17" spans="1:97">
      <c r="A17" t="s">
        <v>235</v>
      </c>
      <c r="B17" t="s">
        <v>236</v>
      </c>
      <c r="C17" s="77">
        <f>'[2]Evolutive SFP'!B41</f>
        <v>351220</v>
      </c>
      <c r="D17" s="77">
        <f>'[2]Evolutive SFP'!C41</f>
        <v>14978344</v>
      </c>
      <c r="E17" s="77">
        <f>'[2]Evolutive SFP'!D41</f>
        <v>27664229.100000001</v>
      </c>
      <c r="F17" s="77">
        <f>'[2]Evolutive SFP'!E41</f>
        <v>20813817.100000001</v>
      </c>
      <c r="G17" s="77">
        <f>'[2]Evolutive SFP'!F41</f>
        <v>20813817.100000001</v>
      </c>
      <c r="H17" s="77">
        <f>'[2]Evolutive SFP'!G41</f>
        <v>20813817.100000001</v>
      </c>
      <c r="I17" s="77">
        <f>'[2]Evolutive SFP'!H41</f>
        <v>20813817.100000001</v>
      </c>
      <c r="J17" s="77">
        <f>'[2]Evolutive SFP'!I41</f>
        <v>20813817.100000001</v>
      </c>
      <c r="K17" s="77">
        <f>'[2]Evolutive SFP'!J41</f>
        <v>20813817.100000001</v>
      </c>
      <c r="L17" s="77">
        <f>'[2]Evolutive SFP'!K41</f>
        <v>20813817.100000001</v>
      </c>
      <c r="M17" s="77">
        <f>'[2]Evolutive SFP'!L41</f>
        <v>20813817.100000001</v>
      </c>
      <c r="N17" s="77">
        <f>'[2]Evolutive SFP'!M41</f>
        <v>20813817.100000001</v>
      </c>
      <c r="O17" s="77">
        <f>'[2]Evolutive SFP'!N41</f>
        <v>20813817.100000001</v>
      </c>
      <c r="P17" s="77">
        <f>'[2]Evolutive SFP'!O41</f>
        <v>20813817.100000001</v>
      </c>
      <c r="Q17" s="77">
        <f>'[2]Evolutive SFP'!P41</f>
        <v>20813820</v>
      </c>
      <c r="R17" s="77">
        <f>'[2]Evolutive SFP'!Q41</f>
        <v>44640847.950000003</v>
      </c>
      <c r="S17" s="77">
        <f>'[2]Evolutive SFP'!R41</f>
        <v>33206439.949999999</v>
      </c>
      <c r="T17" s="77">
        <f>'[2]Evolutive SFP'!S41</f>
        <v>33206439.949999999</v>
      </c>
      <c r="U17" s="77">
        <f>'[2]Evolutive SFP'!T41</f>
        <v>33206439.949999999</v>
      </c>
      <c r="V17" s="77">
        <f>'[2]Evolutive SFP'!U41</f>
        <v>33206439.949999999</v>
      </c>
      <c r="W17" s="77">
        <f>'[2]Evolutive SFP'!V41</f>
        <v>33206439.949999999</v>
      </c>
      <c r="X17" s="77">
        <f>'[2]Evolutive SFP'!W41</f>
        <v>33206439.949999999</v>
      </c>
      <c r="Y17" s="77">
        <f>'[2]Evolutive SFP'!X41</f>
        <v>33206439.949999999</v>
      </c>
      <c r="Z17" s="77">
        <f>'[2]Evolutive SFP'!Y41</f>
        <v>33206439.949999999</v>
      </c>
      <c r="AA17" s="77">
        <f>'[2]Evolutive SFP'!Z41</f>
        <v>7594989.1799999997</v>
      </c>
      <c r="AB17" s="77">
        <f>'[2]Evolutive SFP'!AA41</f>
        <v>13282646.789999999</v>
      </c>
      <c r="AC17" s="77">
        <f>'[2]Evolutive SFP'!AB41</f>
        <v>21945690.300000001</v>
      </c>
      <c r="AD17" s="77">
        <f>'[2]Evolutive SFP'!AC41</f>
        <v>33206443</v>
      </c>
      <c r="AE17" s="77">
        <f>'[2]Evolutive SFP'!AD41</f>
        <v>57730843.890000001</v>
      </c>
      <c r="AF17" s="77">
        <f>'[2]Evolutive SFP'!AE41</f>
        <v>44826109.890000001</v>
      </c>
      <c r="AG17" s="77">
        <f>'[2]Evolutive SFP'!AF41</f>
        <v>44826109.890000001</v>
      </c>
      <c r="AH17" s="77">
        <f>'[2]Evolutive SFP'!AG41</f>
        <v>44826109.890000001</v>
      </c>
      <c r="AI17" s="77">
        <f>'[2]Evolutive SFP'!AH41</f>
        <v>44825388.850000001</v>
      </c>
      <c r="AJ17" s="77">
        <f>'[2]Evolutive SFP'!AI41</f>
        <v>44822490.850000001</v>
      </c>
      <c r="AK17" s="77">
        <f>'[2]Evolutive SFP'!AJ41</f>
        <v>89644981.700000003</v>
      </c>
      <c r="AL17" s="77">
        <f>'[2]Evolutive SFP'!AK41</f>
        <v>44822490.850000001</v>
      </c>
      <c r="AM17" s="77">
        <f>'[2]Evolutive SFP'!AL41</f>
        <v>44822490.850000001</v>
      </c>
      <c r="AN17" s="77">
        <f>'[2]Evolutive SFP'!AM41</f>
        <v>44822490.850000001</v>
      </c>
      <c r="AO17" s="77">
        <f>'[2]Evolutive SFP'!AN41</f>
        <v>44822490.850000001</v>
      </c>
      <c r="AP17" s="77">
        <f>'[2]Evolutive SFP'!AO41</f>
        <v>44825378</v>
      </c>
      <c r="AQ17" s="77">
        <f>'[2]Evolutive SFP'!AP41</f>
        <v>72593813.189999998</v>
      </c>
      <c r="AR17" s="77">
        <f>'[2]Evolutive SFP'!AQ41</f>
        <v>53317385.189999998</v>
      </c>
      <c r="AS17" s="77">
        <f>'[2]Evolutive SFP'!AR41</f>
        <v>53317385.189999998</v>
      </c>
      <c r="AT17" s="77">
        <f>'[2]Evolutive SFP'!AS41</f>
        <v>53317385.189999998</v>
      </c>
      <c r="AU17" s="77">
        <f>'[2]Evolutive SFP'!AT41</f>
        <v>53317385.189999998</v>
      </c>
      <c r="AV17" s="77">
        <f>'[2]Evolutive SFP'!AU41</f>
        <v>53317385.189999998</v>
      </c>
      <c r="AW17" s="77">
        <f>'[2]Evolutive SFP'!AV41</f>
        <v>53317385.189999998</v>
      </c>
      <c r="AX17" s="77">
        <f>'[2]Evolutive SFP'!AW41</f>
        <v>53317385.189999998</v>
      </c>
      <c r="AY17" s="77">
        <f>'[2]Evolutive SFP'!AX41</f>
        <v>53317377.189999998</v>
      </c>
      <c r="AZ17" s="77">
        <f>'[2]Evolutive SFP'!AY41</f>
        <v>53317377.189999998</v>
      </c>
      <c r="BA17" s="77">
        <f>'[2]Evolutive SFP'!AZ41</f>
        <v>53317377.189999998</v>
      </c>
      <c r="BB17" s="77">
        <f>'[2]Evolutive SFP'!BA41</f>
        <v>53317372.850000001</v>
      </c>
      <c r="BC17" s="77">
        <f>'[2]Evolutive SFP'!BB41</f>
        <v>53317384</v>
      </c>
      <c r="BD17" s="77">
        <f>'[2]Evolutive SFP'!BC41</f>
        <v>75638698.390000001</v>
      </c>
      <c r="BE17" s="77">
        <f>'[2]Evolutive SFP'!BD41</f>
        <v>72899349.280000001</v>
      </c>
      <c r="BF17" s="77">
        <f>'[2]Evolutive SFP'!BE41</f>
        <v>54195789.960000001</v>
      </c>
      <c r="BG17" s="77">
        <f>'[2]Evolutive SFP'!BF41</f>
        <v>54195789.960000001</v>
      </c>
      <c r="BH17" s="77">
        <f>'[2]Evolutive SFP'!BG41</f>
        <v>54195789.960000001</v>
      </c>
      <c r="BI17" s="77">
        <f>'[2]Evolutive SFP'!BH41</f>
        <v>54195789.960000001</v>
      </c>
      <c r="BJ17" s="77">
        <f>'[2]Evolutive SFP'!BI41</f>
        <v>54195789.960000001</v>
      </c>
      <c r="BK17" s="77">
        <f>'[2]Evolutive SFP'!BJ41</f>
        <v>54195789.960000001</v>
      </c>
      <c r="BL17" s="77">
        <f>'[2]Evolutive SFP'!BK41</f>
        <v>54148616.159999996</v>
      </c>
      <c r="BM17" s="119">
        <f>'[2]Evolutive SFP'!BL41</f>
        <v>54195789.960000001</v>
      </c>
      <c r="BN17" s="77">
        <f>'[2]Evolutive SFP'!BM41</f>
        <v>54195789.960000001</v>
      </c>
      <c r="BO17" s="77">
        <f>'[2]Evolutive SFP'!BN41</f>
        <v>32336456.960000001</v>
      </c>
      <c r="BP17" s="77">
        <f>'[2]Evolutive SFP'!BO41</f>
        <v>0</v>
      </c>
      <c r="BQ17" s="77">
        <f>'[2]Evolutive SFP'!BP41</f>
        <v>0</v>
      </c>
      <c r="BR17" s="77">
        <f>'[2]Evolutive SFP'!BQ41</f>
        <v>0</v>
      </c>
      <c r="BS17" s="77">
        <f>'[2]Evolutive SFP'!BR41</f>
        <v>0</v>
      </c>
      <c r="BT17" s="77">
        <f>'[2]Evolutive SFP'!BS41</f>
        <v>0</v>
      </c>
      <c r="BU17" s="77">
        <f>'[2]Evolutive SFP'!BT41</f>
        <v>0</v>
      </c>
      <c r="BV17" s="77">
        <f>'[2]Evolutive SFP'!BU41</f>
        <v>0</v>
      </c>
      <c r="BW17" s="77">
        <f>'[2]Evolutive SFP'!BV41</f>
        <v>0</v>
      </c>
      <c r="BX17" s="77">
        <f>'[2]Evolutive SFP'!BW41</f>
        <v>0</v>
      </c>
      <c r="BY17" s="77">
        <f>'[2]Evolutive SFP'!BX41</f>
        <v>0</v>
      </c>
      <c r="BZ17" s="77">
        <f>'[2]Evolutive SFP'!BY41</f>
        <v>0</v>
      </c>
      <c r="CA17" s="77">
        <f>'[2]Evolutive SFP'!BZ41</f>
        <v>0</v>
      </c>
      <c r="CB17" s="77">
        <f>'[2]Evolutive SFP'!CA41</f>
        <v>0</v>
      </c>
      <c r="CC17" s="77">
        <f>'[2]Evolutive SFP'!CB41</f>
        <v>0</v>
      </c>
      <c r="CD17" s="77">
        <f>'[2]Evolutive SFP'!CC41</f>
        <v>0</v>
      </c>
      <c r="CE17" s="77">
        <f>'[2]Evolutive SFP'!CD41</f>
        <v>0</v>
      </c>
      <c r="CF17" s="77">
        <f>'[2]Evolutive SFP'!CE41</f>
        <v>0</v>
      </c>
      <c r="CG17" s="77">
        <f>'[2]Evolutive SFP'!CF41</f>
        <v>0</v>
      </c>
      <c r="CH17" s="77">
        <f>'[2]Evolutive SFP'!CG41</f>
        <v>0</v>
      </c>
      <c r="CI17" s="77">
        <f>'[2]Evolutive SFP'!CH41</f>
        <v>0</v>
      </c>
      <c r="CJ17" s="77">
        <f>'[2]Evolutive SFP'!CI41</f>
        <v>0</v>
      </c>
      <c r="CK17" s="77">
        <f>'[2]Evolutive SFP'!CJ41</f>
        <v>0</v>
      </c>
      <c r="CL17" s="77">
        <f>'[2]Evolutive SFP'!CK41</f>
        <v>0</v>
      </c>
      <c r="CM17" s="77">
        <f>'[2]Evolutive SFP'!CL41</f>
        <v>0</v>
      </c>
      <c r="CN17" s="77">
        <f>'[2]Evolutive SFP'!CM41</f>
        <v>0</v>
      </c>
      <c r="CO17" s="77">
        <f>'[2]Evolutive SFP'!CN41</f>
        <v>0</v>
      </c>
      <c r="CP17" s="77">
        <f>'[2]Evolutive SFP'!CO41</f>
        <v>0</v>
      </c>
      <c r="CQ17" s="77">
        <f>'[2]Evolutive SFP'!CP41</f>
        <v>0</v>
      </c>
      <c r="CR17" s="77">
        <f>'[2]Evolutive SFP'!CQ41</f>
        <v>0</v>
      </c>
      <c r="CS17" s="77">
        <f>'[2]Evolutive SFP'!CR41</f>
        <v>0</v>
      </c>
    </row>
    <row r="18" spans="1:97">
      <c r="A18" t="s">
        <v>237</v>
      </c>
      <c r="B18" t="s">
        <v>238</v>
      </c>
      <c r="C18" s="77">
        <f>'[2]Evolutive SFP'!B42</f>
        <v>3541956</v>
      </c>
      <c r="D18" s="77">
        <f>'[2]Evolutive SFP'!C42</f>
        <v>5835476</v>
      </c>
      <c r="E18" s="77">
        <f>'[2]Evolutive SFP'!D42</f>
        <v>9337095</v>
      </c>
      <c r="F18" s="77">
        <f>'[2]Evolutive SFP'!E42</f>
        <v>6504356.6699999999</v>
      </c>
      <c r="G18" s="77">
        <f>'[2]Evolutive SFP'!F42</f>
        <v>7436870.5700000003</v>
      </c>
      <c r="H18" s="77">
        <f>'[2]Evolutive SFP'!G42</f>
        <v>6071812.0099999998</v>
      </c>
      <c r="I18" s="77">
        <f>'[2]Evolutive SFP'!H42</f>
        <v>4366474.6900000004</v>
      </c>
      <c r="J18" s="77">
        <f>'[2]Evolutive SFP'!I42</f>
        <v>4663857.97</v>
      </c>
      <c r="K18" s="77">
        <f>'[2]Evolutive SFP'!J42</f>
        <v>4946815.82</v>
      </c>
      <c r="L18" s="77">
        <f>'[2]Evolutive SFP'!K42</f>
        <v>10990213.869999999</v>
      </c>
      <c r="M18" s="77">
        <f>'[2]Evolutive SFP'!L42</f>
        <v>10296055.029999999</v>
      </c>
      <c r="N18" s="77">
        <f>'[2]Evolutive SFP'!M42</f>
        <v>14289779.539999999</v>
      </c>
      <c r="O18" s="77">
        <f>'[2]Evolutive SFP'!N42</f>
        <v>16311410.68</v>
      </c>
      <c r="P18" s="77">
        <f>'[2]Evolutive SFP'!O42</f>
        <v>23827030.850000001</v>
      </c>
      <c r="Q18" s="77">
        <f>'[2]Evolutive SFP'!P42</f>
        <v>13061625</v>
      </c>
      <c r="R18" s="77">
        <f>'[2]Evolutive SFP'!Q42</f>
        <v>3752898.54</v>
      </c>
      <c r="S18" s="77">
        <f>'[2]Evolutive SFP'!R42</f>
        <v>1222702.74</v>
      </c>
      <c r="T18" s="77">
        <f>'[2]Evolutive SFP'!S42</f>
        <v>1599641.22</v>
      </c>
      <c r="U18" s="77">
        <f>'[2]Evolutive SFP'!T42</f>
        <v>2379802.31</v>
      </c>
      <c r="V18" s="77">
        <f>'[2]Evolutive SFP'!U42</f>
        <v>1972446.13</v>
      </c>
      <c r="W18" s="77">
        <f>'[2]Evolutive SFP'!V42</f>
        <v>5036313.8899999997</v>
      </c>
      <c r="X18" s="77">
        <f>'[2]Evolutive SFP'!W42</f>
        <v>1573466.69</v>
      </c>
      <c r="Y18" s="77">
        <f>'[2]Evolutive SFP'!X42</f>
        <v>4704502.66</v>
      </c>
      <c r="Z18" s="77">
        <f>'[2]Evolutive SFP'!Y42</f>
        <v>5175944.21</v>
      </c>
      <c r="AA18" s="77">
        <f>'[2]Evolutive SFP'!Z42</f>
        <v>36468878</v>
      </c>
      <c r="AB18" s="77">
        <f>'[2]Evolutive SFP'!AA42</f>
        <v>36468878</v>
      </c>
      <c r="AC18" s="77">
        <f>'[2]Evolutive SFP'!AB42</f>
        <v>36468878</v>
      </c>
      <c r="AD18" s="77">
        <f>'[2]Evolutive SFP'!AC42</f>
        <v>11618934</v>
      </c>
      <c r="AE18" s="77">
        <f>'[2]Evolutive SFP'!AD42</f>
        <v>4204913.5599999996</v>
      </c>
      <c r="AF18" s="77">
        <f>'[2]Evolutive SFP'!AE42</f>
        <v>3002478.01</v>
      </c>
      <c r="AG18" s="77">
        <f>'[2]Evolutive SFP'!AF42</f>
        <v>2008460.85</v>
      </c>
      <c r="AH18" s="77">
        <f>'[2]Evolutive SFP'!AG42</f>
        <v>3946586.27</v>
      </c>
      <c r="AI18" s="77">
        <f>'[2]Evolutive SFP'!AH42</f>
        <v>4231703.5999999996</v>
      </c>
      <c r="AJ18" s="77">
        <f>'[2]Evolutive SFP'!AI42</f>
        <v>6148706.46</v>
      </c>
      <c r="AK18" s="77">
        <f>'[2]Evolutive SFP'!AJ42</f>
        <v>14872506.68</v>
      </c>
      <c r="AL18" s="77">
        <f>'[2]Evolutive SFP'!AK42</f>
        <v>5073515.9000000004</v>
      </c>
      <c r="AM18" s="77">
        <f>'[2]Evolutive SFP'!AL42</f>
        <v>9673220.0299999993</v>
      </c>
      <c r="AN18" s="77">
        <f>'[2]Evolutive SFP'!AM42</f>
        <v>20813587.780000001</v>
      </c>
      <c r="AO18" s="77">
        <f>'[2]Evolutive SFP'!AN42</f>
        <v>27034600</v>
      </c>
      <c r="AP18" s="77">
        <f>'[2]Evolutive SFP'!AO42</f>
        <v>8748957</v>
      </c>
      <c r="AQ18" s="77">
        <f>'[2]Evolutive SFP'!AP42</f>
        <v>2294299.09</v>
      </c>
      <c r="AR18" s="77">
        <f>'[2]Evolutive SFP'!AQ42</f>
        <v>398257.88</v>
      </c>
      <c r="AS18" s="77">
        <f>'[2]Evolutive SFP'!AR42</f>
        <v>3064887.42</v>
      </c>
      <c r="AT18" s="77">
        <f>'[2]Evolutive SFP'!AS42</f>
        <v>3661793.81</v>
      </c>
      <c r="AU18" s="77">
        <f>'[2]Evolutive SFP'!AT42</f>
        <v>5850402.5599999996</v>
      </c>
      <c r="AV18" s="77">
        <f>'[2]Evolutive SFP'!AU42</f>
        <v>5938418.6100000003</v>
      </c>
      <c r="AW18" s="77">
        <f>'[2]Evolutive SFP'!AV42</f>
        <v>6753168.9299999997</v>
      </c>
      <c r="AX18" s="77">
        <f>'[2]Evolutive SFP'!AW42</f>
        <v>7930110.0899999999</v>
      </c>
      <c r="AY18" s="77">
        <f>'[2]Evolutive SFP'!AX42</f>
        <v>8733514.4199999999</v>
      </c>
      <c r="AZ18" s="77">
        <f>'[2]Evolutive SFP'!AY42</f>
        <v>12047730.15</v>
      </c>
      <c r="BA18" s="77">
        <f>'[2]Evolutive SFP'!AZ42</f>
        <v>15063251.449999999</v>
      </c>
      <c r="BB18" s="77">
        <f>'[2]Evolutive SFP'!BA42</f>
        <v>22321321.199999999</v>
      </c>
      <c r="BC18" s="77">
        <f>'[2]Evolutive SFP'!BB42</f>
        <v>878407</v>
      </c>
      <c r="BD18" s="77">
        <f>'[2]Evolutive SFP'!BC42</f>
        <v>895726.83</v>
      </c>
      <c r="BE18" s="77">
        <f>'[2]Evolutive SFP'!BD42</f>
        <v>1526619.79</v>
      </c>
      <c r="BF18" s="77">
        <f>'[2]Evolutive SFP'!BE42</f>
        <v>2513660.63</v>
      </c>
      <c r="BG18" s="77">
        <f>'[2]Evolutive SFP'!BF42</f>
        <v>4337750.46</v>
      </c>
      <c r="BH18" s="77">
        <f>'[2]Evolutive SFP'!BG42</f>
        <v>5661253.9299999997</v>
      </c>
      <c r="BI18" s="77">
        <f>'[2]Evolutive SFP'!BH42</f>
        <v>6323436.8300000001</v>
      </c>
      <c r="BJ18" s="77">
        <f>'[2]Evolutive SFP'!BI42</f>
        <v>8134736.21</v>
      </c>
      <c r="BK18" s="77">
        <f>'[2]Evolutive SFP'!BJ42</f>
        <v>8419733.4199999999</v>
      </c>
      <c r="BL18" s="77">
        <f>'[2]Evolutive SFP'!BK42</f>
        <v>8935840.6199999992</v>
      </c>
      <c r="BM18" s="119">
        <f>'[2]Evolutive SFP'!BL42</f>
        <v>11807849.58</v>
      </c>
      <c r="BN18" s="77">
        <f>'[2]Evolutive SFP'!BM42</f>
        <v>13189937.359999999</v>
      </c>
      <c r="BO18" s="77">
        <f>'[2]Evolutive SFP'!BN42</f>
        <v>24002152.109999999</v>
      </c>
      <c r="BP18" s="77">
        <f>'[2]Evolutive SFP'!BO42</f>
        <v>0</v>
      </c>
      <c r="BQ18" s="77">
        <f>'[2]Evolutive SFP'!BP42</f>
        <v>0</v>
      </c>
      <c r="BR18" s="77">
        <f>'[2]Evolutive SFP'!BQ42</f>
        <v>0</v>
      </c>
      <c r="BS18" s="77">
        <f>'[2]Evolutive SFP'!BR42</f>
        <v>0</v>
      </c>
      <c r="BT18" s="77">
        <f>'[2]Evolutive SFP'!BS42</f>
        <v>0</v>
      </c>
      <c r="BU18" s="77">
        <f>'[2]Evolutive SFP'!BT42</f>
        <v>0</v>
      </c>
      <c r="BV18" s="77">
        <f>'[2]Evolutive SFP'!BU42</f>
        <v>0</v>
      </c>
      <c r="BW18" s="77">
        <f>'[2]Evolutive SFP'!BV42</f>
        <v>0</v>
      </c>
      <c r="BX18" s="77">
        <f>'[2]Evolutive SFP'!BW42</f>
        <v>0</v>
      </c>
      <c r="BY18" s="77">
        <f>'[2]Evolutive SFP'!BX42</f>
        <v>0</v>
      </c>
      <c r="BZ18" s="77">
        <f>'[2]Evolutive SFP'!BY42</f>
        <v>0</v>
      </c>
      <c r="CA18" s="77">
        <f>'[2]Evolutive SFP'!BZ42</f>
        <v>0</v>
      </c>
      <c r="CB18" s="77">
        <f>'[2]Evolutive SFP'!CA42</f>
        <v>0</v>
      </c>
      <c r="CC18" s="77">
        <f>'[2]Evolutive SFP'!CB42</f>
        <v>0</v>
      </c>
      <c r="CD18" s="77">
        <f>'[2]Evolutive SFP'!CC42</f>
        <v>0</v>
      </c>
      <c r="CE18" s="77">
        <f>'[2]Evolutive SFP'!CD42</f>
        <v>0</v>
      </c>
      <c r="CF18" s="77">
        <f>'[2]Evolutive SFP'!CE42</f>
        <v>0</v>
      </c>
      <c r="CG18" s="77">
        <f>'[2]Evolutive SFP'!CF42</f>
        <v>0</v>
      </c>
      <c r="CH18" s="77">
        <f>'[2]Evolutive SFP'!CG42</f>
        <v>0</v>
      </c>
      <c r="CI18" s="77">
        <f>'[2]Evolutive SFP'!CH42</f>
        <v>0</v>
      </c>
      <c r="CJ18" s="77">
        <f>'[2]Evolutive SFP'!CI42</f>
        <v>0</v>
      </c>
      <c r="CK18" s="77">
        <f>'[2]Evolutive SFP'!CJ42</f>
        <v>0</v>
      </c>
      <c r="CL18" s="77">
        <f>'[2]Evolutive SFP'!CK42</f>
        <v>0</v>
      </c>
      <c r="CM18" s="77">
        <f>'[2]Evolutive SFP'!CL42</f>
        <v>0</v>
      </c>
      <c r="CN18" s="77">
        <f>'[2]Evolutive SFP'!CM42</f>
        <v>0</v>
      </c>
      <c r="CO18" s="77">
        <f>'[2]Evolutive SFP'!CN42</f>
        <v>0</v>
      </c>
      <c r="CP18" s="77">
        <f>'[2]Evolutive SFP'!CO42</f>
        <v>0</v>
      </c>
      <c r="CQ18" s="77">
        <f>'[2]Evolutive SFP'!CP42</f>
        <v>0</v>
      </c>
      <c r="CR18" s="77">
        <f>'[2]Evolutive SFP'!CQ42</f>
        <v>0</v>
      </c>
      <c r="CS18" s="77">
        <f>'[2]Evolutive SFP'!CR42</f>
        <v>0</v>
      </c>
    </row>
    <row r="19" spans="1:97">
      <c r="A19" t="s">
        <v>239</v>
      </c>
      <c r="B19" t="s">
        <v>43</v>
      </c>
      <c r="C19" s="77">
        <f>'[2]Evolutive SFP'!B43</f>
        <v>531274</v>
      </c>
      <c r="D19" s="77">
        <f>'[2]Evolutive SFP'!C43</f>
        <v>31870722</v>
      </c>
      <c r="E19" s="77">
        <f>'[2]Evolutive SFP'!D43</f>
        <v>29333544</v>
      </c>
      <c r="F19" s="77">
        <f>'[2]Evolutive SFP'!E43</f>
        <v>31870722</v>
      </c>
      <c r="G19" s="77">
        <f>'[2]Evolutive SFP'!F43</f>
        <v>31870722</v>
      </c>
      <c r="H19" s="77">
        <f>'[2]Evolutive SFP'!G43</f>
        <v>31870722</v>
      </c>
      <c r="I19" s="77">
        <f>'[2]Evolutive SFP'!H43</f>
        <v>31870722</v>
      </c>
      <c r="J19" s="77">
        <f>'[2]Evolutive SFP'!I43</f>
        <v>31870722</v>
      </c>
      <c r="K19" s="77">
        <f>'[2]Evolutive SFP'!J43</f>
        <v>31870722</v>
      </c>
      <c r="L19" s="77">
        <f>'[2]Evolutive SFP'!K43</f>
        <v>31870722</v>
      </c>
      <c r="M19" s="77">
        <f>'[2]Evolutive SFP'!L43</f>
        <v>31870722</v>
      </c>
      <c r="N19" s="77">
        <f>'[2]Evolutive SFP'!M43</f>
        <v>31870722</v>
      </c>
      <c r="O19" s="77">
        <f>'[2]Evolutive SFP'!N43</f>
        <v>31870722</v>
      </c>
      <c r="P19" s="77">
        <f>'[2]Evolutive SFP'!O43</f>
        <v>31870722</v>
      </c>
      <c r="Q19" s="77">
        <f>'[2]Evolutive SFP'!P43</f>
        <v>36636128</v>
      </c>
      <c r="R19" s="77">
        <f>'[2]Evolutive SFP'!Q43</f>
        <v>31870722</v>
      </c>
      <c r="S19" s="77">
        <f>'[2]Evolutive SFP'!R43</f>
        <v>36468878</v>
      </c>
      <c r="T19" s="77">
        <f>'[2]Evolutive SFP'!S43</f>
        <v>36468878</v>
      </c>
      <c r="U19" s="77">
        <f>'[2]Evolutive SFP'!T43</f>
        <v>36468878</v>
      </c>
      <c r="V19" s="77">
        <f>'[2]Evolutive SFP'!U43</f>
        <v>36468878</v>
      </c>
      <c r="W19" s="77">
        <f>'[2]Evolutive SFP'!V43</f>
        <v>36468878</v>
      </c>
      <c r="X19" s="77">
        <f>'[2]Evolutive SFP'!W43</f>
        <v>36468878</v>
      </c>
      <c r="Y19" s="77">
        <f>'[2]Evolutive SFP'!X43</f>
        <v>36468878</v>
      </c>
      <c r="Z19" s="77">
        <f>'[2]Evolutive SFP'!Y43</f>
        <v>36468878</v>
      </c>
      <c r="AA19" s="77">
        <f>'[2]Evolutive SFP'!Z43</f>
        <v>20871074.100000001</v>
      </c>
      <c r="AB19" s="77">
        <f>'[2]Evolutive SFP'!AA43</f>
        <v>20871074.100000001</v>
      </c>
      <c r="AC19" s="77">
        <f>'[2]Evolutive SFP'!AB43</f>
        <v>20871074.100000001</v>
      </c>
      <c r="AD19" s="77">
        <f>'[2]Evolutive SFP'!AC43</f>
        <v>41373612</v>
      </c>
      <c r="AE19" s="77">
        <f>'[2]Evolutive SFP'!AD43</f>
        <v>36468878</v>
      </c>
      <c r="AF19" s="77">
        <f>'[2]Evolutive SFP'!AE43</f>
        <v>41373612</v>
      </c>
      <c r="AG19" s="77">
        <f>'[2]Evolutive SFP'!AF43</f>
        <v>41373612</v>
      </c>
      <c r="AH19" s="77">
        <f>'[2]Evolutive SFP'!AG43</f>
        <v>41373612</v>
      </c>
      <c r="AI19" s="77">
        <f>'[2]Evolutive SFP'!AH43</f>
        <v>41373612</v>
      </c>
      <c r="AJ19" s="77">
        <f>'[2]Evolutive SFP'!AI43</f>
        <v>41373612</v>
      </c>
      <c r="AK19" s="77">
        <f>'[2]Evolutive SFP'!AJ43</f>
        <v>82747224</v>
      </c>
      <c r="AL19" s="77">
        <f>'[2]Evolutive SFP'!AK43</f>
        <v>41373612</v>
      </c>
      <c r="AM19" s="77">
        <f>'[2]Evolutive SFP'!AL43</f>
        <v>41373612</v>
      </c>
      <c r="AN19" s="77">
        <f>'[2]Evolutive SFP'!AM43</f>
        <v>41373612</v>
      </c>
      <c r="AO19" s="77">
        <f>'[2]Evolutive SFP'!AN43</f>
        <v>41373612</v>
      </c>
      <c r="AP19" s="77">
        <f>'[2]Evolutive SFP'!AO43</f>
        <v>46927876</v>
      </c>
      <c r="AQ19" s="77">
        <f>'[2]Evolutive SFP'!AP43</f>
        <v>41373612</v>
      </c>
      <c r="AR19" s="77">
        <f>'[2]Evolutive SFP'!AQ43</f>
        <v>46863639</v>
      </c>
      <c r="AS19" s="77">
        <f>'[2]Evolutive SFP'!AR43</f>
        <v>46863639</v>
      </c>
      <c r="AT19" s="77">
        <f>'[2]Evolutive SFP'!AS43</f>
        <v>46863639</v>
      </c>
      <c r="AU19" s="77">
        <f>'[2]Evolutive SFP'!AT43</f>
        <v>46863639</v>
      </c>
      <c r="AV19" s="77">
        <f>'[2]Evolutive SFP'!AU43</f>
        <v>46863639</v>
      </c>
      <c r="AW19" s="77">
        <f>'[2]Evolutive SFP'!AV43</f>
        <v>46863639</v>
      </c>
      <c r="AX19" s="77">
        <f>'[2]Evolutive SFP'!AW43</f>
        <v>46863639</v>
      </c>
      <c r="AY19" s="77">
        <f>'[2]Evolutive SFP'!AX43</f>
        <v>46863639</v>
      </c>
      <c r="AZ19" s="77">
        <f>'[2]Evolutive SFP'!AY43</f>
        <v>46863639</v>
      </c>
      <c r="BA19" s="77">
        <f>'[2]Evolutive SFP'!AZ43</f>
        <v>46863639</v>
      </c>
      <c r="BB19" s="77">
        <f>'[2]Evolutive SFP'!BA43</f>
        <v>46863639</v>
      </c>
      <c r="BC19" s="77">
        <f>'[2]Evolutive SFP'!BB43</f>
        <v>50780140</v>
      </c>
      <c r="BD19" s="77">
        <f>'[2]Evolutive SFP'!BC43</f>
        <v>46863639</v>
      </c>
      <c r="BE19" s="77">
        <f>'[2]Evolutive SFP'!BD43</f>
        <v>46863639</v>
      </c>
      <c r="BF19" s="77">
        <f>'[2]Evolutive SFP'!BE43</f>
        <v>50780140</v>
      </c>
      <c r="BG19" s="77">
        <f>'[2]Evolutive SFP'!BF43</f>
        <v>50780140</v>
      </c>
      <c r="BH19" s="77">
        <f>'[2]Evolutive SFP'!BG43</f>
        <v>50780140</v>
      </c>
      <c r="BI19" s="77">
        <f>'[2]Evolutive SFP'!BH43</f>
        <v>50780140</v>
      </c>
      <c r="BJ19" s="77">
        <f>'[2]Evolutive SFP'!BI43</f>
        <v>50780140</v>
      </c>
      <c r="BK19" s="77">
        <f>'[2]Evolutive SFP'!BJ43</f>
        <v>50780140</v>
      </c>
      <c r="BL19" s="77">
        <f>'[2]Evolutive SFP'!BK43</f>
        <v>50780140</v>
      </c>
      <c r="BM19" s="119">
        <f>'[2]Evolutive SFP'!BL43</f>
        <v>50780140</v>
      </c>
      <c r="BN19" s="77">
        <f>'[2]Evolutive SFP'!BM43</f>
        <v>50780140</v>
      </c>
      <c r="BO19" s="77">
        <f>'[2]Evolutive SFP'!BN43</f>
        <v>55580570</v>
      </c>
      <c r="BP19" s="77">
        <f>'[2]Evolutive SFP'!BO43</f>
        <v>0</v>
      </c>
      <c r="BQ19" s="77">
        <f>'[2]Evolutive SFP'!BP43</f>
        <v>0</v>
      </c>
      <c r="BR19" s="77">
        <f>'[2]Evolutive SFP'!BQ43</f>
        <v>0</v>
      </c>
      <c r="BS19" s="77">
        <f>'[2]Evolutive SFP'!BR43</f>
        <v>0</v>
      </c>
      <c r="BT19" s="77">
        <f>'[2]Evolutive SFP'!BS43</f>
        <v>0</v>
      </c>
      <c r="BU19" s="77">
        <f>'[2]Evolutive SFP'!BT43</f>
        <v>0</v>
      </c>
      <c r="BV19" s="77">
        <f>'[2]Evolutive SFP'!BU43</f>
        <v>0</v>
      </c>
      <c r="BW19" s="77">
        <f>'[2]Evolutive SFP'!BV43</f>
        <v>0</v>
      </c>
      <c r="BX19" s="77">
        <f>'[2]Evolutive SFP'!BW43</f>
        <v>0</v>
      </c>
      <c r="BY19" s="77">
        <f>'[2]Evolutive SFP'!BX43</f>
        <v>0</v>
      </c>
      <c r="BZ19" s="77">
        <f>'[2]Evolutive SFP'!BY43</f>
        <v>0</v>
      </c>
      <c r="CA19" s="77">
        <f>'[2]Evolutive SFP'!BZ43</f>
        <v>0</v>
      </c>
      <c r="CB19" s="77">
        <f>'[2]Evolutive SFP'!CA43</f>
        <v>0</v>
      </c>
      <c r="CC19" s="77">
        <f>'[2]Evolutive SFP'!CB43</f>
        <v>0</v>
      </c>
      <c r="CD19" s="77">
        <f>'[2]Evolutive SFP'!CC43</f>
        <v>0</v>
      </c>
      <c r="CE19" s="77">
        <f>'[2]Evolutive SFP'!CD43</f>
        <v>0</v>
      </c>
      <c r="CF19" s="77">
        <f>'[2]Evolutive SFP'!CE43</f>
        <v>0</v>
      </c>
      <c r="CG19" s="77">
        <f>'[2]Evolutive SFP'!CF43</f>
        <v>0</v>
      </c>
      <c r="CH19" s="77">
        <f>'[2]Evolutive SFP'!CG43</f>
        <v>0</v>
      </c>
      <c r="CI19" s="77">
        <f>'[2]Evolutive SFP'!CH43</f>
        <v>0</v>
      </c>
      <c r="CJ19" s="77">
        <f>'[2]Evolutive SFP'!CI43</f>
        <v>0</v>
      </c>
      <c r="CK19" s="77">
        <f>'[2]Evolutive SFP'!CJ43</f>
        <v>0</v>
      </c>
      <c r="CL19" s="77">
        <f>'[2]Evolutive SFP'!CK43</f>
        <v>0</v>
      </c>
      <c r="CM19" s="77">
        <f>'[2]Evolutive SFP'!CL43</f>
        <v>0</v>
      </c>
      <c r="CN19" s="77">
        <f>'[2]Evolutive SFP'!CM43</f>
        <v>0</v>
      </c>
      <c r="CO19" s="77">
        <f>'[2]Evolutive SFP'!CN43</f>
        <v>0</v>
      </c>
      <c r="CP19" s="77">
        <f>'[2]Evolutive SFP'!CO43</f>
        <v>0</v>
      </c>
      <c r="CQ19" s="77">
        <f>'[2]Evolutive SFP'!CP43</f>
        <v>0</v>
      </c>
      <c r="CR19" s="77">
        <f>'[2]Evolutive SFP'!CQ43</f>
        <v>0</v>
      </c>
      <c r="CS19" s="77">
        <f>'[2]Evolutive SFP'!CR43</f>
        <v>0</v>
      </c>
    </row>
    <row r="20" spans="1:97">
      <c r="A20" t="s">
        <v>240</v>
      </c>
      <c r="B20" t="s">
        <v>241</v>
      </c>
      <c r="C20" s="77">
        <f>('[2]Evolutive SFP'!B44)</f>
        <v>0</v>
      </c>
      <c r="D20" s="77">
        <f>('[2]Evolutive SFP'!C44)</f>
        <v>58441770</v>
      </c>
      <c r="E20" s="77">
        <f>('[2]Evolutive SFP'!D44)</f>
        <v>20871074.100000001</v>
      </c>
      <c r="F20" s="77">
        <f>('[2]Evolutive SFP'!E44)</f>
        <v>20871074.100000001</v>
      </c>
      <c r="G20" s="77">
        <f>('[2]Evolutive SFP'!F44)</f>
        <v>20871074.100000001</v>
      </c>
      <c r="H20" s="77">
        <f>('[2]Evolutive SFP'!G44)</f>
        <v>20871074.100000001</v>
      </c>
      <c r="I20" s="77">
        <f>('[2]Evolutive SFP'!H44)</f>
        <v>20871074.100000001</v>
      </c>
      <c r="J20" s="77">
        <f>('[2]Evolutive SFP'!I44)</f>
        <v>20871074.100000001</v>
      </c>
      <c r="K20" s="77">
        <f>('[2]Evolutive SFP'!J44)</f>
        <v>20871074.100000001</v>
      </c>
      <c r="L20" s="77">
        <f>('[2]Evolutive SFP'!K44)</f>
        <v>20871074.100000001</v>
      </c>
      <c r="M20" s="77">
        <f>('[2]Evolutive SFP'!L44)</f>
        <v>20871074.100000001</v>
      </c>
      <c r="N20" s="77">
        <f>('[2]Evolutive SFP'!M44)</f>
        <v>20871074.100000001</v>
      </c>
      <c r="O20" s="77">
        <f>('[2]Evolutive SFP'!N44)</f>
        <v>20871074.100000001</v>
      </c>
      <c r="P20" s="77">
        <f>('[2]Evolutive SFP'!O44)</f>
        <v>20871074.100000001</v>
      </c>
      <c r="Q20" s="77">
        <f>('[2]Evolutive SFP'!P44)</f>
        <v>20871074</v>
      </c>
      <c r="R20" s="77">
        <f>('[2]Evolutive SFP'!Q44)</f>
        <v>20871074.100000001</v>
      </c>
      <c r="S20" s="77">
        <f>('[2]Evolutive SFP'!R44)</f>
        <v>20871074.100000001</v>
      </c>
      <c r="T20" s="77">
        <f>('[2]Evolutive SFP'!S44)</f>
        <v>20871074.100000001</v>
      </c>
      <c r="U20" s="77">
        <f>('[2]Evolutive SFP'!T44)</f>
        <v>20871074.100000001</v>
      </c>
      <c r="V20" s="77">
        <f>('[2]Evolutive SFP'!U44)</f>
        <v>20871074.100000001</v>
      </c>
      <c r="W20" s="77">
        <f>('[2]Evolutive SFP'!V44)</f>
        <v>20871074.100000001</v>
      </c>
      <c r="X20" s="77">
        <f>('[2]Evolutive SFP'!W44)</f>
        <v>20871074.100000001</v>
      </c>
      <c r="Y20" s="77">
        <f>('[2]Evolutive SFP'!X44)</f>
        <v>20871074.100000001</v>
      </c>
      <c r="Z20" s="77">
        <f>('[2]Evolutive SFP'!Y44)</f>
        <v>20871074.100000001</v>
      </c>
      <c r="AA20" s="77">
        <f>('[2]Evolutive SFP'!Z44)</f>
        <v>37570696</v>
      </c>
      <c r="AB20" s="77">
        <f>('[2]Evolutive SFP'!AA44)</f>
        <v>37570696</v>
      </c>
      <c r="AC20" s="77">
        <f>('[2]Evolutive SFP'!AB44)</f>
        <v>37570696</v>
      </c>
      <c r="AD20" s="77">
        <f>('[2]Evolutive SFP'!AC44)</f>
        <v>20871074</v>
      </c>
      <c r="AE20" s="77">
        <f>('[2]Evolutive SFP'!AD44)</f>
        <v>20871074.100000001</v>
      </c>
      <c r="AF20" s="77">
        <f>('[2]Evolutive SFP'!AE44)</f>
        <v>20871074.100000001</v>
      </c>
      <c r="AG20" s="77">
        <f>('[2]Evolutive SFP'!AF44)</f>
        <v>20871074.100000001</v>
      </c>
      <c r="AH20" s="77">
        <f>('[2]Evolutive SFP'!AG44)</f>
        <v>20871074.100000001</v>
      </c>
      <c r="AI20" s="77">
        <f>('[2]Evolutive SFP'!AH44)</f>
        <v>20871074.100000001</v>
      </c>
      <c r="AJ20" s="77">
        <f>('[2]Evolutive SFP'!AI44)</f>
        <v>20871074.100000001</v>
      </c>
      <c r="AK20" s="77">
        <f>('[2]Evolutive SFP'!AJ44)</f>
        <v>41742148.200000003</v>
      </c>
      <c r="AL20" s="77">
        <f>('[2]Evolutive SFP'!AK44)</f>
        <v>20871074.100000001</v>
      </c>
      <c r="AM20" s="77">
        <f>('[2]Evolutive SFP'!AL44)</f>
        <v>20871074.100000001</v>
      </c>
      <c r="AN20" s="77">
        <f>('[2]Evolutive SFP'!AM44)</f>
        <v>20871074.100000001</v>
      </c>
      <c r="AO20" s="77">
        <f>('[2]Evolutive SFP'!AN44)</f>
        <v>20871074.100000001</v>
      </c>
      <c r="AP20" s="77">
        <f>('[2]Evolutive SFP'!AO44)</f>
        <v>20871074</v>
      </c>
      <c r="AQ20" s="77">
        <f>('[2]Evolutive SFP'!AP44)</f>
        <v>20871074.100000001</v>
      </c>
      <c r="AR20" s="77">
        <f>('[2]Evolutive SFP'!AQ44)</f>
        <v>20871074.100000001</v>
      </c>
      <c r="AS20" s="77">
        <f>('[2]Evolutive SFP'!AR44)</f>
        <v>20871074.100000001</v>
      </c>
      <c r="AT20" s="77">
        <f>('[2]Evolutive SFP'!AS44)</f>
        <v>20871074.100000001</v>
      </c>
      <c r="AU20" s="77">
        <f>('[2]Evolutive SFP'!AT44)</f>
        <v>20871074.100000001</v>
      </c>
      <c r="AV20" s="77">
        <f>('[2]Evolutive SFP'!AU44)</f>
        <v>20871074.100000001</v>
      </c>
      <c r="AW20" s="77">
        <f>('[2]Evolutive SFP'!AV44)</f>
        <v>20871074.100000001</v>
      </c>
      <c r="AX20" s="77">
        <f>('[2]Evolutive SFP'!AW44)</f>
        <v>20871074.100000001</v>
      </c>
      <c r="AY20" s="77">
        <f>('[2]Evolutive SFP'!AX44)</f>
        <v>20871074.100000001</v>
      </c>
      <c r="AZ20" s="77">
        <f>('[2]Evolutive SFP'!AY44)</f>
        <v>20871074.100000001</v>
      </c>
      <c r="BA20" s="77">
        <f>('[2]Evolutive SFP'!AZ44)</f>
        <v>20871074.100000001</v>
      </c>
      <c r="BB20" s="77">
        <f>('[2]Evolutive SFP'!BA44)</f>
        <v>20871074.100000001</v>
      </c>
      <c r="BC20" s="77">
        <f>('[2]Evolutive SFP'!BB44)</f>
        <v>20871074.100000001</v>
      </c>
      <c r="BD20" s="77">
        <f>('[2]Evolutive SFP'!BC44)</f>
        <v>20871074.100000001</v>
      </c>
      <c r="BE20" s="77">
        <f>('[2]Evolutive SFP'!BD44)</f>
        <v>20871074.100000001</v>
      </c>
      <c r="BF20" s="77">
        <f>('[2]Evolutive SFP'!BE44)</f>
        <v>20871074.100000001</v>
      </c>
      <c r="BG20" s="77">
        <f>('[2]Evolutive SFP'!BF44)</f>
        <v>20871074.100000001</v>
      </c>
      <c r="BH20" s="77">
        <f>('[2]Evolutive SFP'!BG44)</f>
        <v>20871074.100000001</v>
      </c>
      <c r="BI20" s="77">
        <f>('[2]Evolutive SFP'!BH44)</f>
        <v>20871074.100000001</v>
      </c>
      <c r="BJ20" s="77">
        <f>('[2]Evolutive SFP'!BI44)</f>
        <v>20871074.100000001</v>
      </c>
      <c r="BK20" s="77">
        <f>('[2]Evolutive SFP'!BJ44)</f>
        <v>20871074.100000001</v>
      </c>
      <c r="BL20" s="77">
        <f>('[2]Evolutive SFP'!BK44)</f>
        <v>20871074.100000001</v>
      </c>
      <c r="BM20" s="119">
        <f>('[2]Evolutive SFP'!BL44)</f>
        <v>20871074.100000001</v>
      </c>
      <c r="BN20" s="77">
        <f>('[2]Evolutive SFP'!BM44)</f>
        <v>20871074.100000001</v>
      </c>
      <c r="BO20" s="77">
        <f>('[2]Evolutive SFP'!BN44)</f>
        <v>20871074.100000001</v>
      </c>
      <c r="BP20" s="77">
        <f>('[2]Evolutive SFP'!BO44)</f>
        <v>0</v>
      </c>
      <c r="BQ20" s="77">
        <f>('[2]Evolutive SFP'!BP44)</f>
        <v>0</v>
      </c>
      <c r="BR20" s="77">
        <f>('[2]Evolutive SFP'!BQ44)</f>
        <v>0</v>
      </c>
      <c r="BS20" s="77">
        <f>('[2]Evolutive SFP'!BR44)</f>
        <v>0</v>
      </c>
      <c r="BT20" s="77">
        <f>('[2]Evolutive SFP'!BS44)</f>
        <v>0</v>
      </c>
      <c r="BU20" s="77">
        <f>('[2]Evolutive SFP'!BT44)</f>
        <v>0</v>
      </c>
      <c r="BV20" s="77">
        <f>('[2]Evolutive SFP'!BU44)</f>
        <v>0</v>
      </c>
      <c r="BW20" s="77">
        <f>('[2]Evolutive SFP'!BV44)</f>
        <v>0</v>
      </c>
      <c r="BX20" s="77">
        <f>('[2]Evolutive SFP'!BW44)</f>
        <v>0</v>
      </c>
      <c r="BY20" s="77">
        <f>('[2]Evolutive SFP'!BX44)</f>
        <v>0</v>
      </c>
      <c r="BZ20" s="77">
        <f>('[2]Evolutive SFP'!BY44)</f>
        <v>0</v>
      </c>
      <c r="CA20" s="77">
        <f>('[2]Evolutive SFP'!BZ44)</f>
        <v>0</v>
      </c>
      <c r="CB20" s="77">
        <f>('[2]Evolutive SFP'!CA44)</f>
        <v>0</v>
      </c>
      <c r="CC20" s="77">
        <f>('[2]Evolutive SFP'!CB44)</f>
        <v>0</v>
      </c>
      <c r="CD20" s="77">
        <f>('[2]Evolutive SFP'!CC44)</f>
        <v>0</v>
      </c>
      <c r="CE20" s="77">
        <f>('[2]Evolutive SFP'!CD44)</f>
        <v>0</v>
      </c>
      <c r="CF20" s="77">
        <f>('[2]Evolutive SFP'!CE44)</f>
        <v>0</v>
      </c>
      <c r="CG20" s="77">
        <f>('[2]Evolutive SFP'!CF44)</f>
        <v>0</v>
      </c>
      <c r="CH20" s="77">
        <f>('[2]Evolutive SFP'!CG44)</f>
        <v>0</v>
      </c>
      <c r="CI20" s="77">
        <f>('[2]Evolutive SFP'!CH44)</f>
        <v>0</v>
      </c>
      <c r="CJ20" s="77">
        <f>('[2]Evolutive SFP'!CI44)</f>
        <v>0</v>
      </c>
      <c r="CK20" s="77">
        <f>('[2]Evolutive SFP'!CJ44)</f>
        <v>0</v>
      </c>
      <c r="CL20" s="77">
        <f>('[2]Evolutive SFP'!CK44)</f>
        <v>0</v>
      </c>
      <c r="CM20" s="77">
        <f>('[2]Evolutive SFP'!CL44)</f>
        <v>0</v>
      </c>
      <c r="CN20" s="77">
        <f>('[2]Evolutive SFP'!CM44)</f>
        <v>0</v>
      </c>
      <c r="CO20" s="77">
        <f>('[2]Evolutive SFP'!CN44)</f>
        <v>0</v>
      </c>
      <c r="CP20" s="77">
        <f>('[2]Evolutive SFP'!CO44)</f>
        <v>0</v>
      </c>
      <c r="CQ20" s="77">
        <f>('[2]Evolutive SFP'!CP44)</f>
        <v>0</v>
      </c>
      <c r="CR20" s="77">
        <f>('[2]Evolutive SFP'!CQ44)</f>
        <v>0</v>
      </c>
      <c r="CS20" s="77">
        <f>('[2]Evolutive SFP'!CR44)</f>
        <v>0</v>
      </c>
    </row>
    <row r="21" spans="1:97">
      <c r="A21" t="s">
        <v>242</v>
      </c>
      <c r="B21" t="s">
        <v>243</v>
      </c>
      <c r="C21" s="77">
        <f>C22+C23</f>
        <v>0</v>
      </c>
      <c r="D21" s="77">
        <f t="shared" ref="D21:BO21" si="7">D22+D23</f>
        <v>4313234</v>
      </c>
      <c r="E21" s="77">
        <f t="shared" si="7"/>
        <v>0</v>
      </c>
      <c r="F21" s="77">
        <f t="shared" si="7"/>
        <v>4313234</v>
      </c>
      <c r="G21" s="77">
        <f t="shared" si="7"/>
        <v>0</v>
      </c>
      <c r="H21" s="77">
        <f t="shared" si="7"/>
        <v>0</v>
      </c>
      <c r="I21" s="77">
        <f t="shared" si="7"/>
        <v>0</v>
      </c>
      <c r="J21" s="77">
        <f t="shared" si="7"/>
        <v>0</v>
      </c>
      <c r="K21" s="77">
        <f t="shared" si="7"/>
        <v>0</v>
      </c>
      <c r="L21" s="77">
        <f t="shared" si="7"/>
        <v>0</v>
      </c>
      <c r="M21" s="77">
        <f t="shared" si="7"/>
        <v>0</v>
      </c>
      <c r="N21" s="77">
        <f t="shared" si="7"/>
        <v>0</v>
      </c>
      <c r="O21" s="77">
        <f t="shared" si="7"/>
        <v>0</v>
      </c>
      <c r="P21" s="77">
        <f t="shared" si="7"/>
        <v>0</v>
      </c>
      <c r="Q21" s="77">
        <f t="shared" si="7"/>
        <v>6000000</v>
      </c>
      <c r="R21" s="77">
        <f t="shared" si="7"/>
        <v>0</v>
      </c>
      <c r="S21" s="77">
        <f t="shared" si="7"/>
        <v>6000000</v>
      </c>
      <c r="T21" s="77">
        <f t="shared" si="7"/>
        <v>0</v>
      </c>
      <c r="U21" s="77">
        <f t="shared" si="7"/>
        <v>0</v>
      </c>
      <c r="V21" s="77">
        <f t="shared" si="7"/>
        <v>0</v>
      </c>
      <c r="W21" s="77">
        <f t="shared" si="7"/>
        <v>0</v>
      </c>
      <c r="X21" s="77">
        <f t="shared" si="7"/>
        <v>0</v>
      </c>
      <c r="Y21" s="77">
        <f t="shared" si="7"/>
        <v>0</v>
      </c>
      <c r="Z21" s="77">
        <f t="shared" si="7"/>
        <v>0</v>
      </c>
      <c r="AA21" s="77">
        <f t="shared" si="7"/>
        <v>0</v>
      </c>
      <c r="AB21" s="77">
        <f t="shared" si="7"/>
        <v>0</v>
      </c>
      <c r="AC21" s="77">
        <f t="shared" si="7"/>
        <v>0</v>
      </c>
      <c r="AD21" s="77">
        <f t="shared" si="7"/>
        <v>8000000</v>
      </c>
      <c r="AE21" s="77">
        <f t="shared" si="7"/>
        <v>0</v>
      </c>
      <c r="AF21" s="77">
        <f t="shared" si="7"/>
        <v>8000000</v>
      </c>
      <c r="AG21" s="77">
        <f t="shared" si="7"/>
        <v>0</v>
      </c>
      <c r="AH21" s="77">
        <f t="shared" si="7"/>
        <v>0</v>
      </c>
      <c r="AI21" s="77">
        <f t="shared" si="7"/>
        <v>0</v>
      </c>
      <c r="AJ21" s="77">
        <f t="shared" si="7"/>
        <v>0</v>
      </c>
      <c r="AK21" s="77">
        <f t="shared" si="7"/>
        <v>0</v>
      </c>
      <c r="AL21" s="77">
        <f t="shared" si="7"/>
        <v>0</v>
      </c>
      <c r="AM21" s="77">
        <f t="shared" si="7"/>
        <v>0</v>
      </c>
      <c r="AN21" s="77">
        <f t="shared" si="7"/>
        <v>0</v>
      </c>
      <c r="AO21" s="77">
        <f t="shared" si="7"/>
        <v>0</v>
      </c>
      <c r="AP21" s="77">
        <f t="shared" si="7"/>
        <v>13465213</v>
      </c>
      <c r="AQ21" s="77">
        <f t="shared" si="7"/>
        <v>0</v>
      </c>
      <c r="AR21" s="77">
        <f t="shared" si="7"/>
        <v>13465213</v>
      </c>
      <c r="AS21" s="77">
        <f t="shared" si="7"/>
        <v>0</v>
      </c>
      <c r="AT21" s="77">
        <f t="shared" si="7"/>
        <v>0</v>
      </c>
      <c r="AU21" s="77">
        <f t="shared" si="7"/>
        <v>78715.600000000006</v>
      </c>
      <c r="AV21" s="77">
        <f t="shared" si="7"/>
        <v>0</v>
      </c>
      <c r="AW21" s="77">
        <f t="shared" si="7"/>
        <v>0</v>
      </c>
      <c r="AX21" s="77">
        <f t="shared" si="7"/>
        <v>0</v>
      </c>
      <c r="AY21" s="77">
        <f t="shared" si="7"/>
        <v>0</v>
      </c>
      <c r="AZ21" s="77">
        <f t="shared" si="7"/>
        <v>0</v>
      </c>
      <c r="BA21" s="77">
        <f t="shared" si="7"/>
        <v>0</v>
      </c>
      <c r="BB21" s="77">
        <f t="shared" si="7"/>
        <v>0</v>
      </c>
      <c r="BC21" s="77">
        <f t="shared" si="7"/>
        <v>14787592</v>
      </c>
      <c r="BD21" s="77">
        <f t="shared" si="7"/>
        <v>0</v>
      </c>
      <c r="BE21" s="77">
        <f t="shared" si="7"/>
        <v>0</v>
      </c>
      <c r="BF21" s="77">
        <f t="shared" si="7"/>
        <v>0</v>
      </c>
      <c r="BG21" s="77">
        <f t="shared" si="7"/>
        <v>0</v>
      </c>
      <c r="BH21" s="77">
        <f t="shared" si="7"/>
        <v>0</v>
      </c>
      <c r="BI21" s="77">
        <f t="shared" si="7"/>
        <v>0</v>
      </c>
      <c r="BJ21" s="77">
        <f t="shared" si="7"/>
        <v>0</v>
      </c>
      <c r="BK21" s="77">
        <f t="shared" si="7"/>
        <v>0</v>
      </c>
      <c r="BL21" s="77">
        <f t="shared" si="7"/>
        <v>0</v>
      </c>
      <c r="BM21" s="119">
        <f t="shared" si="7"/>
        <v>0</v>
      </c>
      <c r="BN21" s="77">
        <f t="shared" si="7"/>
        <v>0</v>
      </c>
      <c r="BO21" s="77">
        <f t="shared" si="7"/>
        <v>0</v>
      </c>
      <c r="BP21" s="77">
        <f t="shared" ref="BP21:CS21" si="8">BP22+BP23</f>
        <v>0</v>
      </c>
      <c r="BQ21" s="77">
        <f t="shared" si="8"/>
        <v>0</v>
      </c>
      <c r="BR21" s="77">
        <f t="shared" si="8"/>
        <v>0</v>
      </c>
      <c r="BS21" s="77">
        <f t="shared" si="8"/>
        <v>0</v>
      </c>
      <c r="BT21" s="77">
        <f t="shared" si="8"/>
        <v>0</v>
      </c>
      <c r="BU21" s="77">
        <f t="shared" si="8"/>
        <v>0</v>
      </c>
      <c r="BV21" s="77">
        <f t="shared" si="8"/>
        <v>0</v>
      </c>
      <c r="BW21" s="77">
        <f t="shared" si="8"/>
        <v>0</v>
      </c>
      <c r="BX21" s="77">
        <f t="shared" si="8"/>
        <v>0</v>
      </c>
      <c r="BY21" s="77">
        <f t="shared" si="8"/>
        <v>0</v>
      </c>
      <c r="BZ21" s="77">
        <f t="shared" si="8"/>
        <v>0</v>
      </c>
      <c r="CA21" s="77">
        <f t="shared" si="8"/>
        <v>0</v>
      </c>
      <c r="CB21" s="77">
        <f t="shared" si="8"/>
        <v>0</v>
      </c>
      <c r="CC21" s="77">
        <f t="shared" si="8"/>
        <v>0</v>
      </c>
      <c r="CD21" s="77">
        <f t="shared" si="8"/>
        <v>0</v>
      </c>
      <c r="CE21" s="77">
        <f t="shared" si="8"/>
        <v>0</v>
      </c>
      <c r="CF21" s="77">
        <f t="shared" si="8"/>
        <v>0</v>
      </c>
      <c r="CG21" s="77">
        <f t="shared" si="8"/>
        <v>0</v>
      </c>
      <c r="CH21" s="77">
        <f t="shared" si="8"/>
        <v>0</v>
      </c>
      <c r="CI21" s="77">
        <f t="shared" si="8"/>
        <v>0</v>
      </c>
      <c r="CJ21" s="77">
        <f t="shared" si="8"/>
        <v>0</v>
      </c>
      <c r="CK21" s="77">
        <f t="shared" si="8"/>
        <v>0</v>
      </c>
      <c r="CL21" s="77">
        <f t="shared" si="8"/>
        <v>0</v>
      </c>
      <c r="CM21" s="77">
        <f t="shared" si="8"/>
        <v>0</v>
      </c>
      <c r="CN21" s="77">
        <f t="shared" si="8"/>
        <v>0</v>
      </c>
      <c r="CO21" s="77">
        <f t="shared" si="8"/>
        <v>0</v>
      </c>
      <c r="CP21" s="77">
        <f t="shared" si="8"/>
        <v>0</v>
      </c>
      <c r="CQ21" s="77">
        <f t="shared" si="8"/>
        <v>0</v>
      </c>
      <c r="CR21" s="77">
        <f t="shared" si="8"/>
        <v>0</v>
      </c>
      <c r="CS21" s="77">
        <f t="shared" si="8"/>
        <v>0</v>
      </c>
    </row>
    <row r="22" spans="1:97">
      <c r="A22" t="s">
        <v>244</v>
      </c>
      <c r="B22" t="s">
        <v>46</v>
      </c>
      <c r="C22" s="77">
        <f>'[2]Evolutive SFP'!B46</f>
        <v>0</v>
      </c>
      <c r="D22" s="77">
        <f>'[2]Evolutive SFP'!C46</f>
        <v>4313234</v>
      </c>
      <c r="E22" s="77">
        <f>'[2]Evolutive SFP'!D46</f>
        <v>0</v>
      </c>
      <c r="F22" s="77">
        <f>'[2]Evolutive SFP'!E46</f>
        <v>4313234</v>
      </c>
      <c r="G22" s="77">
        <f>'[2]Evolutive SFP'!F46</f>
        <v>0</v>
      </c>
      <c r="H22" s="77">
        <f>'[2]Evolutive SFP'!G46</f>
        <v>0</v>
      </c>
      <c r="I22" s="77">
        <f>'[2]Evolutive SFP'!H46</f>
        <v>0</v>
      </c>
      <c r="J22" s="77">
        <f>'[2]Evolutive SFP'!I46</f>
        <v>0</v>
      </c>
      <c r="K22" s="77">
        <f>'[2]Evolutive SFP'!J46</f>
        <v>0</v>
      </c>
      <c r="L22" s="77">
        <f>'[2]Evolutive SFP'!K46</f>
        <v>0</v>
      </c>
      <c r="M22" s="77">
        <f>'[2]Evolutive SFP'!L46</f>
        <v>0</v>
      </c>
      <c r="N22" s="77">
        <f>'[2]Evolutive SFP'!M46</f>
        <v>0</v>
      </c>
      <c r="O22" s="77">
        <f>'[2]Evolutive SFP'!N46</f>
        <v>0</v>
      </c>
      <c r="P22" s="77">
        <f>'[2]Evolutive SFP'!O46</f>
        <v>0</v>
      </c>
      <c r="Q22" s="77">
        <f>'[2]Evolutive SFP'!P46</f>
        <v>6000000</v>
      </c>
      <c r="R22" s="77">
        <f>'[2]Evolutive SFP'!Q46</f>
        <v>0</v>
      </c>
      <c r="S22" s="77">
        <f>'[2]Evolutive SFP'!R46</f>
        <v>6000000</v>
      </c>
      <c r="T22" s="77">
        <f>'[2]Evolutive SFP'!S46</f>
        <v>0</v>
      </c>
      <c r="U22" s="77">
        <f>'[2]Evolutive SFP'!T46</f>
        <v>0</v>
      </c>
      <c r="V22" s="77">
        <f>'[2]Evolutive SFP'!U46</f>
        <v>0</v>
      </c>
      <c r="W22" s="77">
        <f>'[2]Evolutive SFP'!V46</f>
        <v>0</v>
      </c>
      <c r="X22" s="77">
        <f>'[2]Evolutive SFP'!W46</f>
        <v>0</v>
      </c>
      <c r="Y22" s="77">
        <f>'[2]Evolutive SFP'!X46</f>
        <v>0</v>
      </c>
      <c r="Z22" s="77">
        <f>'[2]Evolutive SFP'!Y46</f>
        <v>0</v>
      </c>
      <c r="AA22" s="77">
        <f>'[2]Evolutive SFP'!Z46</f>
        <v>0</v>
      </c>
      <c r="AB22" s="77">
        <f>'[2]Evolutive SFP'!AA46</f>
        <v>0</v>
      </c>
      <c r="AC22" s="77">
        <f>'[2]Evolutive SFP'!AB46</f>
        <v>0</v>
      </c>
      <c r="AD22" s="77">
        <f>'[2]Evolutive SFP'!AC46</f>
        <v>8000000</v>
      </c>
      <c r="AE22" s="77">
        <f>'[2]Evolutive SFP'!AD46</f>
        <v>0</v>
      </c>
      <c r="AF22" s="77">
        <f>'[2]Evolutive SFP'!AE46</f>
        <v>8000000</v>
      </c>
      <c r="AG22" s="77">
        <f>'[2]Evolutive SFP'!AF46</f>
        <v>0</v>
      </c>
      <c r="AH22" s="77">
        <f>'[2]Evolutive SFP'!AG46</f>
        <v>0</v>
      </c>
      <c r="AI22" s="77">
        <f>'[2]Evolutive SFP'!AH46</f>
        <v>0</v>
      </c>
      <c r="AJ22" s="77">
        <f>'[2]Evolutive SFP'!AI46</f>
        <v>0</v>
      </c>
      <c r="AK22" s="77">
        <f>'[2]Evolutive SFP'!AJ46</f>
        <v>0</v>
      </c>
      <c r="AL22" s="77">
        <f>'[2]Evolutive SFP'!AK46</f>
        <v>0</v>
      </c>
      <c r="AM22" s="77">
        <f>'[2]Evolutive SFP'!AL46</f>
        <v>0</v>
      </c>
      <c r="AN22" s="77">
        <f>'[2]Evolutive SFP'!AM46</f>
        <v>0</v>
      </c>
      <c r="AO22" s="77">
        <f>'[2]Evolutive SFP'!AN46</f>
        <v>0</v>
      </c>
      <c r="AP22" s="77">
        <f>'[2]Evolutive SFP'!AO46</f>
        <v>13465213</v>
      </c>
      <c r="AQ22" s="77">
        <f>'[2]Evolutive SFP'!AP46</f>
        <v>0</v>
      </c>
      <c r="AR22" s="77">
        <f>'[2]Evolutive SFP'!AQ46</f>
        <v>13465213</v>
      </c>
      <c r="AS22" s="77">
        <f>'[2]Evolutive SFP'!AR46</f>
        <v>0</v>
      </c>
      <c r="AT22" s="77">
        <f>'[2]Evolutive SFP'!AS46</f>
        <v>0</v>
      </c>
      <c r="AU22" s="77">
        <f>'[2]Evolutive SFP'!AT46</f>
        <v>78715.600000000006</v>
      </c>
      <c r="AV22" s="77">
        <f>'[2]Evolutive SFP'!AU46</f>
        <v>0</v>
      </c>
      <c r="AW22" s="77">
        <f>'[2]Evolutive SFP'!AV46</f>
        <v>0</v>
      </c>
      <c r="AX22" s="77">
        <f>'[2]Evolutive SFP'!AW46</f>
        <v>0</v>
      </c>
      <c r="AY22" s="77">
        <f>'[2]Evolutive SFP'!AX46</f>
        <v>0</v>
      </c>
      <c r="AZ22" s="77">
        <f>'[2]Evolutive SFP'!AY46</f>
        <v>0</v>
      </c>
      <c r="BA22" s="77">
        <f>'[2]Evolutive SFP'!AZ46</f>
        <v>0</v>
      </c>
      <c r="BB22" s="77">
        <f>'[2]Evolutive SFP'!BA46</f>
        <v>0</v>
      </c>
      <c r="BC22" s="77">
        <f>'[2]Evolutive SFP'!BB46</f>
        <v>14787592</v>
      </c>
      <c r="BD22" s="77">
        <f>'[2]Evolutive SFP'!BC46</f>
        <v>0</v>
      </c>
      <c r="BE22" s="77">
        <f>'[2]Evolutive SFP'!BD46</f>
        <v>0</v>
      </c>
      <c r="BF22" s="77">
        <f>'[2]Evolutive SFP'!BE46</f>
        <v>0</v>
      </c>
      <c r="BG22" s="77">
        <f>'[2]Evolutive SFP'!BF46</f>
        <v>0</v>
      </c>
      <c r="BH22" s="77">
        <f>'[2]Evolutive SFP'!BG46</f>
        <v>0</v>
      </c>
      <c r="BI22" s="77">
        <f>'[2]Evolutive SFP'!BH46</f>
        <v>0</v>
      </c>
      <c r="BJ22" s="77">
        <f>'[2]Evolutive SFP'!BI46</f>
        <v>0</v>
      </c>
      <c r="BK22" s="77">
        <f>'[2]Evolutive SFP'!BJ46</f>
        <v>0</v>
      </c>
      <c r="BL22" s="77">
        <f>'[2]Evolutive SFP'!BK46</f>
        <v>0</v>
      </c>
      <c r="BM22" s="119">
        <f>'[2]Evolutive SFP'!BL46</f>
        <v>0</v>
      </c>
      <c r="BN22" s="77">
        <f>'[2]Evolutive SFP'!BM46</f>
        <v>0</v>
      </c>
      <c r="BO22" s="77">
        <f>'[2]Evolutive SFP'!BN46</f>
        <v>0</v>
      </c>
      <c r="BP22" s="77">
        <f>'[2]Evolutive SFP'!BO46</f>
        <v>0</v>
      </c>
      <c r="BQ22" s="77">
        <f>'[2]Evolutive SFP'!BP46</f>
        <v>0</v>
      </c>
      <c r="BR22" s="77">
        <f>'[2]Evolutive SFP'!BQ46</f>
        <v>0</v>
      </c>
      <c r="BS22" s="77">
        <f>'[2]Evolutive SFP'!BR46</f>
        <v>0</v>
      </c>
      <c r="BT22" s="77">
        <f>'[2]Evolutive SFP'!BS46</f>
        <v>0</v>
      </c>
      <c r="BU22" s="77">
        <f>'[2]Evolutive SFP'!BT46</f>
        <v>0</v>
      </c>
      <c r="BV22" s="77">
        <f>'[2]Evolutive SFP'!BU46</f>
        <v>0</v>
      </c>
      <c r="BW22" s="77">
        <f>'[2]Evolutive SFP'!BV46</f>
        <v>0</v>
      </c>
      <c r="BX22" s="77">
        <f>'[2]Evolutive SFP'!BW46</f>
        <v>0</v>
      </c>
      <c r="BY22" s="77">
        <f>'[2]Evolutive SFP'!BX46</f>
        <v>0</v>
      </c>
      <c r="BZ22" s="77">
        <f>'[2]Evolutive SFP'!BY46</f>
        <v>0</v>
      </c>
      <c r="CA22" s="77">
        <f>'[2]Evolutive SFP'!BZ46</f>
        <v>0</v>
      </c>
      <c r="CB22" s="77">
        <f>'[2]Evolutive SFP'!CA46</f>
        <v>0</v>
      </c>
      <c r="CC22" s="77">
        <f>'[2]Evolutive SFP'!CB46</f>
        <v>0</v>
      </c>
      <c r="CD22" s="77">
        <f>'[2]Evolutive SFP'!CC46</f>
        <v>0</v>
      </c>
      <c r="CE22" s="77">
        <f>'[2]Evolutive SFP'!CD46</f>
        <v>0</v>
      </c>
      <c r="CF22" s="77">
        <f>'[2]Evolutive SFP'!CE46</f>
        <v>0</v>
      </c>
      <c r="CG22" s="77">
        <f>'[2]Evolutive SFP'!CF46</f>
        <v>0</v>
      </c>
      <c r="CH22" s="77">
        <f>'[2]Evolutive SFP'!CG46</f>
        <v>0</v>
      </c>
      <c r="CI22" s="77">
        <f>'[2]Evolutive SFP'!CH46</f>
        <v>0</v>
      </c>
      <c r="CJ22" s="77">
        <f>'[2]Evolutive SFP'!CI46</f>
        <v>0</v>
      </c>
      <c r="CK22" s="77">
        <f>'[2]Evolutive SFP'!CJ46</f>
        <v>0</v>
      </c>
      <c r="CL22" s="77">
        <f>'[2]Evolutive SFP'!CK46</f>
        <v>0</v>
      </c>
      <c r="CM22" s="77">
        <f>'[2]Evolutive SFP'!CL46</f>
        <v>0</v>
      </c>
      <c r="CN22" s="77">
        <f>'[2]Evolutive SFP'!CM46</f>
        <v>0</v>
      </c>
      <c r="CO22" s="77">
        <f>'[2]Evolutive SFP'!CN46</f>
        <v>0</v>
      </c>
      <c r="CP22" s="77">
        <f>'[2]Evolutive SFP'!CO46</f>
        <v>0</v>
      </c>
      <c r="CQ22" s="77">
        <f>'[2]Evolutive SFP'!CP46</f>
        <v>0</v>
      </c>
      <c r="CR22" s="77">
        <f>'[2]Evolutive SFP'!CQ46</f>
        <v>0</v>
      </c>
      <c r="CS22" s="77">
        <f>'[2]Evolutive SFP'!CR46</f>
        <v>0</v>
      </c>
    </row>
    <row r="23" spans="1:97">
      <c r="A23" t="s">
        <v>245</v>
      </c>
      <c r="B23" t="s">
        <v>246</v>
      </c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119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</row>
    <row r="24" spans="1:97"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119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</row>
    <row r="25" spans="1:97">
      <c r="A25">
        <v>6</v>
      </c>
      <c r="B25" t="s">
        <v>247</v>
      </c>
      <c r="C25" s="77">
        <f>C26+C27+C28</f>
        <v>472260</v>
      </c>
      <c r="D25" s="77">
        <f t="shared" ref="D25:BO25" si="9">D26+D27+D28</f>
        <v>45486921</v>
      </c>
      <c r="E25" s="77">
        <f t="shared" si="9"/>
        <v>48835388.43</v>
      </c>
      <c r="F25" s="77">
        <f t="shared" si="9"/>
        <v>48885388.43</v>
      </c>
      <c r="G25" s="77">
        <f t="shared" si="9"/>
        <v>48935388.43</v>
      </c>
      <c r="H25" s="77">
        <f t="shared" si="9"/>
        <v>48985388.43</v>
      </c>
      <c r="I25" s="77">
        <f t="shared" si="9"/>
        <v>49035388.43</v>
      </c>
      <c r="J25" s="77">
        <f t="shared" si="9"/>
        <v>49085388.43</v>
      </c>
      <c r="K25" s="77">
        <f t="shared" si="9"/>
        <v>49135388.43</v>
      </c>
      <c r="L25" s="77">
        <f t="shared" si="9"/>
        <v>49385388.43</v>
      </c>
      <c r="M25" s="77">
        <f t="shared" si="9"/>
        <v>49435388.43</v>
      </c>
      <c r="N25" s="77">
        <f t="shared" si="9"/>
        <v>49485388.43</v>
      </c>
      <c r="O25" s="77">
        <f t="shared" si="9"/>
        <v>339535388.43000001</v>
      </c>
      <c r="P25" s="77">
        <f t="shared" si="9"/>
        <v>389627444.74000001</v>
      </c>
      <c r="Q25" s="77">
        <f t="shared" si="9"/>
        <v>45686922</v>
      </c>
      <c r="R25" s="77">
        <f t="shared" si="9"/>
        <v>239627444.74000001</v>
      </c>
      <c r="S25" s="77">
        <f t="shared" si="9"/>
        <v>199677444.74000001</v>
      </c>
      <c r="T25" s="77">
        <f t="shared" si="9"/>
        <v>199727444.74000001</v>
      </c>
      <c r="U25" s="77">
        <f t="shared" si="9"/>
        <v>199827444.74000001</v>
      </c>
      <c r="V25" s="77">
        <f t="shared" si="9"/>
        <v>206575084.74000001</v>
      </c>
      <c r="W25" s="77">
        <f t="shared" si="9"/>
        <v>226625084.74000001</v>
      </c>
      <c r="X25" s="77">
        <f t="shared" si="9"/>
        <v>226575084.74000001</v>
      </c>
      <c r="Y25" s="77">
        <f t="shared" si="9"/>
        <v>226625084.74000001</v>
      </c>
      <c r="Z25" s="77">
        <f t="shared" si="9"/>
        <v>226675084.74000001</v>
      </c>
      <c r="AA25" s="77">
        <f t="shared" si="9"/>
        <v>549037993.24000001</v>
      </c>
      <c r="AB25" s="77">
        <f t="shared" si="9"/>
        <v>588901390.77999997</v>
      </c>
      <c r="AC25" s="77">
        <f t="shared" si="9"/>
        <v>606020528.87</v>
      </c>
      <c r="AD25" s="77">
        <f t="shared" si="9"/>
        <v>252130090</v>
      </c>
      <c r="AE25" s="77">
        <f t="shared" si="9"/>
        <v>277180090.27999997</v>
      </c>
      <c r="AF25" s="77">
        <f t="shared" si="9"/>
        <v>187230090.28</v>
      </c>
      <c r="AG25" s="77">
        <f t="shared" si="9"/>
        <v>237330090.28</v>
      </c>
      <c r="AH25" s="77">
        <f t="shared" si="9"/>
        <v>257330090.28</v>
      </c>
      <c r="AI25" s="77">
        <f t="shared" si="9"/>
        <v>307380090.27999997</v>
      </c>
      <c r="AJ25" s="77">
        <f t="shared" si="9"/>
        <v>357441696.62</v>
      </c>
      <c r="AK25" s="77">
        <f t="shared" si="9"/>
        <v>615107413.96000004</v>
      </c>
      <c r="AL25" s="77">
        <f t="shared" si="9"/>
        <v>357603706.98000002</v>
      </c>
      <c r="AM25" s="77">
        <f t="shared" si="9"/>
        <v>332603706.98000002</v>
      </c>
      <c r="AN25" s="77">
        <f t="shared" si="9"/>
        <v>384720302.48000002</v>
      </c>
      <c r="AO25" s="77">
        <f t="shared" si="9"/>
        <v>484770302.48000002</v>
      </c>
      <c r="AP25" s="77">
        <f t="shared" si="9"/>
        <v>431167742</v>
      </c>
      <c r="AQ25" s="77">
        <f t="shared" si="9"/>
        <v>434845965.20999998</v>
      </c>
      <c r="AR25" s="77">
        <f t="shared" si="9"/>
        <v>434895965.20999998</v>
      </c>
      <c r="AS25" s="77">
        <f t="shared" si="9"/>
        <v>439945965.20999998</v>
      </c>
      <c r="AT25" s="77">
        <f t="shared" si="9"/>
        <v>409995965.20999998</v>
      </c>
      <c r="AU25" s="77">
        <f t="shared" si="9"/>
        <v>400045965.20999998</v>
      </c>
      <c r="AV25" s="77">
        <f t="shared" si="9"/>
        <v>400122507.25999999</v>
      </c>
      <c r="AW25" s="77">
        <f t="shared" si="9"/>
        <v>350122507.25999999</v>
      </c>
      <c r="AX25" s="77">
        <f t="shared" si="9"/>
        <v>400276474.06999999</v>
      </c>
      <c r="AY25" s="77">
        <f t="shared" si="9"/>
        <v>380326474.06999999</v>
      </c>
      <c r="AZ25" s="77">
        <f t="shared" si="9"/>
        <v>310376474.06999999</v>
      </c>
      <c r="BA25" s="77">
        <f t="shared" si="9"/>
        <v>310376474.06999999</v>
      </c>
      <c r="BB25" s="77">
        <f t="shared" si="9"/>
        <v>60476474.07</v>
      </c>
      <c r="BC25" s="77">
        <f t="shared" si="9"/>
        <v>54537561</v>
      </c>
      <c r="BD25" s="77">
        <f t="shared" si="9"/>
        <v>60476474.07</v>
      </c>
      <c r="BE25" s="77">
        <f t="shared" si="9"/>
        <v>60526474.07</v>
      </c>
      <c r="BF25" s="77">
        <f t="shared" si="9"/>
        <v>60576474.07</v>
      </c>
      <c r="BG25" s="77">
        <f t="shared" si="9"/>
        <v>60676474.07</v>
      </c>
      <c r="BH25" s="77">
        <f t="shared" si="9"/>
        <v>60726474.07</v>
      </c>
      <c r="BI25" s="77">
        <f t="shared" si="9"/>
        <v>60806573.530000001</v>
      </c>
      <c r="BJ25" s="77">
        <f t="shared" si="9"/>
        <v>60856573.530000001</v>
      </c>
      <c r="BK25" s="77">
        <f t="shared" si="9"/>
        <v>60906573.530000001</v>
      </c>
      <c r="BL25" s="77">
        <f t="shared" si="9"/>
        <v>60956573.530000001</v>
      </c>
      <c r="BM25" s="119">
        <f t="shared" si="9"/>
        <v>61006573.530000001</v>
      </c>
      <c r="BN25" s="77">
        <f t="shared" si="9"/>
        <v>61119478.43</v>
      </c>
      <c r="BO25" s="77">
        <f t="shared" si="9"/>
        <v>61169478.43</v>
      </c>
      <c r="BP25" s="77">
        <f t="shared" ref="BP25:CS25" si="10">BP26+BP27+BP28</f>
        <v>0</v>
      </c>
      <c r="BQ25" s="77">
        <f t="shared" si="10"/>
        <v>0</v>
      </c>
      <c r="BR25" s="77">
        <f t="shared" si="10"/>
        <v>0</v>
      </c>
      <c r="BS25" s="77">
        <f t="shared" si="10"/>
        <v>0</v>
      </c>
      <c r="BT25" s="77">
        <f t="shared" si="10"/>
        <v>0</v>
      </c>
      <c r="BU25" s="77">
        <f t="shared" si="10"/>
        <v>0</v>
      </c>
      <c r="BV25" s="77">
        <f t="shared" si="10"/>
        <v>0</v>
      </c>
      <c r="BW25" s="77">
        <f t="shared" si="10"/>
        <v>0</v>
      </c>
      <c r="BX25" s="77">
        <f t="shared" si="10"/>
        <v>0</v>
      </c>
      <c r="BY25" s="77">
        <f t="shared" si="10"/>
        <v>0</v>
      </c>
      <c r="BZ25" s="77">
        <f t="shared" si="10"/>
        <v>0</v>
      </c>
      <c r="CA25" s="77">
        <f t="shared" si="10"/>
        <v>0</v>
      </c>
      <c r="CB25" s="77">
        <f t="shared" si="10"/>
        <v>0</v>
      </c>
      <c r="CC25" s="77">
        <f t="shared" si="10"/>
        <v>0</v>
      </c>
      <c r="CD25" s="77">
        <f t="shared" si="10"/>
        <v>0</v>
      </c>
      <c r="CE25" s="77">
        <f t="shared" si="10"/>
        <v>0</v>
      </c>
      <c r="CF25" s="77">
        <f t="shared" si="10"/>
        <v>0</v>
      </c>
      <c r="CG25" s="77">
        <f t="shared" si="10"/>
        <v>0</v>
      </c>
      <c r="CH25" s="77">
        <f t="shared" si="10"/>
        <v>0</v>
      </c>
      <c r="CI25" s="77">
        <f t="shared" si="10"/>
        <v>0</v>
      </c>
      <c r="CJ25" s="77">
        <f t="shared" si="10"/>
        <v>0</v>
      </c>
      <c r="CK25" s="77">
        <f t="shared" si="10"/>
        <v>0</v>
      </c>
      <c r="CL25" s="77">
        <f t="shared" si="10"/>
        <v>0</v>
      </c>
      <c r="CM25" s="77">
        <f t="shared" si="10"/>
        <v>0</v>
      </c>
      <c r="CN25" s="77">
        <f t="shared" si="10"/>
        <v>0</v>
      </c>
      <c r="CO25" s="77">
        <f t="shared" si="10"/>
        <v>0</v>
      </c>
      <c r="CP25" s="77">
        <f t="shared" si="10"/>
        <v>0</v>
      </c>
      <c r="CQ25" s="77">
        <f t="shared" si="10"/>
        <v>0</v>
      </c>
      <c r="CR25" s="77">
        <f t="shared" si="10"/>
        <v>0</v>
      </c>
      <c r="CS25" s="77">
        <f t="shared" si="10"/>
        <v>0</v>
      </c>
    </row>
    <row r="26" spans="1:97">
      <c r="A26">
        <v>6.1</v>
      </c>
      <c r="B26" t="s">
        <v>248</v>
      </c>
      <c r="C26" s="77">
        <f>'[2]Evolutive SFP'!B13</f>
        <v>472260</v>
      </c>
      <c r="D26" s="77">
        <f>'[2]Evolutive SFP'!C13</f>
        <v>32948533</v>
      </c>
      <c r="E26" s="77">
        <f>'[2]Evolutive SFP'!D13</f>
        <v>48835388.43</v>
      </c>
      <c r="F26" s="77">
        <f>'[2]Evolutive SFP'!E13</f>
        <v>48885388.43</v>
      </c>
      <c r="G26" s="77">
        <f>'[2]Evolutive SFP'!F13</f>
        <v>48935388.43</v>
      </c>
      <c r="H26" s="77">
        <f>'[2]Evolutive SFP'!G13</f>
        <v>48985388.43</v>
      </c>
      <c r="I26" s="77">
        <f>'[2]Evolutive SFP'!H13</f>
        <v>49035388.43</v>
      </c>
      <c r="J26" s="77">
        <f>'[2]Evolutive SFP'!I13</f>
        <v>49085388.43</v>
      </c>
      <c r="K26" s="77">
        <f>'[2]Evolutive SFP'!J13</f>
        <v>49135388.43</v>
      </c>
      <c r="L26" s="77">
        <f>'[2]Evolutive SFP'!K13</f>
        <v>49385388.43</v>
      </c>
      <c r="M26" s="77">
        <f>'[2]Evolutive SFP'!L13</f>
        <v>49435388.43</v>
      </c>
      <c r="N26" s="77">
        <f>'[2]Evolutive SFP'!M13</f>
        <v>49485388.43</v>
      </c>
      <c r="O26" s="77">
        <f>'[2]Evolutive SFP'!N13</f>
        <v>339535388.43000001</v>
      </c>
      <c r="P26" s="77">
        <f>'[2]Evolutive SFP'!O13</f>
        <v>389627444.74000001</v>
      </c>
      <c r="Q26" s="77">
        <f>'[2]Evolutive SFP'!P13</f>
        <v>935000</v>
      </c>
      <c r="R26" s="77">
        <f>'[2]Evolutive SFP'!Q13</f>
        <v>239627444.74000001</v>
      </c>
      <c r="S26" s="77">
        <f>'[2]Evolutive SFP'!R13</f>
        <v>199677444.74000001</v>
      </c>
      <c r="T26" s="77">
        <f>'[2]Evolutive SFP'!S13</f>
        <v>199727444.74000001</v>
      </c>
      <c r="U26" s="77">
        <f>'[2]Evolutive SFP'!T13</f>
        <v>199827444.74000001</v>
      </c>
      <c r="V26" s="77">
        <f>'[2]Evolutive SFP'!U13</f>
        <v>206575084.74000001</v>
      </c>
      <c r="W26" s="77">
        <f>'[2]Evolutive SFP'!V13</f>
        <v>226625084.74000001</v>
      </c>
      <c r="X26" s="77">
        <f>'[2]Evolutive SFP'!W13</f>
        <v>226575084.74000001</v>
      </c>
      <c r="Y26" s="77">
        <f>'[2]Evolutive SFP'!X13</f>
        <v>226625084.74000001</v>
      </c>
      <c r="Z26" s="77">
        <f>'[2]Evolutive SFP'!Y13</f>
        <v>226675084.74000001</v>
      </c>
      <c r="AA26" s="77">
        <f>'[2]Evolutive SFP'!Z13</f>
        <v>549037993.24000001</v>
      </c>
      <c r="AB26" s="77">
        <f>'[2]Evolutive SFP'!AA13</f>
        <v>588901390.77999997</v>
      </c>
      <c r="AC26" s="77">
        <f>'[2]Evolutive SFP'!AB13</f>
        <v>606020528.87</v>
      </c>
      <c r="AD26" s="77">
        <f>'[2]Evolutive SFP'!AC13</f>
        <v>0</v>
      </c>
      <c r="AE26" s="77">
        <f>'[2]Evolutive SFP'!AD13</f>
        <v>0</v>
      </c>
      <c r="AF26" s="77">
        <f>'[2]Evolutive SFP'!AE13</f>
        <v>0</v>
      </c>
      <c r="AG26" s="77">
        <f>'[2]Evolutive SFP'!AF13</f>
        <v>0</v>
      </c>
      <c r="AH26" s="77">
        <f>'[2]Evolutive SFP'!AG13</f>
        <v>0</v>
      </c>
      <c r="AI26" s="77">
        <f>'[2]Evolutive SFP'!AH13</f>
        <v>0</v>
      </c>
      <c r="AJ26" s="77">
        <f>'[2]Evolutive SFP'!AI13</f>
        <v>0</v>
      </c>
      <c r="AK26" s="77">
        <f>'[2]Evolutive SFP'!AJ13</f>
        <v>0</v>
      </c>
      <c r="AL26" s="77">
        <f>'[2]Evolutive SFP'!AK13</f>
        <v>0</v>
      </c>
      <c r="AM26" s="77">
        <f>'[2]Evolutive SFP'!AL13</f>
        <v>0</v>
      </c>
      <c r="AN26" s="77">
        <f>'[2]Evolutive SFP'!AM13</f>
        <v>0</v>
      </c>
      <c r="AO26" s="77">
        <f>'[2]Evolutive SFP'!AN13</f>
        <v>0</v>
      </c>
      <c r="AP26" s="77">
        <f>'[2]Evolutive SFP'!AO13</f>
        <v>935000</v>
      </c>
      <c r="AQ26" s="77">
        <f>'[2]Evolutive SFP'!AP13</f>
        <v>434845965.20999998</v>
      </c>
      <c r="AR26" s="77">
        <f>'[2]Evolutive SFP'!AQ13</f>
        <v>434895965.20999998</v>
      </c>
      <c r="AS26" s="77">
        <f>'[2]Evolutive SFP'!AR13</f>
        <v>439945965.20999998</v>
      </c>
      <c r="AT26" s="77">
        <f>'[2]Evolutive SFP'!AS13</f>
        <v>409995965.20999998</v>
      </c>
      <c r="AU26" s="77">
        <f>'[2]Evolutive SFP'!AT13</f>
        <v>400045965.20999998</v>
      </c>
      <c r="AV26" s="77">
        <f>'[2]Evolutive SFP'!AU13</f>
        <v>400122507.25999999</v>
      </c>
      <c r="AW26" s="77">
        <f>'[2]Evolutive SFP'!AV13</f>
        <v>350122507.25999999</v>
      </c>
      <c r="AX26" s="77">
        <f>'[2]Evolutive SFP'!AW13</f>
        <v>400276474.06999999</v>
      </c>
      <c r="AY26" s="77">
        <f>'[2]Evolutive SFP'!AX13</f>
        <v>380326474.06999999</v>
      </c>
      <c r="AZ26" s="77">
        <f>'[2]Evolutive SFP'!AY13</f>
        <v>310376474.06999999</v>
      </c>
      <c r="BA26" s="77">
        <f>'[2]Evolutive SFP'!AZ13</f>
        <v>310376474.06999999</v>
      </c>
      <c r="BB26" s="77">
        <f>'[2]Evolutive SFP'!BA13</f>
        <v>60476474.07</v>
      </c>
      <c r="BC26" s="77">
        <f>'[2]Evolutive SFP'!BB13</f>
        <v>54537561</v>
      </c>
      <c r="BD26" s="77">
        <f>'[2]Evolutive SFP'!BC13</f>
        <v>60476474.07</v>
      </c>
      <c r="BE26" s="77">
        <f>'[2]Evolutive SFP'!BD13</f>
        <v>60526474.07</v>
      </c>
      <c r="BF26" s="77">
        <f>'[2]Evolutive SFP'!BE13</f>
        <v>60576474.07</v>
      </c>
      <c r="BG26" s="77">
        <f>'[2]Evolutive SFP'!BF13</f>
        <v>60676474.07</v>
      </c>
      <c r="BH26" s="77">
        <f>'[2]Evolutive SFP'!BG13</f>
        <v>60726474.07</v>
      </c>
      <c r="BI26" s="77">
        <f>'[2]Evolutive SFP'!BH13</f>
        <v>60806573.530000001</v>
      </c>
      <c r="BJ26" s="77">
        <f>'[2]Evolutive SFP'!BI13</f>
        <v>60856573.530000001</v>
      </c>
      <c r="BK26" s="77">
        <f>'[2]Evolutive SFP'!BJ13</f>
        <v>60906573.530000001</v>
      </c>
      <c r="BL26" s="77">
        <f>'[2]Evolutive SFP'!BK13</f>
        <v>60956573.530000001</v>
      </c>
      <c r="BM26" s="119">
        <f>'[2]Evolutive SFP'!BL13</f>
        <v>61006573.530000001</v>
      </c>
      <c r="BN26" s="77">
        <f>'[2]Evolutive SFP'!BM13</f>
        <v>61119478.43</v>
      </c>
      <c r="BO26" s="77">
        <f>'[2]Evolutive SFP'!BN13</f>
        <v>61169478.43</v>
      </c>
      <c r="BP26" s="77">
        <f>'[2]Evolutive SFP'!BO13</f>
        <v>0</v>
      </c>
      <c r="BQ26" s="77">
        <f>'[2]Evolutive SFP'!BP13</f>
        <v>0</v>
      </c>
      <c r="BR26" s="77">
        <f>'[2]Evolutive SFP'!BQ13</f>
        <v>0</v>
      </c>
      <c r="BS26" s="77">
        <f>'[2]Evolutive SFP'!BR13</f>
        <v>0</v>
      </c>
      <c r="BT26" s="77">
        <f>'[2]Evolutive SFP'!BS13</f>
        <v>0</v>
      </c>
      <c r="BU26" s="77">
        <f>'[2]Evolutive SFP'!BT13</f>
        <v>0</v>
      </c>
      <c r="BV26" s="77">
        <f>'[2]Evolutive SFP'!BU13</f>
        <v>0</v>
      </c>
      <c r="BW26" s="77">
        <f>'[2]Evolutive SFP'!BV13</f>
        <v>0</v>
      </c>
      <c r="BX26" s="77">
        <f>'[2]Evolutive SFP'!BW13</f>
        <v>0</v>
      </c>
      <c r="BY26" s="77">
        <f>'[2]Evolutive SFP'!BX13</f>
        <v>0</v>
      </c>
      <c r="BZ26" s="77">
        <f>'[2]Evolutive SFP'!BY13</f>
        <v>0</v>
      </c>
      <c r="CA26" s="77">
        <f>'[2]Evolutive SFP'!BZ13</f>
        <v>0</v>
      </c>
      <c r="CB26" s="77">
        <f>'[2]Evolutive SFP'!CA13</f>
        <v>0</v>
      </c>
      <c r="CC26" s="77">
        <f>'[2]Evolutive SFP'!CB13</f>
        <v>0</v>
      </c>
      <c r="CD26" s="77">
        <f>'[2]Evolutive SFP'!CC13</f>
        <v>0</v>
      </c>
      <c r="CE26" s="77">
        <f>'[2]Evolutive SFP'!CD13</f>
        <v>0</v>
      </c>
      <c r="CF26" s="77">
        <f>'[2]Evolutive SFP'!CE13</f>
        <v>0</v>
      </c>
      <c r="CG26" s="77">
        <f>'[2]Evolutive SFP'!CF13</f>
        <v>0</v>
      </c>
      <c r="CH26" s="77">
        <f>'[2]Evolutive SFP'!CG13</f>
        <v>0</v>
      </c>
      <c r="CI26" s="77">
        <f>'[2]Evolutive SFP'!CH13</f>
        <v>0</v>
      </c>
      <c r="CJ26" s="77">
        <f>'[2]Evolutive SFP'!CI13</f>
        <v>0</v>
      </c>
      <c r="CK26" s="77">
        <f>'[2]Evolutive SFP'!CJ13</f>
        <v>0</v>
      </c>
      <c r="CL26" s="77">
        <f>'[2]Evolutive SFP'!CK13</f>
        <v>0</v>
      </c>
      <c r="CM26" s="77">
        <f>'[2]Evolutive SFP'!CL13</f>
        <v>0</v>
      </c>
      <c r="CN26" s="77">
        <f>'[2]Evolutive SFP'!CM13</f>
        <v>0</v>
      </c>
      <c r="CO26" s="77">
        <f>'[2]Evolutive SFP'!CN13</f>
        <v>0</v>
      </c>
      <c r="CP26" s="77">
        <f>'[2]Evolutive SFP'!CO13</f>
        <v>0</v>
      </c>
      <c r="CQ26" s="77">
        <f>'[2]Evolutive SFP'!CP13</f>
        <v>0</v>
      </c>
      <c r="CR26" s="77">
        <f>'[2]Evolutive SFP'!CQ13</f>
        <v>0</v>
      </c>
      <c r="CS26" s="77">
        <f>'[2]Evolutive SFP'!CR13</f>
        <v>0</v>
      </c>
    </row>
    <row r="27" spans="1:97">
      <c r="A27">
        <v>6.2</v>
      </c>
      <c r="B27" t="s">
        <v>249</v>
      </c>
      <c r="C27" s="77">
        <f>'[2]Evolutive SFP'!B10</f>
        <v>0</v>
      </c>
      <c r="D27" s="77">
        <f>'[2]Evolutive SFP'!C10</f>
        <v>0</v>
      </c>
      <c r="E27" s="77">
        <f>'[2]Evolutive SFP'!D10</f>
        <v>0</v>
      </c>
      <c r="F27" s="77">
        <f>'[2]Evolutive SFP'!E10</f>
        <v>0</v>
      </c>
      <c r="G27" s="77">
        <f>'[2]Evolutive SFP'!F10</f>
        <v>0</v>
      </c>
      <c r="H27" s="77">
        <f>'[2]Evolutive SFP'!G10</f>
        <v>0</v>
      </c>
      <c r="I27" s="77">
        <f>'[2]Evolutive SFP'!H10</f>
        <v>0</v>
      </c>
      <c r="J27" s="77">
        <f>'[2]Evolutive SFP'!I10</f>
        <v>0</v>
      </c>
      <c r="K27" s="77">
        <f>'[2]Evolutive SFP'!J10</f>
        <v>0</v>
      </c>
      <c r="L27" s="77">
        <f>'[2]Evolutive SFP'!K10</f>
        <v>0</v>
      </c>
      <c r="M27" s="77">
        <f>'[2]Evolutive SFP'!L10</f>
        <v>0</v>
      </c>
      <c r="N27" s="77">
        <f>'[2]Evolutive SFP'!M10</f>
        <v>0</v>
      </c>
      <c r="O27" s="77">
        <f>'[2]Evolutive SFP'!N10</f>
        <v>0</v>
      </c>
      <c r="P27" s="77">
        <f>'[2]Evolutive SFP'!O10</f>
        <v>0</v>
      </c>
      <c r="Q27" s="77">
        <f>'[2]Evolutive SFP'!P10</f>
        <v>0</v>
      </c>
      <c r="R27" s="77">
        <f>'[2]Evolutive SFP'!Q10</f>
        <v>0</v>
      </c>
      <c r="S27" s="77">
        <f>'[2]Evolutive SFP'!R10</f>
        <v>0</v>
      </c>
      <c r="T27" s="77">
        <f>'[2]Evolutive SFP'!S10</f>
        <v>0</v>
      </c>
      <c r="U27" s="77">
        <f>'[2]Evolutive SFP'!T10</f>
        <v>0</v>
      </c>
      <c r="V27" s="77">
        <f>'[2]Evolutive SFP'!U10</f>
        <v>0</v>
      </c>
      <c r="W27" s="77">
        <f>'[2]Evolutive SFP'!V10</f>
        <v>0</v>
      </c>
      <c r="X27" s="77">
        <f>'[2]Evolutive SFP'!W10</f>
        <v>0</v>
      </c>
      <c r="Y27" s="77">
        <f>'[2]Evolutive SFP'!X10</f>
        <v>0</v>
      </c>
      <c r="Z27" s="77">
        <f>'[2]Evolutive SFP'!Y10</f>
        <v>0</v>
      </c>
      <c r="AA27" s="77">
        <f>'[2]Evolutive SFP'!Z10</f>
        <v>0</v>
      </c>
      <c r="AB27" s="77">
        <f>'[2]Evolutive SFP'!AA10</f>
        <v>0</v>
      </c>
      <c r="AC27" s="77">
        <f>'[2]Evolutive SFP'!AB10</f>
        <v>0</v>
      </c>
      <c r="AD27" s="77">
        <f>'[2]Evolutive SFP'!AC10</f>
        <v>0</v>
      </c>
      <c r="AE27" s="77">
        <f>'[2]Evolutive SFP'!AD10</f>
        <v>0</v>
      </c>
      <c r="AF27" s="77">
        <f>'[2]Evolutive SFP'!AE10</f>
        <v>0</v>
      </c>
      <c r="AG27" s="77">
        <f>'[2]Evolutive SFP'!AF10</f>
        <v>0</v>
      </c>
      <c r="AH27" s="77">
        <f>'[2]Evolutive SFP'!AG10</f>
        <v>0</v>
      </c>
      <c r="AI27" s="77">
        <f>'[2]Evolutive SFP'!AH10</f>
        <v>0</v>
      </c>
      <c r="AJ27" s="77">
        <f>'[2]Evolutive SFP'!AI10</f>
        <v>0</v>
      </c>
      <c r="AK27" s="77">
        <f>'[2]Evolutive SFP'!AJ10</f>
        <v>0</v>
      </c>
      <c r="AL27" s="77">
        <f>'[2]Evolutive SFP'!AK10</f>
        <v>0</v>
      </c>
      <c r="AM27" s="77">
        <f>'[2]Evolutive SFP'!AL10</f>
        <v>0</v>
      </c>
      <c r="AN27" s="77">
        <f>'[2]Evolutive SFP'!AM10</f>
        <v>0</v>
      </c>
      <c r="AO27" s="77">
        <f>'[2]Evolutive SFP'!AN10</f>
        <v>0</v>
      </c>
      <c r="AP27" s="77">
        <f>'[2]Evolutive SFP'!AO10</f>
        <v>0</v>
      </c>
      <c r="AQ27" s="77">
        <f>'[2]Evolutive SFP'!AP10</f>
        <v>0</v>
      </c>
      <c r="AR27" s="77">
        <f>'[2]Evolutive SFP'!AQ10</f>
        <v>0</v>
      </c>
      <c r="AS27" s="77">
        <f>'[2]Evolutive SFP'!AR10</f>
        <v>0</v>
      </c>
      <c r="AT27" s="77">
        <f>'[2]Evolutive SFP'!AS10</f>
        <v>0</v>
      </c>
      <c r="AU27" s="77">
        <f>'[2]Evolutive SFP'!AT10</f>
        <v>0</v>
      </c>
      <c r="AV27" s="77">
        <f>'[2]Evolutive SFP'!AU10</f>
        <v>0</v>
      </c>
      <c r="AW27" s="77">
        <f>'[2]Evolutive SFP'!AV10</f>
        <v>0</v>
      </c>
      <c r="AX27" s="77">
        <f>'[2]Evolutive SFP'!AW10</f>
        <v>0</v>
      </c>
      <c r="AY27" s="77">
        <f>'[2]Evolutive SFP'!AX10</f>
        <v>0</v>
      </c>
      <c r="AZ27" s="77">
        <f>'[2]Evolutive SFP'!AY10</f>
        <v>0</v>
      </c>
      <c r="BA27" s="77">
        <f>'[2]Evolutive SFP'!AZ10</f>
        <v>0</v>
      </c>
      <c r="BB27" s="77">
        <f>'[2]Evolutive SFP'!BA10</f>
        <v>0</v>
      </c>
      <c r="BC27" s="77">
        <f>'[2]Evolutive SFP'!BB10</f>
        <v>0</v>
      </c>
      <c r="BD27" s="77">
        <f>'[2]Evolutive SFP'!BC10</f>
        <v>0</v>
      </c>
      <c r="BE27" s="77">
        <f>'[2]Evolutive SFP'!BD10</f>
        <v>0</v>
      </c>
      <c r="BF27" s="77">
        <f>'[2]Evolutive SFP'!BE10</f>
        <v>0</v>
      </c>
      <c r="BG27" s="77">
        <f>'[2]Evolutive SFP'!BF10</f>
        <v>0</v>
      </c>
      <c r="BH27" s="77">
        <f>'[2]Evolutive SFP'!BG10</f>
        <v>0</v>
      </c>
      <c r="BI27" s="77">
        <f>'[2]Evolutive SFP'!BH10</f>
        <v>0</v>
      </c>
      <c r="BJ27" s="77">
        <f>'[2]Evolutive SFP'!BI10</f>
        <v>0</v>
      </c>
      <c r="BK27" s="77">
        <f>'[2]Evolutive SFP'!BJ10</f>
        <v>0</v>
      </c>
      <c r="BL27" s="77">
        <f>'[2]Evolutive SFP'!BK10</f>
        <v>0</v>
      </c>
      <c r="BM27" s="119">
        <f>'[2]Evolutive SFP'!BL10</f>
        <v>0</v>
      </c>
      <c r="BN27" s="77">
        <f>'[2]Evolutive SFP'!BM10</f>
        <v>0</v>
      </c>
      <c r="BO27" s="77">
        <f>'[2]Evolutive SFP'!BN10</f>
        <v>0</v>
      </c>
      <c r="BP27" s="77">
        <f>'[2]Evolutive SFP'!BO10</f>
        <v>0</v>
      </c>
      <c r="BQ27" s="77">
        <f>'[2]Evolutive SFP'!BP10</f>
        <v>0</v>
      </c>
      <c r="BR27" s="77">
        <f>'[2]Evolutive SFP'!BQ10</f>
        <v>0</v>
      </c>
      <c r="BS27" s="77">
        <f>'[2]Evolutive SFP'!BR10</f>
        <v>0</v>
      </c>
      <c r="BT27" s="77">
        <f>'[2]Evolutive SFP'!BS10</f>
        <v>0</v>
      </c>
      <c r="BU27" s="77">
        <f>'[2]Evolutive SFP'!BT10</f>
        <v>0</v>
      </c>
      <c r="BV27" s="77">
        <f>'[2]Evolutive SFP'!BU10</f>
        <v>0</v>
      </c>
      <c r="BW27" s="77">
        <f>'[2]Evolutive SFP'!BV10</f>
        <v>0</v>
      </c>
      <c r="BX27" s="77">
        <f>'[2]Evolutive SFP'!BW10</f>
        <v>0</v>
      </c>
      <c r="BY27" s="77">
        <f>'[2]Evolutive SFP'!BX10</f>
        <v>0</v>
      </c>
      <c r="BZ27" s="77">
        <f>'[2]Evolutive SFP'!BY10</f>
        <v>0</v>
      </c>
      <c r="CA27" s="77">
        <f>'[2]Evolutive SFP'!BZ10</f>
        <v>0</v>
      </c>
      <c r="CB27" s="77">
        <f>'[2]Evolutive SFP'!CA10</f>
        <v>0</v>
      </c>
      <c r="CC27" s="77">
        <f>'[2]Evolutive SFP'!CB10</f>
        <v>0</v>
      </c>
      <c r="CD27" s="77">
        <f>'[2]Evolutive SFP'!CC10</f>
        <v>0</v>
      </c>
      <c r="CE27" s="77">
        <f>'[2]Evolutive SFP'!CD10</f>
        <v>0</v>
      </c>
      <c r="CF27" s="77">
        <f>'[2]Evolutive SFP'!CE10</f>
        <v>0</v>
      </c>
      <c r="CG27" s="77">
        <f>'[2]Evolutive SFP'!CF10</f>
        <v>0</v>
      </c>
      <c r="CH27" s="77">
        <f>'[2]Evolutive SFP'!CG10</f>
        <v>0</v>
      </c>
      <c r="CI27" s="77">
        <f>'[2]Evolutive SFP'!CH10</f>
        <v>0</v>
      </c>
      <c r="CJ27" s="77">
        <f>'[2]Evolutive SFP'!CI10</f>
        <v>0</v>
      </c>
      <c r="CK27" s="77">
        <f>'[2]Evolutive SFP'!CJ10</f>
        <v>0</v>
      </c>
      <c r="CL27" s="77">
        <f>'[2]Evolutive SFP'!CK10</f>
        <v>0</v>
      </c>
      <c r="CM27" s="77">
        <f>'[2]Evolutive SFP'!CL10</f>
        <v>0</v>
      </c>
      <c r="CN27" s="77">
        <f>'[2]Evolutive SFP'!CM10</f>
        <v>0</v>
      </c>
      <c r="CO27" s="77">
        <f>'[2]Evolutive SFP'!CN10</f>
        <v>0</v>
      </c>
      <c r="CP27" s="77">
        <f>'[2]Evolutive SFP'!CO10</f>
        <v>0</v>
      </c>
      <c r="CQ27" s="77">
        <f>'[2]Evolutive SFP'!CP10</f>
        <v>0</v>
      </c>
      <c r="CR27" s="77">
        <f>'[2]Evolutive SFP'!CQ10</f>
        <v>0</v>
      </c>
      <c r="CS27" s="77">
        <f>'[2]Evolutive SFP'!CR10</f>
        <v>0</v>
      </c>
    </row>
    <row r="28" spans="1:97">
      <c r="A28">
        <v>6.3</v>
      </c>
      <c r="B28" t="s">
        <v>250</v>
      </c>
      <c r="C28" s="77">
        <f>'[2]Evolutive SFP'!B11</f>
        <v>0</v>
      </c>
      <c r="D28" s="77">
        <f>'[2]Evolutive SFP'!C11</f>
        <v>12538388</v>
      </c>
      <c r="E28" s="77">
        <f>'[2]Evolutive SFP'!D11</f>
        <v>0</v>
      </c>
      <c r="F28" s="77">
        <f>'[2]Evolutive SFP'!E11</f>
        <v>0</v>
      </c>
      <c r="G28" s="77">
        <f>'[2]Evolutive SFP'!F11</f>
        <v>0</v>
      </c>
      <c r="H28" s="77">
        <f>'[2]Evolutive SFP'!G11</f>
        <v>0</v>
      </c>
      <c r="I28" s="77">
        <f>'[2]Evolutive SFP'!H11</f>
        <v>0</v>
      </c>
      <c r="J28" s="77">
        <f>'[2]Evolutive SFP'!I11</f>
        <v>0</v>
      </c>
      <c r="K28" s="77">
        <f>'[2]Evolutive SFP'!J11</f>
        <v>0</v>
      </c>
      <c r="L28" s="77">
        <f>'[2]Evolutive SFP'!K11</f>
        <v>0</v>
      </c>
      <c r="M28" s="77">
        <f>'[2]Evolutive SFP'!L11</f>
        <v>0</v>
      </c>
      <c r="N28" s="77">
        <f>'[2]Evolutive SFP'!M11</f>
        <v>0</v>
      </c>
      <c r="O28" s="77">
        <f>'[2]Evolutive SFP'!N11</f>
        <v>0</v>
      </c>
      <c r="P28" s="77">
        <f>'[2]Evolutive SFP'!O11</f>
        <v>0</v>
      </c>
      <c r="Q28" s="77">
        <f>'[2]Evolutive SFP'!P11</f>
        <v>44751922</v>
      </c>
      <c r="R28" s="77">
        <f>'[2]Evolutive SFP'!Q11</f>
        <v>0</v>
      </c>
      <c r="S28" s="77">
        <f>'[2]Evolutive SFP'!R11</f>
        <v>0</v>
      </c>
      <c r="T28" s="77">
        <f>'[2]Evolutive SFP'!S11</f>
        <v>0</v>
      </c>
      <c r="U28" s="77">
        <f>'[2]Evolutive SFP'!T11</f>
        <v>0</v>
      </c>
      <c r="V28" s="77">
        <f>'[2]Evolutive SFP'!U11</f>
        <v>0</v>
      </c>
      <c r="W28" s="77">
        <f>'[2]Evolutive SFP'!V11</f>
        <v>0</v>
      </c>
      <c r="X28" s="77">
        <f>'[2]Evolutive SFP'!W11</f>
        <v>0</v>
      </c>
      <c r="Y28" s="77">
        <f>'[2]Evolutive SFP'!X11</f>
        <v>0</v>
      </c>
      <c r="Z28" s="77">
        <f>'[2]Evolutive SFP'!Y11</f>
        <v>0</v>
      </c>
      <c r="AA28" s="77">
        <f>'[2]Evolutive SFP'!Z11</f>
        <v>0</v>
      </c>
      <c r="AB28" s="77">
        <f>'[2]Evolutive SFP'!AA11</f>
        <v>0</v>
      </c>
      <c r="AC28" s="77">
        <f>'[2]Evolutive SFP'!AB11</f>
        <v>0</v>
      </c>
      <c r="AD28" s="77">
        <f>'[2]Evolutive SFP'!AC11</f>
        <v>252130090</v>
      </c>
      <c r="AE28" s="77">
        <f>'[2]Evolutive SFP'!AD11</f>
        <v>277180090.27999997</v>
      </c>
      <c r="AF28" s="77">
        <f>'[2]Evolutive SFP'!AE11</f>
        <v>187230090.28</v>
      </c>
      <c r="AG28" s="77">
        <f>'[2]Evolutive SFP'!AF11</f>
        <v>237330090.28</v>
      </c>
      <c r="AH28" s="77">
        <f>'[2]Evolutive SFP'!AG11</f>
        <v>257330090.28</v>
      </c>
      <c r="AI28" s="77">
        <f>'[2]Evolutive SFP'!AH11</f>
        <v>307380090.27999997</v>
      </c>
      <c r="AJ28" s="77">
        <f>'[2]Evolutive SFP'!AI11</f>
        <v>357441696.62</v>
      </c>
      <c r="AK28" s="77">
        <f>'[2]Evolutive SFP'!AJ11</f>
        <v>615107413.96000004</v>
      </c>
      <c r="AL28" s="77">
        <f>'[2]Evolutive SFP'!AK11</f>
        <v>357603706.98000002</v>
      </c>
      <c r="AM28" s="77">
        <f>'[2]Evolutive SFP'!AL11</f>
        <v>332603706.98000002</v>
      </c>
      <c r="AN28" s="77">
        <f>'[2]Evolutive SFP'!AM11</f>
        <v>384720302.48000002</v>
      </c>
      <c r="AO28" s="77">
        <f>'[2]Evolutive SFP'!AN11</f>
        <v>484770302.48000002</v>
      </c>
      <c r="AP28" s="77">
        <f>'[2]Evolutive SFP'!AO11</f>
        <v>430232742</v>
      </c>
      <c r="AQ28" s="77">
        <f>'[2]Evolutive SFP'!AP11</f>
        <v>0</v>
      </c>
      <c r="AR28" s="77">
        <f>'[2]Evolutive SFP'!AQ11</f>
        <v>0</v>
      </c>
      <c r="AS28" s="77">
        <f>'[2]Evolutive SFP'!AR11</f>
        <v>0</v>
      </c>
      <c r="AT28" s="77">
        <f>'[2]Evolutive SFP'!AS11</f>
        <v>0</v>
      </c>
      <c r="AU28" s="77">
        <f>'[2]Evolutive SFP'!AT11</f>
        <v>0</v>
      </c>
      <c r="AV28" s="77">
        <f>'[2]Evolutive SFP'!AU11</f>
        <v>0</v>
      </c>
      <c r="AW28" s="77">
        <f>'[2]Evolutive SFP'!AV11</f>
        <v>0</v>
      </c>
      <c r="AX28" s="77">
        <f>'[2]Evolutive SFP'!AW11</f>
        <v>0</v>
      </c>
      <c r="AY28" s="77">
        <f>'[2]Evolutive SFP'!AX11</f>
        <v>0</v>
      </c>
      <c r="AZ28" s="77">
        <f>'[2]Evolutive SFP'!AY11</f>
        <v>0</v>
      </c>
      <c r="BA28" s="77">
        <f>'[2]Evolutive SFP'!AZ11</f>
        <v>0</v>
      </c>
      <c r="BB28" s="77">
        <f>'[2]Evolutive SFP'!BA11</f>
        <v>0</v>
      </c>
      <c r="BC28" s="77">
        <f>'[2]Evolutive SFP'!BB11</f>
        <v>0</v>
      </c>
      <c r="BD28" s="77">
        <f>'[2]Evolutive SFP'!BC11</f>
        <v>0</v>
      </c>
      <c r="BE28" s="77">
        <f>'[2]Evolutive SFP'!BD11</f>
        <v>0</v>
      </c>
      <c r="BF28" s="77">
        <f>'[2]Evolutive SFP'!BE11</f>
        <v>0</v>
      </c>
      <c r="BG28" s="77">
        <f>'[2]Evolutive SFP'!BF11</f>
        <v>0</v>
      </c>
      <c r="BH28" s="77">
        <f>'[2]Evolutive SFP'!BG11</f>
        <v>0</v>
      </c>
      <c r="BI28" s="77">
        <f>'[2]Evolutive SFP'!BH11</f>
        <v>0</v>
      </c>
      <c r="BJ28" s="77">
        <f>'[2]Evolutive SFP'!BI11</f>
        <v>0</v>
      </c>
      <c r="BK28" s="77">
        <f>'[2]Evolutive SFP'!BJ11</f>
        <v>0</v>
      </c>
      <c r="BL28" s="77">
        <f>'[2]Evolutive SFP'!BK11</f>
        <v>0</v>
      </c>
      <c r="BM28" s="119">
        <f>'[2]Evolutive SFP'!BL11</f>
        <v>0</v>
      </c>
      <c r="BN28" s="77">
        <f>'[2]Evolutive SFP'!BM11</f>
        <v>0</v>
      </c>
      <c r="BO28" s="77">
        <f>'[2]Evolutive SFP'!BN11</f>
        <v>0</v>
      </c>
      <c r="BP28" s="77">
        <f>'[2]Evolutive SFP'!BO11</f>
        <v>0</v>
      </c>
      <c r="BQ28" s="77">
        <f>'[2]Evolutive SFP'!BP11</f>
        <v>0</v>
      </c>
      <c r="BR28" s="77">
        <f>'[2]Evolutive SFP'!BQ11</f>
        <v>0</v>
      </c>
      <c r="BS28" s="77">
        <f>'[2]Evolutive SFP'!BR11</f>
        <v>0</v>
      </c>
      <c r="BT28" s="77">
        <f>'[2]Evolutive SFP'!BS11</f>
        <v>0</v>
      </c>
      <c r="BU28" s="77">
        <f>'[2]Evolutive SFP'!BT11</f>
        <v>0</v>
      </c>
      <c r="BV28" s="77">
        <f>'[2]Evolutive SFP'!BU11</f>
        <v>0</v>
      </c>
      <c r="BW28" s="77">
        <f>'[2]Evolutive SFP'!BV11</f>
        <v>0</v>
      </c>
      <c r="BX28" s="77">
        <f>'[2]Evolutive SFP'!BW11</f>
        <v>0</v>
      </c>
      <c r="BY28" s="77">
        <f>'[2]Evolutive SFP'!BX11</f>
        <v>0</v>
      </c>
      <c r="BZ28" s="77">
        <f>'[2]Evolutive SFP'!BY11</f>
        <v>0</v>
      </c>
      <c r="CA28" s="77">
        <f>'[2]Evolutive SFP'!BZ11</f>
        <v>0</v>
      </c>
      <c r="CB28" s="77">
        <f>'[2]Evolutive SFP'!CA11</f>
        <v>0</v>
      </c>
      <c r="CC28" s="77">
        <f>'[2]Evolutive SFP'!CB11</f>
        <v>0</v>
      </c>
      <c r="CD28" s="77">
        <f>'[2]Evolutive SFP'!CC11</f>
        <v>0</v>
      </c>
      <c r="CE28" s="77">
        <f>'[2]Evolutive SFP'!CD11</f>
        <v>0</v>
      </c>
      <c r="CF28" s="77">
        <f>'[2]Evolutive SFP'!CE11</f>
        <v>0</v>
      </c>
      <c r="CG28" s="77">
        <f>'[2]Evolutive SFP'!CF11</f>
        <v>0</v>
      </c>
      <c r="CH28" s="77">
        <f>'[2]Evolutive SFP'!CG11</f>
        <v>0</v>
      </c>
      <c r="CI28" s="77">
        <f>'[2]Evolutive SFP'!CH11</f>
        <v>0</v>
      </c>
      <c r="CJ28" s="77">
        <f>'[2]Evolutive SFP'!CI11</f>
        <v>0</v>
      </c>
      <c r="CK28" s="77">
        <f>'[2]Evolutive SFP'!CJ11</f>
        <v>0</v>
      </c>
      <c r="CL28" s="77">
        <f>'[2]Evolutive SFP'!CK11</f>
        <v>0</v>
      </c>
      <c r="CM28" s="77">
        <f>'[2]Evolutive SFP'!CL11</f>
        <v>0</v>
      </c>
      <c r="CN28" s="77">
        <f>'[2]Evolutive SFP'!CM11</f>
        <v>0</v>
      </c>
      <c r="CO28" s="77">
        <f>'[2]Evolutive SFP'!CN11</f>
        <v>0</v>
      </c>
      <c r="CP28" s="77">
        <f>'[2]Evolutive SFP'!CO11</f>
        <v>0</v>
      </c>
      <c r="CQ28" s="77">
        <f>'[2]Evolutive SFP'!CP11</f>
        <v>0</v>
      </c>
      <c r="CR28" s="77">
        <f>'[2]Evolutive SFP'!CQ11</f>
        <v>0</v>
      </c>
      <c r="CS28" s="77">
        <f>'[2]Evolutive SFP'!CR11</f>
        <v>0</v>
      </c>
    </row>
    <row r="29" spans="1:97"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119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</row>
    <row r="30" spans="1:97">
      <c r="A30">
        <v>7</v>
      </c>
      <c r="B30" t="s">
        <v>251</v>
      </c>
      <c r="C30" s="77">
        <f>'[2]Evolutive SFP'!B14</f>
        <v>112905266</v>
      </c>
      <c r="D30" s="77">
        <f>'[2]Evolutive SFP'!C14</f>
        <v>685110959</v>
      </c>
      <c r="E30" s="77">
        <f>'[2]Evolutive SFP'!D14</f>
        <v>672566881.88999999</v>
      </c>
      <c r="F30" s="77">
        <f>'[2]Evolutive SFP'!E14</f>
        <v>673849166.5999999</v>
      </c>
      <c r="G30" s="77">
        <f>'[2]Evolutive SFP'!F14</f>
        <v>677628004.57999992</v>
      </c>
      <c r="H30" s="77">
        <f>'[2]Evolutive SFP'!G14</f>
        <v>678377070.57000005</v>
      </c>
      <c r="I30" s="77">
        <f>'[2]Evolutive SFP'!H14</f>
        <v>682267335.1500001</v>
      </c>
      <c r="J30" s="77">
        <f>'[2]Evolutive SFP'!I14</f>
        <v>682668361.53999996</v>
      </c>
      <c r="K30" s="77">
        <f>'[2]Evolutive SFP'!J14</f>
        <v>676223775.87</v>
      </c>
      <c r="L30" s="77">
        <f>'[2]Evolutive SFP'!K14</f>
        <v>673819468.60000002</v>
      </c>
      <c r="M30" s="77">
        <f>'[2]Evolutive SFP'!L14</f>
        <v>678451149.19000006</v>
      </c>
      <c r="N30" s="77">
        <f>'[2]Evolutive SFP'!M14</f>
        <v>512602227.41999996</v>
      </c>
      <c r="O30" s="77">
        <f>'[2]Evolutive SFP'!N14</f>
        <v>558996576.93000007</v>
      </c>
      <c r="P30" s="77">
        <f>'[2]Evolutive SFP'!O14</f>
        <v>578467516.33000004</v>
      </c>
      <c r="Q30" s="77">
        <f>'[2]Evolutive SFP'!P14</f>
        <v>627967516</v>
      </c>
      <c r="R30" s="77">
        <f>'[2]Evolutive SFP'!Q14</f>
        <v>595868657.73000002</v>
      </c>
      <c r="S30" s="77">
        <f>'[2]Evolutive SFP'!R14</f>
        <v>619780266.39999998</v>
      </c>
      <c r="T30" s="77">
        <f>'[2]Evolutive SFP'!S14</f>
        <v>620977124.93999994</v>
      </c>
      <c r="U30" s="77">
        <f>'[2]Evolutive SFP'!T14</f>
        <v>622776537.63999999</v>
      </c>
      <c r="V30" s="77">
        <f>'[2]Evolutive SFP'!U14</f>
        <v>632271922.41999996</v>
      </c>
      <c r="W30" s="77">
        <f>'[2]Evolutive SFP'!V14</f>
        <v>622159904.50999999</v>
      </c>
      <c r="X30" s="77">
        <f>'[2]Evolutive SFP'!W14</f>
        <v>624088163.13000011</v>
      </c>
      <c r="Y30" s="77">
        <f>'[2]Evolutive SFP'!X14</f>
        <v>638184802.01999998</v>
      </c>
      <c r="Z30" s="77">
        <f>'[2]Evolutive SFP'!Y14</f>
        <v>647872602.8499999</v>
      </c>
      <c r="AA30" s="77">
        <f>'[2]Evolutive SFP'!Z14</f>
        <v>187379675.84</v>
      </c>
      <c r="AB30" s="77">
        <f>'[2]Evolutive SFP'!AA14</f>
        <v>187382238.84</v>
      </c>
      <c r="AC30" s="77">
        <f>'[2]Evolutive SFP'!AB14</f>
        <v>163849196.50999999</v>
      </c>
      <c r="AD30" s="77">
        <f>'[2]Evolutive SFP'!AC14</f>
        <v>653020530</v>
      </c>
      <c r="AE30" s="77">
        <f>'[2]Evolutive SFP'!AD14</f>
        <v>620642309.44000006</v>
      </c>
      <c r="AF30" s="77">
        <f>'[2]Evolutive SFP'!AE14</f>
        <v>623139830.22000003</v>
      </c>
      <c r="AG30" s="77">
        <f>'[2]Evolutive SFP'!AF14</f>
        <v>627483868.50999999</v>
      </c>
      <c r="AH30" s="77">
        <f>'[2]Evolutive SFP'!AG14</f>
        <v>617768669.22000003</v>
      </c>
      <c r="AI30" s="77">
        <f>'[2]Evolutive SFP'!AH14</f>
        <v>608116852.81999993</v>
      </c>
      <c r="AJ30" s="77">
        <f>'[2]Evolutive SFP'!AI14</f>
        <v>607323442.12</v>
      </c>
      <c r="AK30" s="77">
        <f>'[2]Evolutive SFP'!AJ14</f>
        <v>1229507079.1400001</v>
      </c>
      <c r="AL30" s="77">
        <f>'[2]Evolutive SFP'!AK14</f>
        <v>627624130.81999993</v>
      </c>
      <c r="AM30" s="77">
        <f>'[2]Evolutive SFP'!AL14</f>
        <v>538834648.62</v>
      </c>
      <c r="AN30" s="77">
        <f>'[2]Evolutive SFP'!AM14</f>
        <v>579606528.29999995</v>
      </c>
      <c r="AO30" s="77">
        <f>'[2]Evolutive SFP'!AN14</f>
        <v>591900325.82000005</v>
      </c>
      <c r="AP30" s="77">
        <f>'[2]Evolutive SFP'!AO14</f>
        <v>635195558</v>
      </c>
      <c r="AQ30" s="77">
        <f>'[2]Evolutive SFP'!AP14</f>
        <v>594487368.42000008</v>
      </c>
      <c r="AR30" s="77">
        <f>'[2]Evolutive SFP'!AQ14</f>
        <v>603909135.78999996</v>
      </c>
      <c r="AS30" s="77">
        <f>'[2]Evolutive SFP'!AR14</f>
        <v>608678221.24000001</v>
      </c>
      <c r="AT30" s="77">
        <f>'[2]Evolutive SFP'!AS14</f>
        <v>603786035.83000004</v>
      </c>
      <c r="AU30" s="77">
        <f>'[2]Evolutive SFP'!AT14</f>
        <v>616552782.24000001</v>
      </c>
      <c r="AV30" s="77">
        <f>'[2]Evolutive SFP'!AU14</f>
        <v>629704340.90999997</v>
      </c>
      <c r="AW30" s="77">
        <f>'[2]Evolutive SFP'!AV14</f>
        <v>639287168.13</v>
      </c>
      <c r="AX30" s="77">
        <f>'[2]Evolutive SFP'!AW14</f>
        <v>660365462.88999999</v>
      </c>
      <c r="AY30" s="77">
        <f>'[2]Evolutive SFP'!AX14</f>
        <v>666042966.85000002</v>
      </c>
      <c r="AZ30" s="77">
        <f>'[2]Evolutive SFP'!AY14</f>
        <v>588061505.60000002</v>
      </c>
      <c r="BA30" s="77">
        <f>'[2]Evolutive SFP'!AZ14</f>
        <v>626141705.76999998</v>
      </c>
      <c r="BB30" s="77">
        <f>'[2]Evolutive SFP'!BA14</f>
        <v>644458806.98000002</v>
      </c>
      <c r="BC30" s="77">
        <f>'[2]Evolutive SFP'!BB14</f>
        <v>571668726</v>
      </c>
      <c r="BD30" s="77">
        <f>'[2]Evolutive SFP'!BC14</f>
        <v>655539406.21000004</v>
      </c>
      <c r="BE30" s="77">
        <f>'[2]Evolutive SFP'!BD14</f>
        <v>545948792.97000003</v>
      </c>
      <c r="BF30" s="77">
        <f>'[2]Evolutive SFP'!BE14</f>
        <v>544358233.1099999</v>
      </c>
      <c r="BG30" s="77">
        <f>'[2]Evolutive SFP'!BF14</f>
        <v>545844518.15999997</v>
      </c>
      <c r="BH30" s="77">
        <f>'[2]Evolutive SFP'!BG14</f>
        <v>544448333.01999998</v>
      </c>
      <c r="BI30" s="77">
        <f>'[2]Evolutive SFP'!BH14</f>
        <v>555758423.6400001</v>
      </c>
      <c r="BJ30" s="77">
        <f>'[2]Evolutive SFP'!BI14</f>
        <v>499338001.74000001</v>
      </c>
      <c r="BK30" s="77">
        <f>'[2]Evolutive SFP'!BJ14</f>
        <v>519476133.25</v>
      </c>
      <c r="BL30" s="77">
        <f>'[2]Evolutive SFP'!BK14</f>
        <v>547038296.41000009</v>
      </c>
      <c r="BM30" s="119">
        <f>'[2]Evolutive SFP'!BL14</f>
        <v>556972580.58999991</v>
      </c>
      <c r="BN30" s="77">
        <f>'[2]Evolutive SFP'!BM14</f>
        <v>572871537.08000004</v>
      </c>
      <c r="BO30" s="77">
        <f>'[2]Evolutive SFP'!BN14</f>
        <v>598390915.98000002</v>
      </c>
      <c r="BP30" s="77">
        <f>'[2]Evolutive SFP'!BO14</f>
        <v>0</v>
      </c>
      <c r="BQ30" s="77">
        <f>'[2]Evolutive SFP'!BP14</f>
        <v>0</v>
      </c>
      <c r="BR30" s="77">
        <f>'[2]Evolutive SFP'!BQ14</f>
        <v>0</v>
      </c>
      <c r="BS30" s="77">
        <f>'[2]Evolutive SFP'!BR14</f>
        <v>0</v>
      </c>
      <c r="BT30" s="77">
        <f>'[2]Evolutive SFP'!BS14</f>
        <v>0</v>
      </c>
      <c r="BU30" s="77">
        <f>'[2]Evolutive SFP'!BT14</f>
        <v>0</v>
      </c>
      <c r="BV30" s="77">
        <f>'[2]Evolutive SFP'!BU14</f>
        <v>0</v>
      </c>
      <c r="BW30" s="77">
        <f>'[2]Evolutive SFP'!BV14</f>
        <v>0</v>
      </c>
      <c r="BX30" s="77">
        <f>'[2]Evolutive SFP'!BW14</f>
        <v>0</v>
      </c>
      <c r="BY30" s="77">
        <f>'[2]Evolutive SFP'!BX14</f>
        <v>0</v>
      </c>
      <c r="BZ30" s="77">
        <f>'[2]Evolutive SFP'!BY14</f>
        <v>0</v>
      </c>
      <c r="CA30" s="77">
        <f>'[2]Evolutive SFP'!BZ14</f>
        <v>0</v>
      </c>
      <c r="CB30" s="77">
        <f>'[2]Evolutive SFP'!CA14</f>
        <v>0</v>
      </c>
      <c r="CC30" s="77">
        <f>'[2]Evolutive SFP'!CB14</f>
        <v>0</v>
      </c>
      <c r="CD30" s="77">
        <f>'[2]Evolutive SFP'!CC14</f>
        <v>0</v>
      </c>
      <c r="CE30" s="77">
        <f>'[2]Evolutive SFP'!CD14</f>
        <v>0</v>
      </c>
      <c r="CF30" s="77">
        <f>'[2]Evolutive SFP'!CE14</f>
        <v>0</v>
      </c>
      <c r="CG30" s="77">
        <f>'[2]Evolutive SFP'!CF14</f>
        <v>0</v>
      </c>
      <c r="CH30" s="77">
        <f>'[2]Evolutive SFP'!CG14</f>
        <v>0</v>
      </c>
      <c r="CI30" s="77">
        <f>'[2]Evolutive SFP'!CH14</f>
        <v>0</v>
      </c>
      <c r="CJ30" s="77">
        <f>'[2]Evolutive SFP'!CI14</f>
        <v>0</v>
      </c>
      <c r="CK30" s="77">
        <f>'[2]Evolutive SFP'!CJ14</f>
        <v>0</v>
      </c>
      <c r="CL30" s="77">
        <f>'[2]Evolutive SFP'!CK14</f>
        <v>0</v>
      </c>
      <c r="CM30" s="77">
        <f>'[2]Evolutive SFP'!CL14</f>
        <v>0</v>
      </c>
      <c r="CN30" s="77">
        <f>'[2]Evolutive SFP'!CM14</f>
        <v>0</v>
      </c>
      <c r="CO30" s="77">
        <f>'[2]Evolutive SFP'!CN14</f>
        <v>0</v>
      </c>
      <c r="CP30" s="77">
        <f>'[2]Evolutive SFP'!CO14</f>
        <v>0</v>
      </c>
      <c r="CQ30" s="77">
        <f>'[2]Evolutive SFP'!CP14</f>
        <v>0</v>
      </c>
      <c r="CR30" s="77">
        <f>'[2]Evolutive SFP'!CQ14</f>
        <v>0</v>
      </c>
      <c r="CS30" s="77">
        <f>'[2]Evolutive SFP'!CR14</f>
        <v>0</v>
      </c>
    </row>
    <row r="31" spans="1:97">
      <c r="A31">
        <v>7.1</v>
      </c>
      <c r="B31" t="s">
        <v>252</v>
      </c>
      <c r="C31" s="77">
        <f>'[2]Evolutive SFP'!B15</f>
        <v>112905266</v>
      </c>
      <c r="D31" s="77">
        <f>'[2]Evolutive SFP'!C15</f>
        <v>832525078</v>
      </c>
      <c r="E31" s="77">
        <f>'[2]Evolutive SFP'!D15</f>
        <v>821899977.79999995</v>
      </c>
      <c r="F31" s="77">
        <f>'[2]Evolutive SFP'!E15</f>
        <v>825101613.66999996</v>
      </c>
      <c r="G31" s="77">
        <f>'[2]Evolutive SFP'!F15</f>
        <v>830799802.80999994</v>
      </c>
      <c r="H31" s="77">
        <f>'[2]Evolutive SFP'!G15</f>
        <v>833468219.96000004</v>
      </c>
      <c r="I31" s="77">
        <f>'[2]Evolutive SFP'!H15</f>
        <v>839278209.70000005</v>
      </c>
      <c r="J31" s="77">
        <f>'[2]Evolutive SFP'!I15</f>
        <v>841598587.25</v>
      </c>
      <c r="K31" s="77">
        <f>'[2]Evolutive SFP'!J15</f>
        <v>835154001.58000004</v>
      </c>
      <c r="L31" s="77">
        <f>'[2]Evolutive SFP'!K15</f>
        <v>836600646.63</v>
      </c>
      <c r="M31" s="77">
        <f>'[2]Evolutive SFP'!L15</f>
        <v>843151678.38</v>
      </c>
      <c r="N31" s="77">
        <f>'[2]Evolutive SFP'!M15</f>
        <v>679222107.76999998</v>
      </c>
      <c r="O31" s="77">
        <f>'[2]Evolutive SFP'!N15</f>
        <v>729455159.60000002</v>
      </c>
      <c r="P31" s="77">
        <f>'[2]Evolutive SFP'!O15</f>
        <v>742040870.32000005</v>
      </c>
      <c r="Q31" s="77">
        <f>'[2]Evolutive SFP'!P15</f>
        <v>791540870</v>
      </c>
      <c r="R31" s="77">
        <f>'[2]Evolutive SFP'!Q15</f>
        <v>759442011.72000003</v>
      </c>
      <c r="S31" s="77">
        <f>'[2]Evolutive SFP'!R15</f>
        <v>783913689.25</v>
      </c>
      <c r="T31" s="77">
        <f>'[2]Evolutive SFP'!S15</f>
        <v>785670616.64999998</v>
      </c>
      <c r="U31" s="77">
        <f>'[2]Evolutive SFP'!T15</f>
        <v>789513847.00999999</v>
      </c>
      <c r="V31" s="77">
        <f>'[2]Evolutive SFP'!U15</f>
        <v>799798207.14999998</v>
      </c>
      <c r="W31" s="77">
        <f>'[2]Evolutive SFP'!V15</f>
        <v>797996164.53999996</v>
      </c>
      <c r="X31" s="77">
        <f>'[2]Evolutive SFP'!W15</f>
        <v>801968240.83000004</v>
      </c>
      <c r="Y31" s="77">
        <f>'[2]Evolutive SFP'!X15</f>
        <v>816064879.72000003</v>
      </c>
      <c r="Z31" s="77">
        <f>'[2]Evolutive SFP'!Y15</f>
        <v>827077008.04999995</v>
      </c>
      <c r="AA31" s="77">
        <f>'[2]Evolutive SFP'!Z15</f>
        <v>187379675.84</v>
      </c>
      <c r="AB31" s="77">
        <f>'[2]Evolutive SFP'!AA15</f>
        <v>187382238.84</v>
      </c>
      <c r="AC31" s="77">
        <f>'[2]Evolutive SFP'!AB15</f>
        <v>163849196.50999999</v>
      </c>
      <c r="AD31" s="77">
        <f>'[2]Evolutive SFP'!AC15</f>
        <v>816869727</v>
      </c>
      <c r="AE31" s="77">
        <f>'[2]Evolutive SFP'!AD15</f>
        <v>785491505.95000005</v>
      </c>
      <c r="AF31" s="77">
        <f>'[2]Evolutive SFP'!AE15</f>
        <v>790040444.40999997</v>
      </c>
      <c r="AG31" s="77">
        <f>'[2]Evolutive SFP'!AF15</f>
        <v>796476215.38999999</v>
      </c>
      <c r="AH31" s="77">
        <f>'[2]Evolutive SFP'!AG15</f>
        <v>788907626.88999999</v>
      </c>
      <c r="AI31" s="77">
        <f>'[2]Evolutive SFP'!AH15</f>
        <v>781327508.67999995</v>
      </c>
      <c r="AJ31" s="77">
        <f>'[2]Evolutive SFP'!AI15</f>
        <v>782586804.65999997</v>
      </c>
      <c r="AK31" s="77">
        <f>'[2]Evolutive SFP'!AJ15</f>
        <v>1588341935.9200001</v>
      </c>
      <c r="AL31" s="77">
        <f>'[2]Evolutive SFP'!AK15</f>
        <v>809089876.88999999</v>
      </c>
      <c r="AM31" s="77">
        <f>'[2]Evolutive SFP'!AL15</f>
        <v>724061278.88999999</v>
      </c>
      <c r="AN31" s="77">
        <f>'[2]Evolutive SFP'!AM15</f>
        <v>755036109.05999994</v>
      </c>
      <c r="AO31" s="77">
        <f>'[2]Evolutive SFP'!AN15</f>
        <v>766445318.70000005</v>
      </c>
      <c r="AP31" s="77">
        <f>'[2]Evolutive SFP'!AO15</f>
        <v>810945319</v>
      </c>
      <c r="AQ31" s="77">
        <f>'[2]Evolutive SFP'!AP15</f>
        <v>771737893.21000004</v>
      </c>
      <c r="AR31" s="77">
        <f>'[2]Evolutive SFP'!AQ15</f>
        <v>782477346.47000003</v>
      </c>
      <c r="AS31" s="77">
        <f>'[2]Evolutive SFP'!AR15</f>
        <v>788289120.19000006</v>
      </c>
      <c r="AT31" s="77">
        <f>'[2]Evolutive SFP'!AS15</f>
        <v>785444941.46000004</v>
      </c>
      <c r="AU31" s="77">
        <f>'[2]Evolutive SFP'!AT15</f>
        <v>800416177.94000006</v>
      </c>
      <c r="AV31" s="77">
        <f>'[2]Evolutive SFP'!AU15</f>
        <v>815623623.28999996</v>
      </c>
      <c r="AW31" s="77">
        <f>'[2]Evolutive SFP'!AV15</f>
        <v>827249668.13</v>
      </c>
      <c r="AX31" s="77">
        <f>'[2]Evolutive SFP'!AW15</f>
        <v>851274019.63</v>
      </c>
      <c r="AY31" s="77">
        <f>'[2]Evolutive SFP'!AX15</f>
        <v>858987261.26999998</v>
      </c>
      <c r="AZ31" s="77">
        <f>'[2]Evolutive SFP'!AY15</f>
        <v>782842450.70000005</v>
      </c>
      <c r="BA31" s="77">
        <f>'[2]Evolutive SFP'!AZ15</f>
        <v>822967568.54999995</v>
      </c>
      <c r="BB31" s="77">
        <f>'[2]Evolutive SFP'!BA15</f>
        <v>830832172</v>
      </c>
      <c r="BC31" s="77">
        <f>'[2]Evolutive SFP'!BB15</f>
        <v>758041891</v>
      </c>
      <c r="BD31" s="77">
        <f>'[2]Evolutive SFP'!BC15</f>
        <v>843450261.76999998</v>
      </c>
      <c r="BE31" s="77">
        <f>'[2]Evolutive SFP'!BD15</f>
        <v>735094990.26999998</v>
      </c>
      <c r="BF31" s="77">
        <f>'[2]Evolutive SFP'!BE15</f>
        <v>735759323.17999995</v>
      </c>
      <c r="BG31" s="77">
        <f>'[2]Evolutive SFP'!BF15</f>
        <v>738972982.00999999</v>
      </c>
      <c r="BH31" s="77">
        <f>'[2]Evolutive SFP'!BG15</f>
        <v>739303391.60000002</v>
      </c>
      <c r="BI31" s="77">
        <f>'[2]Evolutive SFP'!BH15</f>
        <v>754346534.34000003</v>
      </c>
      <c r="BJ31" s="77">
        <f>'[2]Evolutive SFP'!BI15</f>
        <v>702662755.75999999</v>
      </c>
      <c r="BK31" s="77">
        <f>'[2]Evolutive SFP'!BJ15</f>
        <v>722800887.26999998</v>
      </c>
      <c r="BL31" s="77">
        <f>'[2]Evolutive SFP'!BK15</f>
        <v>752433572.47000003</v>
      </c>
      <c r="BM31" s="119">
        <f>'[2]Evolutive SFP'!BL15</f>
        <v>763817643.04999995</v>
      </c>
      <c r="BN31" s="77">
        <f>'[2]Evolutive SFP'!BM15</f>
        <v>784759225.62</v>
      </c>
      <c r="BO31" s="77">
        <f>'[2]Evolutive SFP'!BN15</f>
        <v>812066463.89999998</v>
      </c>
      <c r="BP31" s="77">
        <f>'[2]Evolutive SFP'!BO15</f>
        <v>0</v>
      </c>
      <c r="BQ31" s="77">
        <f>'[2]Evolutive SFP'!BP15</f>
        <v>0</v>
      </c>
      <c r="BR31" s="77">
        <f>'[2]Evolutive SFP'!BQ15</f>
        <v>0</v>
      </c>
      <c r="BS31" s="77">
        <f>'[2]Evolutive SFP'!BR15</f>
        <v>0</v>
      </c>
      <c r="BT31" s="77">
        <f>'[2]Evolutive SFP'!BS15</f>
        <v>0</v>
      </c>
      <c r="BU31" s="77">
        <f>'[2]Evolutive SFP'!BT15</f>
        <v>0</v>
      </c>
      <c r="BV31" s="77">
        <f>'[2]Evolutive SFP'!BU15</f>
        <v>0</v>
      </c>
      <c r="BW31" s="77">
        <f>'[2]Evolutive SFP'!BV15</f>
        <v>0</v>
      </c>
      <c r="BX31" s="77">
        <f>'[2]Evolutive SFP'!BW15</f>
        <v>0</v>
      </c>
      <c r="BY31" s="77">
        <f>'[2]Evolutive SFP'!BX15</f>
        <v>0</v>
      </c>
      <c r="BZ31" s="77">
        <f>'[2]Evolutive SFP'!BY15</f>
        <v>0</v>
      </c>
      <c r="CA31" s="77">
        <f>'[2]Evolutive SFP'!BZ15</f>
        <v>0</v>
      </c>
      <c r="CB31" s="77">
        <f>'[2]Evolutive SFP'!CA15</f>
        <v>0</v>
      </c>
      <c r="CC31" s="77">
        <f>'[2]Evolutive SFP'!CB15</f>
        <v>0</v>
      </c>
      <c r="CD31" s="77">
        <f>'[2]Evolutive SFP'!CC15</f>
        <v>0</v>
      </c>
      <c r="CE31" s="77">
        <f>'[2]Evolutive SFP'!CD15</f>
        <v>0</v>
      </c>
      <c r="CF31" s="77">
        <f>'[2]Evolutive SFP'!CE15</f>
        <v>0</v>
      </c>
      <c r="CG31" s="77">
        <f>'[2]Evolutive SFP'!CF15</f>
        <v>0</v>
      </c>
      <c r="CH31" s="77">
        <f>'[2]Evolutive SFP'!CG15</f>
        <v>0</v>
      </c>
      <c r="CI31" s="77">
        <f>'[2]Evolutive SFP'!CH15</f>
        <v>0</v>
      </c>
      <c r="CJ31" s="77">
        <f>'[2]Evolutive SFP'!CI15</f>
        <v>0</v>
      </c>
      <c r="CK31" s="77">
        <f>'[2]Evolutive SFP'!CJ15</f>
        <v>0</v>
      </c>
      <c r="CL31" s="77">
        <f>'[2]Evolutive SFP'!CK15</f>
        <v>0</v>
      </c>
      <c r="CM31" s="77">
        <f>'[2]Evolutive SFP'!CL15</f>
        <v>0</v>
      </c>
      <c r="CN31" s="77">
        <f>'[2]Evolutive SFP'!CM15</f>
        <v>0</v>
      </c>
      <c r="CO31" s="77">
        <f>'[2]Evolutive SFP'!CN15</f>
        <v>0</v>
      </c>
      <c r="CP31" s="77">
        <f>'[2]Evolutive SFP'!CO15</f>
        <v>0</v>
      </c>
      <c r="CQ31" s="77">
        <f>'[2]Evolutive SFP'!CP15</f>
        <v>0</v>
      </c>
      <c r="CR31" s="77">
        <f>'[2]Evolutive SFP'!CQ15</f>
        <v>0</v>
      </c>
      <c r="CS31" s="77">
        <f>'[2]Evolutive SFP'!CR15</f>
        <v>0</v>
      </c>
    </row>
    <row r="32" spans="1:97">
      <c r="A32">
        <v>7.2</v>
      </c>
      <c r="B32" t="s">
        <v>253</v>
      </c>
      <c r="C32" s="77">
        <f>'[2]Evolutive SFP'!B16</f>
        <v>0</v>
      </c>
      <c r="D32" s="77">
        <f>'[2]Evolutive SFP'!C16</f>
        <v>147414119</v>
      </c>
      <c r="E32" s="77">
        <f>'[2]Evolutive SFP'!D16</f>
        <v>149333095.91</v>
      </c>
      <c r="F32" s="77">
        <f>'[2]Evolutive SFP'!E16</f>
        <v>151252447.06999999</v>
      </c>
      <c r="G32" s="77">
        <f>'[2]Evolutive SFP'!F16</f>
        <v>153171798.22999999</v>
      </c>
      <c r="H32" s="77">
        <f>'[2]Evolutive SFP'!G16</f>
        <v>155091149.38999999</v>
      </c>
      <c r="I32" s="77">
        <f>'[2]Evolutive SFP'!H16</f>
        <v>157010874.55000001</v>
      </c>
      <c r="J32" s="77">
        <f>'[2]Evolutive SFP'!I16</f>
        <v>158930225.71000001</v>
      </c>
      <c r="K32" s="77">
        <f>'[2]Evolutive SFP'!J16</f>
        <v>158930225.71000001</v>
      </c>
      <c r="L32" s="77">
        <f>'[2]Evolutive SFP'!K16</f>
        <v>162781178.03</v>
      </c>
      <c r="M32" s="77">
        <f>'[2]Evolutive SFP'!L16</f>
        <v>164700529.19</v>
      </c>
      <c r="N32" s="77">
        <f>'[2]Evolutive SFP'!M16</f>
        <v>166619880.34999999</v>
      </c>
      <c r="O32" s="77">
        <f>'[2]Evolutive SFP'!N16</f>
        <v>170458582.66999999</v>
      </c>
      <c r="P32" s="77">
        <f>'[2]Evolutive SFP'!O16</f>
        <v>163573353.99000001</v>
      </c>
      <c r="Q32" s="77">
        <f>'[2]Evolutive SFP'!P16</f>
        <v>163573354</v>
      </c>
      <c r="R32" s="77">
        <f>'[2]Evolutive SFP'!Q16</f>
        <v>163573353.99000001</v>
      </c>
      <c r="S32" s="77">
        <f>'[2]Evolutive SFP'!R16</f>
        <v>164133422.84999999</v>
      </c>
      <c r="T32" s="77">
        <f>'[2]Evolutive SFP'!S16</f>
        <v>164693491.71000001</v>
      </c>
      <c r="U32" s="77">
        <f>'[2]Evolutive SFP'!T16</f>
        <v>166737309.37</v>
      </c>
      <c r="V32" s="77">
        <f>'[2]Evolutive SFP'!U16</f>
        <v>167526284.72999999</v>
      </c>
      <c r="W32" s="77">
        <f>'[2]Evolutive SFP'!V16</f>
        <v>175836260.03</v>
      </c>
      <c r="X32" s="77">
        <f>'[2]Evolutive SFP'!W16</f>
        <v>177880077.69999999</v>
      </c>
      <c r="Y32" s="77">
        <f>'[2]Evolutive SFP'!X16</f>
        <v>177880077.69999999</v>
      </c>
      <c r="Z32" s="77">
        <f>'[2]Evolutive SFP'!Y16</f>
        <v>179204405.19999999</v>
      </c>
      <c r="AA32" s="77">
        <f>'[2]Evolutive SFP'!Z16</f>
        <v>0</v>
      </c>
      <c r="AB32" s="77">
        <f>'[2]Evolutive SFP'!AA16</f>
        <v>0</v>
      </c>
      <c r="AC32" s="77">
        <f>'[2]Evolutive SFP'!AB16</f>
        <v>0</v>
      </c>
      <c r="AD32" s="77">
        <f>'[2]Evolutive SFP'!AC16</f>
        <v>163849197</v>
      </c>
      <c r="AE32" s="77">
        <f>'[2]Evolutive SFP'!AD16</f>
        <v>164849196.50999999</v>
      </c>
      <c r="AF32" s="77">
        <f>'[2]Evolutive SFP'!AE16</f>
        <v>166900614.19</v>
      </c>
      <c r="AG32" s="77">
        <f>'[2]Evolutive SFP'!AF16</f>
        <v>168992346.88</v>
      </c>
      <c r="AH32" s="77">
        <f>'[2]Evolutive SFP'!AG16</f>
        <v>171138957.66999999</v>
      </c>
      <c r="AI32" s="77">
        <f>'[2]Evolutive SFP'!AH16</f>
        <v>173210655.86000001</v>
      </c>
      <c r="AJ32" s="77">
        <f>'[2]Evolutive SFP'!AI16</f>
        <v>175263362.53999999</v>
      </c>
      <c r="AK32" s="77">
        <f>'[2]Evolutive SFP'!AJ16</f>
        <v>358834856.77999997</v>
      </c>
      <c r="AL32" s="77">
        <f>'[2]Evolutive SFP'!AK16</f>
        <v>181465746.06999999</v>
      </c>
      <c r="AM32" s="77">
        <f>'[2]Evolutive SFP'!AL16</f>
        <v>185226630.27000001</v>
      </c>
      <c r="AN32" s="77">
        <f>'[2]Evolutive SFP'!AM16</f>
        <v>175429580.75999999</v>
      </c>
      <c r="AO32" s="77">
        <f>'[2]Evolutive SFP'!AN16</f>
        <v>174544992.88</v>
      </c>
      <c r="AP32" s="77">
        <f>'[2]Evolutive SFP'!AO16</f>
        <v>175749761</v>
      </c>
      <c r="AQ32" s="77">
        <f>'[2]Evolutive SFP'!AP16</f>
        <v>177250524.78999999</v>
      </c>
      <c r="AR32" s="77">
        <f>'[2]Evolutive SFP'!AQ16</f>
        <v>178568210.68000001</v>
      </c>
      <c r="AS32" s="77">
        <f>'[2]Evolutive SFP'!AR16</f>
        <v>179610898.94999999</v>
      </c>
      <c r="AT32" s="77">
        <f>'[2]Evolutive SFP'!AS16</f>
        <v>181658905.63</v>
      </c>
      <c r="AU32" s="77">
        <f>'[2]Evolutive SFP'!AT16</f>
        <v>183863395.69999999</v>
      </c>
      <c r="AV32" s="77">
        <f>'[2]Evolutive SFP'!AU16</f>
        <v>185919282.38</v>
      </c>
      <c r="AW32" s="77">
        <f>'[2]Evolutive SFP'!AV16</f>
        <v>187962500</v>
      </c>
      <c r="AX32" s="77">
        <f>'[2]Evolutive SFP'!AW16</f>
        <v>190908556.74000001</v>
      </c>
      <c r="AY32" s="77">
        <f>'[2]Evolutive SFP'!AX16</f>
        <v>192944294.41999999</v>
      </c>
      <c r="AZ32" s="77">
        <f>'[2]Evolutive SFP'!AY16</f>
        <v>194780945.09999999</v>
      </c>
      <c r="BA32" s="77">
        <f>'[2]Evolutive SFP'!AZ16</f>
        <v>196825862.78</v>
      </c>
      <c r="BB32" s="77">
        <f>'[2]Evolutive SFP'!BA16</f>
        <v>186373365.02000001</v>
      </c>
      <c r="BC32" s="77">
        <f>'[2]Evolutive SFP'!BB16</f>
        <v>186373165</v>
      </c>
      <c r="BD32" s="77">
        <f>'[2]Evolutive SFP'!BC16</f>
        <v>187910855.56</v>
      </c>
      <c r="BE32" s="77">
        <f>'[2]Evolutive SFP'!BD16</f>
        <v>189146197.30000001</v>
      </c>
      <c r="BF32" s="77">
        <f>'[2]Evolutive SFP'!BE16</f>
        <v>191401090.06999999</v>
      </c>
      <c r="BG32" s="77">
        <f>'[2]Evolutive SFP'!BF16</f>
        <v>193128463.84999999</v>
      </c>
      <c r="BH32" s="77">
        <f>'[2]Evolutive SFP'!BG16</f>
        <v>194855058.58000001</v>
      </c>
      <c r="BI32" s="77">
        <f>'[2]Evolutive SFP'!BH16</f>
        <v>198588110.69999999</v>
      </c>
      <c r="BJ32" s="77">
        <f>'[2]Evolutive SFP'!BI16</f>
        <v>203324754.02000001</v>
      </c>
      <c r="BK32" s="77">
        <f>'[2]Evolutive SFP'!BJ16</f>
        <v>203324754.02000001</v>
      </c>
      <c r="BL32" s="77">
        <f>'[2]Evolutive SFP'!BK16</f>
        <v>205395276.06</v>
      </c>
      <c r="BM32" s="119">
        <f>'[2]Evolutive SFP'!BL16</f>
        <v>206845062.46000001</v>
      </c>
      <c r="BN32" s="77">
        <f>'[2]Evolutive SFP'!BM16</f>
        <v>211887688.53999999</v>
      </c>
      <c r="BO32" s="77">
        <f>'[2]Evolutive SFP'!BN16</f>
        <v>213675547.91999999</v>
      </c>
      <c r="BP32" s="77">
        <f>'[2]Evolutive SFP'!BO16</f>
        <v>0</v>
      </c>
      <c r="BQ32" s="77">
        <f>'[2]Evolutive SFP'!BP16</f>
        <v>0</v>
      </c>
      <c r="BR32" s="77">
        <f>'[2]Evolutive SFP'!BQ16</f>
        <v>0</v>
      </c>
      <c r="BS32" s="77">
        <f>'[2]Evolutive SFP'!BR16</f>
        <v>0</v>
      </c>
      <c r="BT32" s="77">
        <f>'[2]Evolutive SFP'!BS16</f>
        <v>0</v>
      </c>
      <c r="BU32" s="77">
        <f>'[2]Evolutive SFP'!BT16</f>
        <v>0</v>
      </c>
      <c r="BV32" s="77">
        <f>'[2]Evolutive SFP'!BU16</f>
        <v>0</v>
      </c>
      <c r="BW32" s="77">
        <f>'[2]Evolutive SFP'!BV16</f>
        <v>0</v>
      </c>
      <c r="BX32" s="77">
        <f>'[2]Evolutive SFP'!BW16</f>
        <v>0</v>
      </c>
      <c r="BY32" s="77">
        <f>'[2]Evolutive SFP'!BX16</f>
        <v>0</v>
      </c>
      <c r="BZ32" s="77">
        <f>'[2]Evolutive SFP'!BY16</f>
        <v>0</v>
      </c>
      <c r="CA32" s="77">
        <f>'[2]Evolutive SFP'!BZ16</f>
        <v>0</v>
      </c>
      <c r="CB32" s="77">
        <f>'[2]Evolutive SFP'!CA16</f>
        <v>0</v>
      </c>
      <c r="CC32" s="77">
        <f>'[2]Evolutive SFP'!CB16</f>
        <v>0</v>
      </c>
      <c r="CD32" s="77">
        <f>'[2]Evolutive SFP'!CC16</f>
        <v>0</v>
      </c>
      <c r="CE32" s="77">
        <f>'[2]Evolutive SFP'!CD16</f>
        <v>0</v>
      </c>
      <c r="CF32" s="77">
        <f>'[2]Evolutive SFP'!CE16</f>
        <v>0</v>
      </c>
      <c r="CG32" s="77">
        <f>'[2]Evolutive SFP'!CF16</f>
        <v>0</v>
      </c>
      <c r="CH32" s="77">
        <f>'[2]Evolutive SFP'!CG16</f>
        <v>0</v>
      </c>
      <c r="CI32" s="77">
        <f>'[2]Evolutive SFP'!CH16</f>
        <v>0</v>
      </c>
      <c r="CJ32" s="77">
        <f>'[2]Evolutive SFP'!CI16</f>
        <v>0</v>
      </c>
      <c r="CK32" s="77">
        <f>'[2]Evolutive SFP'!CJ16</f>
        <v>0</v>
      </c>
      <c r="CL32" s="77">
        <f>'[2]Evolutive SFP'!CK16</f>
        <v>0</v>
      </c>
      <c r="CM32" s="77">
        <f>'[2]Evolutive SFP'!CL16</f>
        <v>0</v>
      </c>
      <c r="CN32" s="77">
        <f>'[2]Evolutive SFP'!CM16</f>
        <v>0</v>
      </c>
      <c r="CO32" s="77">
        <f>'[2]Evolutive SFP'!CN16</f>
        <v>0</v>
      </c>
      <c r="CP32" s="77">
        <f>'[2]Evolutive SFP'!CO16</f>
        <v>0</v>
      </c>
      <c r="CQ32" s="77">
        <f>'[2]Evolutive SFP'!CP16</f>
        <v>0</v>
      </c>
      <c r="CR32" s="77">
        <f>'[2]Evolutive SFP'!CQ16</f>
        <v>0</v>
      </c>
      <c r="CS32" s="77">
        <f>'[2]Evolutive SFP'!CR16</f>
        <v>0</v>
      </c>
    </row>
    <row r="33" spans="1:97"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119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</row>
    <row r="34" spans="1:97">
      <c r="A34">
        <v>8</v>
      </c>
      <c r="B34" t="s">
        <v>125</v>
      </c>
      <c r="C34" s="77">
        <f>'[2]Evolutive SFP'!B21+'[2]Evolutive SFP'!B7</f>
        <v>18274979</v>
      </c>
      <c r="D34" s="77">
        <f>'[2]Evolutive SFP'!C21+'[2]Evolutive SFP'!C7</f>
        <v>108312001</v>
      </c>
      <c r="E34" s="77">
        <f>'[2]Evolutive SFP'!D21+'[2]Evolutive SFP'!D7</f>
        <v>165866085.20999998</v>
      </c>
      <c r="F34" s="77">
        <f>'[2]Evolutive SFP'!E21+'[2]Evolutive SFP'!E7</f>
        <v>163168287.28999999</v>
      </c>
      <c r="G34" s="77">
        <f>'[2]Evolutive SFP'!F21+'[2]Evolutive SFP'!F7</f>
        <v>166144591.13</v>
      </c>
      <c r="H34" s="77">
        <f>'[2]Evolutive SFP'!G21+'[2]Evolutive SFP'!G7</f>
        <v>158740236.41</v>
      </c>
      <c r="I34" s="77">
        <f>'[2]Evolutive SFP'!H21+'[2]Evolutive SFP'!H7</f>
        <v>160374117.51999998</v>
      </c>
      <c r="J34" s="77">
        <f>'[2]Evolutive SFP'!I21+'[2]Evolutive SFP'!I7</f>
        <v>148851129.53999999</v>
      </c>
      <c r="K34" s="77">
        <f>'[2]Evolutive SFP'!J21+'[2]Evolutive SFP'!J7</f>
        <v>151444911.27000001</v>
      </c>
      <c r="L34" s="77">
        <f>'[2]Evolutive SFP'!K21+'[2]Evolutive SFP'!K7</f>
        <v>141815934.62</v>
      </c>
      <c r="M34" s="77">
        <f>'[2]Evolutive SFP'!L21+'[2]Evolutive SFP'!L7</f>
        <v>138834742.59</v>
      </c>
      <c r="N34" s="77">
        <f>'[2]Evolutive SFP'!M21+'[2]Evolutive SFP'!M7</f>
        <v>278026859.63999999</v>
      </c>
      <c r="O34" s="77">
        <f>'[2]Evolutive SFP'!N21+'[2]Evolutive SFP'!N7</f>
        <v>241617823.70000002</v>
      </c>
      <c r="P34" s="77">
        <f>'[2]Evolutive SFP'!O21+'[2]Evolutive SFP'!O7</f>
        <v>145695391.22999999</v>
      </c>
      <c r="Q34" s="77">
        <f>'[2]Evolutive SFP'!P21+'[2]Evolutive SFP'!P7</f>
        <v>99047082</v>
      </c>
      <c r="R34" s="77">
        <f>'[2]Evolutive SFP'!Q21+'[2]Evolutive SFP'!Q7</f>
        <v>148536034.17000002</v>
      </c>
      <c r="S34" s="77">
        <f>'[2]Evolutive SFP'!R21+'[2]Evolutive SFP'!R7</f>
        <v>147704077.63</v>
      </c>
      <c r="T34" s="77">
        <f>'[2]Evolutive SFP'!S21+'[2]Evolutive SFP'!S7</f>
        <v>149557363.72</v>
      </c>
      <c r="U34" s="77">
        <f>'[2]Evolutive SFP'!T21+'[2]Evolutive SFP'!T7</f>
        <v>154400752.69999999</v>
      </c>
      <c r="V34" s="77">
        <f>'[2]Evolutive SFP'!U21+'[2]Evolutive SFP'!U7</f>
        <v>142788574.94999999</v>
      </c>
      <c r="W34" s="77">
        <f>'[2]Evolutive SFP'!V21+'[2]Evolutive SFP'!V7</f>
        <v>117153205.27000001</v>
      </c>
      <c r="X34" s="77">
        <f>'[2]Evolutive SFP'!W21+'[2]Evolutive SFP'!W7</f>
        <v>115284228</v>
      </c>
      <c r="Y34" s="77">
        <f>'[2]Evolutive SFP'!X21+'[2]Evolutive SFP'!X7</f>
        <v>114806388.30000001</v>
      </c>
      <c r="Z34" s="77">
        <f>'[2]Evolutive SFP'!Y21+'[2]Evolutive SFP'!Y7</f>
        <v>114241620.7</v>
      </c>
      <c r="AA34" s="77">
        <f>'[2]Evolutive SFP'!Z21+'[2]Evolutive SFP'!Z7</f>
        <v>1591904878.0799999</v>
      </c>
      <c r="AB34" s="77">
        <f>'[2]Evolutive SFP'!AA21+'[2]Evolutive SFP'!AA7</f>
        <v>1427437324.23</v>
      </c>
      <c r="AC34" s="77">
        <f>'[2]Evolutive SFP'!AB21+'[2]Evolutive SFP'!AB7</f>
        <v>1376737559.5899999</v>
      </c>
      <c r="AD34" s="77">
        <f>'[2]Evolutive SFP'!AC21+'[2]Evolutive SFP'!AC7</f>
        <v>89598646</v>
      </c>
      <c r="AE34" s="77">
        <f>'[2]Evolutive SFP'!AD21+'[2]Evolutive SFP'!AD7</f>
        <v>130699286.97999999</v>
      </c>
      <c r="AF34" s="77">
        <f>'[2]Evolutive SFP'!AE21+'[2]Evolutive SFP'!AE7</f>
        <v>130884548.25999999</v>
      </c>
      <c r="AG34" s="77">
        <f>'[2]Evolutive SFP'!AF21+'[2]Evolutive SFP'!AF7</f>
        <v>127250552.58</v>
      </c>
      <c r="AH34" s="77">
        <f>'[2]Evolutive SFP'!AG21+'[2]Evolutive SFP'!AG7</f>
        <v>114767444.31</v>
      </c>
      <c r="AI34" s="77">
        <f>'[2]Evolutive SFP'!AH21+'[2]Evolutive SFP'!AH7</f>
        <v>124702096.07000001</v>
      </c>
      <c r="AJ34" s="77">
        <f>'[2]Evolutive SFP'!AI21+'[2]Evolutive SFP'!AI7</f>
        <v>125572070.36000001</v>
      </c>
      <c r="AK34" s="77">
        <f>'[2]Evolutive SFP'!AJ21+'[2]Evolutive SFP'!AJ7</f>
        <v>246023942.51999998</v>
      </c>
      <c r="AL34" s="77">
        <f>'[2]Evolutive SFP'!AK21+'[2]Evolutive SFP'!AK7</f>
        <v>126217020.53999999</v>
      </c>
      <c r="AM34" s="77">
        <f>'[2]Evolutive SFP'!AL21+'[2]Evolutive SFP'!AL7</f>
        <v>225059167.17999998</v>
      </c>
      <c r="AN34" s="77">
        <f>'[2]Evolutive SFP'!AM21+'[2]Evolutive SFP'!AM7</f>
        <v>125101490.97999999</v>
      </c>
      <c r="AO34" s="77">
        <f>'[2]Evolutive SFP'!AN21+'[2]Evolutive SFP'!AN7</f>
        <v>129496246.91</v>
      </c>
      <c r="AP34" s="77">
        <f>'[2]Evolutive SFP'!AO21+'[2]Evolutive SFP'!AO7</f>
        <v>91194782</v>
      </c>
      <c r="AQ34" s="77">
        <f>'[2]Evolutive SFP'!AP21+'[2]Evolutive SFP'!AP7</f>
        <v>127182657.88</v>
      </c>
      <c r="AR34" s="77">
        <f>'[2]Evolutive SFP'!AQ21+'[2]Evolutive SFP'!AQ7</f>
        <v>130027621.68000001</v>
      </c>
      <c r="AS34" s="77">
        <f>'[2]Evolutive SFP'!AR21+'[2]Evolutive SFP'!AR7</f>
        <v>129066603.04000001</v>
      </c>
      <c r="AT34" s="77">
        <f>'[2]Evolutive SFP'!AS21+'[2]Evolutive SFP'!AS7</f>
        <v>129272866.78</v>
      </c>
      <c r="AU34" s="77">
        <f>'[2]Evolutive SFP'!AT21+'[2]Evolutive SFP'!AT7</f>
        <v>126863629.36000001</v>
      </c>
      <c r="AV34" s="77">
        <f>'[2]Evolutive SFP'!AU21+'[2]Evolutive SFP'!AU7</f>
        <v>128124488.40000001</v>
      </c>
      <c r="AW34" s="77">
        <f>'[2]Evolutive SFP'!AV21+'[2]Evolutive SFP'!AV7</f>
        <v>128195315.22</v>
      </c>
      <c r="AX34" s="77">
        <f>'[2]Evolutive SFP'!AW21+'[2]Evolutive SFP'!AW7</f>
        <v>126781328.46000001</v>
      </c>
      <c r="AY34" s="77">
        <f>'[2]Evolutive SFP'!AX21+'[2]Evolutive SFP'!AX7</f>
        <v>134282964.22999999</v>
      </c>
      <c r="AZ34" s="77">
        <f>'[2]Evolutive SFP'!AY21+'[2]Evolutive SFP'!AY7</f>
        <v>224189903.05000001</v>
      </c>
      <c r="BA34" s="77">
        <f>'[2]Evolutive SFP'!AZ21+'[2]Evolutive SFP'!AZ7</f>
        <v>282963190.69999999</v>
      </c>
      <c r="BB34" s="77">
        <f>'[2]Evolutive SFP'!BA21+'[2]Evolutive SFP'!BA7</f>
        <v>150532768.13999999</v>
      </c>
      <c r="BC34" s="77">
        <f>'[2]Evolutive SFP'!BB21+'[2]Evolutive SFP'!BB7</f>
        <v>228217060</v>
      </c>
      <c r="BD34" s="77">
        <f>'[2]Evolutive SFP'!BC21+'[2]Evolutive SFP'!BC7</f>
        <v>154201843.34999999</v>
      </c>
      <c r="BE34" s="77">
        <f>'[2]Evolutive SFP'!BD21+'[2]Evolutive SFP'!BD7</f>
        <v>278538183.13</v>
      </c>
      <c r="BF34" s="77">
        <f>'[2]Evolutive SFP'!BE21+'[2]Evolutive SFP'!BE7</f>
        <v>277985815.33999997</v>
      </c>
      <c r="BG34" s="77">
        <f>'[2]Evolutive SFP'!BF21+'[2]Evolutive SFP'!BF7</f>
        <v>281433519.56</v>
      </c>
      <c r="BH34" s="77">
        <f>'[2]Evolutive SFP'!BG21+'[2]Evolutive SFP'!BG7</f>
        <v>282548469.41000003</v>
      </c>
      <c r="BI34" s="77">
        <f>'[2]Evolutive SFP'!BH21+'[2]Evolutive SFP'!BH7</f>
        <v>283050281.15999997</v>
      </c>
      <c r="BJ34" s="77">
        <f>'[2]Evolutive SFP'!BI21+'[2]Evolutive SFP'!BI7</f>
        <v>363420640.34999996</v>
      </c>
      <c r="BK34" s="77">
        <f>'[2]Evolutive SFP'!BJ21+'[2]Evolutive SFP'!BJ7</f>
        <v>297956770.10000002</v>
      </c>
      <c r="BL34" s="77">
        <f>'[2]Evolutive SFP'!BK21+'[2]Evolutive SFP'!BK7</f>
        <v>281444606.70999998</v>
      </c>
      <c r="BM34" s="119">
        <f>'[2]Evolutive SFP'!BL21+'[2]Evolutive SFP'!BL7</f>
        <v>283520577.12</v>
      </c>
      <c r="BN34" s="77">
        <f>'[2]Evolutive SFP'!BM21+'[2]Evolutive SFP'!BM7</f>
        <v>289192060.00999999</v>
      </c>
      <c r="BO34" s="77">
        <f>'[2]Evolutive SFP'!BN21+'[2]Evolutive SFP'!BN7</f>
        <v>305590080.74000001</v>
      </c>
      <c r="BP34" s="77">
        <f>'[2]Evolutive SFP'!BO21+'[2]Evolutive SFP'!BO7</f>
        <v>0</v>
      </c>
      <c r="BQ34" s="77">
        <f>'[2]Evolutive SFP'!BP21+'[2]Evolutive SFP'!BP7</f>
        <v>0</v>
      </c>
      <c r="BR34" s="77">
        <f>'[2]Evolutive SFP'!BQ21+'[2]Evolutive SFP'!BQ7</f>
        <v>0</v>
      </c>
      <c r="BS34" s="77">
        <f>'[2]Evolutive SFP'!BR21+'[2]Evolutive SFP'!BR7</f>
        <v>0</v>
      </c>
      <c r="BT34" s="77">
        <f>'[2]Evolutive SFP'!BS21+'[2]Evolutive SFP'!BS7</f>
        <v>0</v>
      </c>
      <c r="BU34" s="77">
        <f>'[2]Evolutive SFP'!BT21+'[2]Evolutive SFP'!BT7</f>
        <v>0</v>
      </c>
      <c r="BV34" s="77">
        <f>'[2]Evolutive SFP'!BU21+'[2]Evolutive SFP'!BU7</f>
        <v>0</v>
      </c>
      <c r="BW34" s="77">
        <f>'[2]Evolutive SFP'!BV21+'[2]Evolutive SFP'!BV7</f>
        <v>0</v>
      </c>
      <c r="BX34" s="77">
        <f>'[2]Evolutive SFP'!BW21+'[2]Evolutive SFP'!BW7</f>
        <v>0</v>
      </c>
      <c r="BY34" s="77">
        <f>'[2]Evolutive SFP'!BX21+'[2]Evolutive SFP'!BX7</f>
        <v>0</v>
      </c>
      <c r="BZ34" s="77">
        <f>'[2]Evolutive SFP'!BY21+'[2]Evolutive SFP'!BY7</f>
        <v>0</v>
      </c>
      <c r="CA34" s="77">
        <f>'[2]Evolutive SFP'!BZ21+'[2]Evolutive SFP'!BZ7</f>
        <v>0</v>
      </c>
      <c r="CB34" s="77">
        <f>'[2]Evolutive SFP'!CA21+'[2]Evolutive SFP'!CA7</f>
        <v>0</v>
      </c>
      <c r="CC34" s="77">
        <f>'[2]Evolutive SFP'!CB21+'[2]Evolutive SFP'!CB7</f>
        <v>0</v>
      </c>
      <c r="CD34" s="77">
        <f>'[2]Evolutive SFP'!CC21+'[2]Evolutive SFP'!CC7</f>
        <v>0</v>
      </c>
      <c r="CE34" s="77">
        <f>'[2]Evolutive SFP'!CD21+'[2]Evolutive SFP'!CD7</f>
        <v>0</v>
      </c>
      <c r="CF34" s="77">
        <f>'[2]Evolutive SFP'!CE21+'[2]Evolutive SFP'!CE7</f>
        <v>0</v>
      </c>
      <c r="CG34" s="77">
        <f>'[2]Evolutive SFP'!CF21+'[2]Evolutive SFP'!CF7</f>
        <v>0</v>
      </c>
      <c r="CH34" s="77">
        <f>'[2]Evolutive SFP'!CG21+'[2]Evolutive SFP'!CG7</f>
        <v>0</v>
      </c>
      <c r="CI34" s="77">
        <f>'[2]Evolutive SFP'!CH21+'[2]Evolutive SFP'!CH7</f>
        <v>0</v>
      </c>
      <c r="CJ34" s="77">
        <f>'[2]Evolutive SFP'!CI21+'[2]Evolutive SFP'!CI7</f>
        <v>0</v>
      </c>
      <c r="CK34" s="77">
        <f>'[2]Evolutive SFP'!CJ21+'[2]Evolutive SFP'!CJ7</f>
        <v>0</v>
      </c>
      <c r="CL34" s="77">
        <f>'[2]Evolutive SFP'!CK21+'[2]Evolutive SFP'!CK7</f>
        <v>0</v>
      </c>
      <c r="CM34" s="77">
        <f>'[2]Evolutive SFP'!CL21+'[2]Evolutive SFP'!CL7</f>
        <v>0</v>
      </c>
      <c r="CN34" s="77">
        <f>'[2]Evolutive SFP'!CM21+'[2]Evolutive SFP'!CM7</f>
        <v>0</v>
      </c>
      <c r="CO34" s="77">
        <f>'[2]Evolutive SFP'!CN21+'[2]Evolutive SFP'!CN7</f>
        <v>0</v>
      </c>
      <c r="CP34" s="77">
        <f>'[2]Evolutive SFP'!CO21+'[2]Evolutive SFP'!CO7</f>
        <v>0</v>
      </c>
      <c r="CQ34" s="77">
        <f>'[2]Evolutive SFP'!CP21+'[2]Evolutive SFP'!CP7</f>
        <v>0</v>
      </c>
      <c r="CR34" s="77">
        <f>'[2]Evolutive SFP'!CQ21+'[2]Evolutive SFP'!CQ7</f>
        <v>0</v>
      </c>
      <c r="CS34" s="77">
        <f>'[2]Evolutive SFP'!CR21+'[2]Evolutive SFP'!CR7</f>
        <v>0</v>
      </c>
    </row>
    <row r="35" spans="1:97">
      <c r="A35">
        <v>8.1</v>
      </c>
      <c r="B35" t="s">
        <v>23</v>
      </c>
      <c r="C35" s="77">
        <f>'[2]Evolutive SFP'!B23</f>
        <v>4123114</v>
      </c>
      <c r="D35" s="77">
        <f>'[2]Evolutive SFP'!C23</f>
        <v>67228532</v>
      </c>
      <c r="E35" s="77">
        <f>'[2]Evolutive SFP'!D23</f>
        <v>16506537.95999998</v>
      </c>
      <c r="F35" s="77">
        <f>'[2]Evolutive SFP'!E23</f>
        <v>26113022.849999994</v>
      </c>
      <c r="G35" s="77">
        <f>'[2]Evolutive SFP'!F23</f>
        <v>25596867.849999994</v>
      </c>
      <c r="H35" s="77">
        <f>'[2]Evolutive SFP'!G23</f>
        <v>25080712.849999994</v>
      </c>
      <c r="I35" s="77">
        <f>'[2]Evolutive SFP'!H23</f>
        <v>26464471.849999994</v>
      </c>
      <c r="J35" s="77">
        <f>'[2]Evolutive SFP'!I23</f>
        <v>26486316.849999994</v>
      </c>
      <c r="K35" s="77">
        <f>'[2]Evolutive SFP'!J23</f>
        <v>26483316.850000001</v>
      </c>
      <c r="L35" s="77">
        <f>'[2]Evolutive SFP'!K23</f>
        <v>25451006.850000001</v>
      </c>
      <c r="M35" s="77">
        <f>'[2]Evolutive SFP'!L23</f>
        <v>24934851.850000001</v>
      </c>
      <c r="N35" s="77">
        <f>'[2]Evolutive SFP'!M23</f>
        <v>24461161.600000001</v>
      </c>
      <c r="O35" s="77">
        <f>'[2]Evolutive SFP'!N23</f>
        <v>25614712.120000001</v>
      </c>
      <c r="P35" s="77">
        <f>'[2]Evolutive SFP'!O23</f>
        <v>25338887.120000001</v>
      </c>
      <c r="Q35" s="77">
        <f>'[2]Evolutive SFP'!P23</f>
        <v>67832698</v>
      </c>
      <c r="R35" s="77">
        <f>'[2]Evolutive SFP'!Q23</f>
        <v>25488887.120000001</v>
      </c>
      <c r="S35" s="77">
        <f>'[2]Evolutive SFP'!R23</f>
        <v>24874196.27</v>
      </c>
      <c r="T35" s="77">
        <f>'[2]Evolutive SFP'!S23</f>
        <v>24874196.27</v>
      </c>
      <c r="U35" s="77">
        <f>'[2]Evolutive SFP'!T23</f>
        <v>25822093.27</v>
      </c>
      <c r="V35" s="77">
        <f>'[2]Evolutive SFP'!U23</f>
        <v>25822093.27</v>
      </c>
      <c r="W35" s="77">
        <f>'[2]Evolutive SFP'!V23</f>
        <v>24004439.210000001</v>
      </c>
      <c r="X35" s="77">
        <f>'[2]Evolutive SFP'!W23</f>
        <v>23670653.210000001</v>
      </c>
      <c r="Y35" s="77">
        <f>'[2]Evolutive SFP'!X23</f>
        <v>23780448.399999999</v>
      </c>
      <c r="Z35" s="77">
        <f>'[2]Evolutive SFP'!Y23</f>
        <v>23290976.550000001</v>
      </c>
      <c r="AA35" s="77">
        <f>'[2]Evolutive SFP'!Z23</f>
        <v>0</v>
      </c>
      <c r="AB35" s="77">
        <f>'[2]Evolutive SFP'!AA23</f>
        <v>0</v>
      </c>
      <c r="AC35" s="77">
        <f>'[2]Evolutive SFP'!AB23</f>
        <v>0</v>
      </c>
      <c r="AD35" s="77">
        <f>'[2]Evolutive SFP'!AC23</f>
        <v>66854836</v>
      </c>
      <c r="AE35" s="77">
        <f>'[2]Evolutive SFP'!AD23</f>
        <v>22740843.120000001</v>
      </c>
      <c r="AF35" s="77">
        <f>'[2]Evolutive SFP'!AE23</f>
        <v>25700265.530000001</v>
      </c>
      <c r="AG35" s="77">
        <f>'[2]Evolutive SFP'!AF23</f>
        <v>25235438.949999999</v>
      </c>
      <c r="AH35" s="77">
        <f>'[2]Evolutive SFP'!AG23</f>
        <v>23531332.350000001</v>
      </c>
      <c r="AI35" s="77">
        <f>'[2]Evolutive SFP'!AH23</f>
        <v>23022090.760000002</v>
      </c>
      <c r="AJ35" s="77">
        <f>'[2]Evolutive SFP'!AI23</f>
        <v>24631959.170000002</v>
      </c>
      <c r="AK35" s="77">
        <f>'[2]Evolutive SFP'!AJ23</f>
        <v>47226351.979999997</v>
      </c>
      <c r="AL35" s="77">
        <f>'[2]Evolutive SFP'!AK23</f>
        <v>23103784.399999999</v>
      </c>
      <c r="AM35" s="77">
        <f>'[2]Evolutive SFP'!AL23</f>
        <v>22245959.629999999</v>
      </c>
      <c r="AN35" s="77">
        <f>'[2]Evolutive SFP'!AM23</f>
        <v>22245959.629999999</v>
      </c>
      <c r="AO35" s="77">
        <f>'[2]Evolutive SFP'!AN23</f>
        <v>22751002.829999998</v>
      </c>
      <c r="AP35" s="77">
        <f>'[2]Evolutive SFP'!AO23</f>
        <v>64842765</v>
      </c>
      <c r="AQ35" s="77">
        <f>'[2]Evolutive SFP'!AP23</f>
        <v>23992331.059999999</v>
      </c>
      <c r="AR35" s="77">
        <f>'[2]Evolutive SFP'!AQ23</f>
        <v>24641986.120000001</v>
      </c>
      <c r="AS35" s="77">
        <f>'[2]Evolutive SFP'!AR23</f>
        <v>23921986.120000001</v>
      </c>
      <c r="AT35" s="77">
        <f>'[2]Evolutive SFP'!AS23</f>
        <v>23412594.530000001</v>
      </c>
      <c r="AU35" s="77">
        <f>'[2]Evolutive SFP'!AT23</f>
        <v>24037331.280000001</v>
      </c>
      <c r="AV35" s="77">
        <f>'[2]Evolutive SFP'!AU23</f>
        <v>25713555.210000001</v>
      </c>
      <c r="AW35" s="77">
        <f>'[2]Evolutive SFP'!AV23</f>
        <v>25209163.620000001</v>
      </c>
      <c r="AX35" s="77">
        <f>'[2]Evolutive SFP'!AW23</f>
        <v>24699772.030000001</v>
      </c>
      <c r="AY35" s="77">
        <f>'[2]Evolutive SFP'!AX23</f>
        <v>24306830.440000001</v>
      </c>
      <c r="AZ35" s="77">
        <f>'[2]Evolutive SFP'!AY23</f>
        <v>24029438.850000001</v>
      </c>
      <c r="BA35" s="77">
        <f>'[2]Evolutive SFP'!AZ23</f>
        <v>24200769.190000001</v>
      </c>
      <c r="BB35" s="77">
        <f>'[2]Evolutive SFP'!BA23</f>
        <v>23349717.57</v>
      </c>
      <c r="BC35" s="77">
        <f>'[2]Evolutive SFP'!BB23</f>
        <v>86313178</v>
      </c>
      <c r="BD35" s="77">
        <f>'[2]Evolutive SFP'!BC23</f>
        <v>23050892.739999998</v>
      </c>
      <c r="BE35" s="77">
        <f>'[2]Evolutive SFP'!BD23</f>
        <v>22633452.940000001</v>
      </c>
      <c r="BF35" s="77">
        <f>'[2]Evolutive SFP'!BE23</f>
        <v>23492235.809999999</v>
      </c>
      <c r="BG35" s="77">
        <f>'[2]Evolutive SFP'!BF23</f>
        <v>23275519.309999999</v>
      </c>
      <c r="BH35" s="77">
        <f>'[2]Evolutive SFP'!BG23</f>
        <v>23163747.98</v>
      </c>
      <c r="BI35" s="77">
        <f>'[2]Evolutive SFP'!BH23</f>
        <v>22815423.149999999</v>
      </c>
      <c r="BJ35" s="77">
        <f>'[2]Evolutive SFP'!BI23</f>
        <v>22428857.32</v>
      </c>
      <c r="BK35" s="77">
        <f>'[2]Evolutive SFP'!BJ23</f>
        <v>22750343.82</v>
      </c>
      <c r="BL35" s="77">
        <f>'[2]Evolutive SFP'!BK23</f>
        <v>22600119.82</v>
      </c>
      <c r="BM35" s="119">
        <f>'[2]Evolutive SFP'!BL23</f>
        <v>22246492.82</v>
      </c>
      <c r="BN35" s="77">
        <f>'[2]Evolutive SFP'!BM23</f>
        <v>21662861.68</v>
      </c>
      <c r="BO35" s="77">
        <f>'[2]Evolutive SFP'!BN23</f>
        <v>21822979.960000001</v>
      </c>
      <c r="BP35" s="77">
        <f>'[2]Evolutive SFP'!BO23</f>
        <v>0</v>
      </c>
      <c r="BQ35" s="77">
        <f>'[2]Evolutive SFP'!BP23</f>
        <v>0</v>
      </c>
      <c r="BR35" s="77">
        <f>'[2]Evolutive SFP'!BQ23</f>
        <v>0</v>
      </c>
      <c r="BS35" s="77">
        <f>'[2]Evolutive SFP'!BR23</f>
        <v>0</v>
      </c>
      <c r="BT35" s="77">
        <f>'[2]Evolutive SFP'!BS23</f>
        <v>0</v>
      </c>
      <c r="BU35" s="77">
        <f>'[2]Evolutive SFP'!BT23</f>
        <v>0</v>
      </c>
      <c r="BV35" s="77">
        <f>'[2]Evolutive SFP'!BU23</f>
        <v>0</v>
      </c>
      <c r="BW35" s="77">
        <f>'[2]Evolutive SFP'!BV23</f>
        <v>0</v>
      </c>
      <c r="BX35" s="77">
        <f>'[2]Evolutive SFP'!BW23</f>
        <v>0</v>
      </c>
      <c r="BY35" s="77">
        <f>'[2]Evolutive SFP'!BX23</f>
        <v>0</v>
      </c>
      <c r="BZ35" s="77">
        <f>'[2]Evolutive SFP'!BY23</f>
        <v>0</v>
      </c>
      <c r="CA35" s="77">
        <f>'[2]Evolutive SFP'!BZ23</f>
        <v>0</v>
      </c>
      <c r="CB35" s="77">
        <f>'[2]Evolutive SFP'!CA23</f>
        <v>0</v>
      </c>
      <c r="CC35" s="77">
        <f>'[2]Evolutive SFP'!CB23</f>
        <v>0</v>
      </c>
      <c r="CD35" s="77">
        <f>'[2]Evolutive SFP'!CC23</f>
        <v>0</v>
      </c>
      <c r="CE35" s="77">
        <f>'[2]Evolutive SFP'!CD23</f>
        <v>0</v>
      </c>
      <c r="CF35" s="77">
        <f>'[2]Evolutive SFP'!CE23</f>
        <v>0</v>
      </c>
      <c r="CG35" s="77">
        <f>'[2]Evolutive SFP'!CF23</f>
        <v>0</v>
      </c>
      <c r="CH35" s="77">
        <f>'[2]Evolutive SFP'!CG23</f>
        <v>0</v>
      </c>
      <c r="CI35" s="77">
        <f>'[2]Evolutive SFP'!CH23</f>
        <v>0</v>
      </c>
      <c r="CJ35" s="77">
        <f>'[2]Evolutive SFP'!CI23</f>
        <v>0</v>
      </c>
      <c r="CK35" s="77">
        <f>'[2]Evolutive SFP'!CJ23</f>
        <v>0</v>
      </c>
      <c r="CL35" s="77">
        <f>'[2]Evolutive SFP'!CK23</f>
        <v>0</v>
      </c>
      <c r="CM35" s="77">
        <f>'[2]Evolutive SFP'!CL23</f>
        <v>0</v>
      </c>
      <c r="CN35" s="77">
        <f>'[2]Evolutive SFP'!CM23</f>
        <v>0</v>
      </c>
      <c r="CO35" s="77">
        <f>'[2]Evolutive SFP'!CN23</f>
        <v>0</v>
      </c>
      <c r="CP35" s="77">
        <f>'[2]Evolutive SFP'!CO23</f>
        <v>0</v>
      </c>
      <c r="CQ35" s="77">
        <f>'[2]Evolutive SFP'!CP23</f>
        <v>0</v>
      </c>
      <c r="CR35" s="77">
        <f>'[2]Evolutive SFP'!CQ23</f>
        <v>0</v>
      </c>
      <c r="CS35" s="77">
        <f>'[2]Evolutive SFP'!CR23</f>
        <v>0</v>
      </c>
    </row>
    <row r="36" spans="1:97"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119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</row>
    <row r="37" spans="1:97">
      <c r="A37">
        <v>9</v>
      </c>
      <c r="B37" t="s">
        <v>209</v>
      </c>
      <c r="C37" s="77">
        <f>C38+C39+C40+C41</f>
        <v>14599.247546899</v>
      </c>
      <c r="D37" s="77">
        <f t="shared" ref="D37:BO37" si="11">D38+D39+D40+D41</f>
        <v>196687961</v>
      </c>
      <c r="E37" s="77">
        <f t="shared" si="11"/>
        <v>20632763.939999998</v>
      </c>
      <c r="F37" s="77">
        <f t="shared" si="11"/>
        <v>33797992.979999997</v>
      </c>
      <c r="G37" s="77">
        <f t="shared" si="11"/>
        <v>49279714.799999997</v>
      </c>
      <c r="H37" s="77">
        <f t="shared" si="11"/>
        <v>63359741.289999999</v>
      </c>
      <c r="I37" s="77">
        <f t="shared" si="11"/>
        <v>76929655.980000004</v>
      </c>
      <c r="J37" s="77">
        <f t="shared" si="11"/>
        <v>92872973.310000002</v>
      </c>
      <c r="K37" s="77">
        <f t="shared" si="11"/>
        <v>106236498.31999999</v>
      </c>
      <c r="L37" s="77">
        <f t="shared" si="11"/>
        <v>129395236.77</v>
      </c>
      <c r="M37" s="77">
        <f t="shared" si="11"/>
        <v>144084193.18000001</v>
      </c>
      <c r="N37" s="77">
        <f t="shared" si="11"/>
        <v>165509699.63999999</v>
      </c>
      <c r="O37" s="77">
        <f t="shared" si="11"/>
        <v>190416538.26999998</v>
      </c>
      <c r="P37" s="77">
        <f t="shared" si="11"/>
        <v>212039044.91</v>
      </c>
      <c r="Q37" s="77">
        <f t="shared" si="11"/>
        <v>210181352</v>
      </c>
      <c r="R37" s="77">
        <f t="shared" si="11"/>
        <v>14342499.73</v>
      </c>
      <c r="S37" s="77">
        <f t="shared" si="11"/>
        <v>27194850.919999998</v>
      </c>
      <c r="T37" s="77">
        <f t="shared" si="11"/>
        <v>43632502.409999996</v>
      </c>
      <c r="U37" s="77">
        <f t="shared" si="11"/>
        <v>57544606.560000002</v>
      </c>
      <c r="V37" s="77">
        <f t="shared" si="11"/>
        <v>72356110.290000007</v>
      </c>
      <c r="W37" s="77">
        <f t="shared" si="11"/>
        <v>103353964.70999999</v>
      </c>
      <c r="X37" s="77">
        <f t="shared" si="11"/>
        <v>115796018.01000001</v>
      </c>
      <c r="Y37" s="77">
        <f t="shared" si="11"/>
        <v>129938535.62</v>
      </c>
      <c r="Z37" s="77">
        <f t="shared" si="11"/>
        <v>145460844.25</v>
      </c>
      <c r="AA37" s="77">
        <f t="shared" si="11"/>
        <v>176524094.94999999</v>
      </c>
      <c r="AB37" s="77">
        <f t="shared" si="11"/>
        <v>195744809.43000001</v>
      </c>
      <c r="AC37" s="77">
        <f t="shared" si="11"/>
        <v>220249674.21999997</v>
      </c>
      <c r="AD37" s="77">
        <f t="shared" si="11"/>
        <v>220242400</v>
      </c>
      <c r="AE37" s="77">
        <f t="shared" si="11"/>
        <v>16515833.390000001</v>
      </c>
      <c r="AF37" s="77">
        <f t="shared" si="11"/>
        <v>33621025.140000001</v>
      </c>
      <c r="AG37" s="77">
        <f t="shared" si="11"/>
        <v>48908829</v>
      </c>
      <c r="AH37" s="77">
        <f t="shared" si="11"/>
        <v>64378529.060000002</v>
      </c>
      <c r="AI37" s="77">
        <f t="shared" si="11"/>
        <v>77699972.36999999</v>
      </c>
      <c r="AJ37" s="77">
        <f t="shared" si="11"/>
        <v>93426126.170000002</v>
      </c>
      <c r="AK37" s="77">
        <f t="shared" si="11"/>
        <v>249302321.09999999</v>
      </c>
      <c r="AL37" s="77">
        <f t="shared" si="11"/>
        <v>139145859.93000001</v>
      </c>
      <c r="AM37" s="77">
        <f t="shared" si="11"/>
        <v>173093451.19999999</v>
      </c>
      <c r="AN37" s="77">
        <f t="shared" si="11"/>
        <v>198272866.75</v>
      </c>
      <c r="AO37" s="77">
        <f t="shared" si="11"/>
        <v>221996856.53999999</v>
      </c>
      <c r="AP37" s="77">
        <f t="shared" si="11"/>
        <v>223268945</v>
      </c>
      <c r="AQ37" s="77">
        <f t="shared" si="11"/>
        <v>14497543.5</v>
      </c>
      <c r="AR37" s="77">
        <f t="shared" si="11"/>
        <v>30866522.689999998</v>
      </c>
      <c r="AS37" s="77">
        <f t="shared" si="11"/>
        <v>47875327.119999997</v>
      </c>
      <c r="AT37" s="77">
        <f t="shared" si="11"/>
        <v>62071311.82</v>
      </c>
      <c r="AU37" s="77">
        <f t="shared" si="11"/>
        <v>80075412.900000006</v>
      </c>
      <c r="AV37" s="77">
        <f t="shared" si="11"/>
        <v>96649631.670000002</v>
      </c>
      <c r="AW37" s="77">
        <f t="shared" si="11"/>
        <v>112508642.52000001</v>
      </c>
      <c r="AX37" s="77">
        <f t="shared" si="11"/>
        <v>128312910.56</v>
      </c>
      <c r="AY37" s="77">
        <f t="shared" si="11"/>
        <v>148164662.58000001</v>
      </c>
      <c r="AZ37" s="77">
        <f t="shared" si="11"/>
        <v>167780477.22999999</v>
      </c>
      <c r="BA37" s="77">
        <f t="shared" si="11"/>
        <v>188451628.38999999</v>
      </c>
      <c r="BB37" s="77">
        <f t="shared" si="11"/>
        <v>226471763.49000001</v>
      </c>
      <c r="BC37" s="77">
        <f t="shared" si="11"/>
        <v>225580500.66</v>
      </c>
      <c r="BD37" s="77">
        <f t="shared" si="11"/>
        <v>17747713.940000001</v>
      </c>
      <c r="BE37" s="77">
        <f t="shared" si="11"/>
        <v>33471373.929999996</v>
      </c>
      <c r="BF37" s="77">
        <f t="shared" si="11"/>
        <v>55305394.319999993</v>
      </c>
      <c r="BG37" s="77">
        <f t="shared" si="11"/>
        <v>73158823.870000005</v>
      </c>
      <c r="BH37" s="77">
        <f t="shared" si="11"/>
        <v>90193861.540000007</v>
      </c>
      <c r="BI37" s="77">
        <f t="shared" si="11"/>
        <v>110051809.93000001</v>
      </c>
      <c r="BJ37" s="77">
        <f t="shared" si="11"/>
        <v>138086576.82000002</v>
      </c>
      <c r="BK37" s="77">
        <f t="shared" si="11"/>
        <v>152048650.94</v>
      </c>
      <c r="BL37" s="77">
        <f t="shared" si="11"/>
        <v>169253715.41000003</v>
      </c>
      <c r="BM37" s="119">
        <f t="shared" si="11"/>
        <v>187439716.63999999</v>
      </c>
      <c r="BN37" s="77">
        <f t="shared" si="11"/>
        <v>217350775.53</v>
      </c>
      <c r="BO37" s="77">
        <f t="shared" si="11"/>
        <v>249192923.16</v>
      </c>
      <c r="BP37" s="77">
        <f t="shared" ref="BP37:CS37" si="12">BP38+BP39+BP40+BP41</f>
        <v>0</v>
      </c>
      <c r="BQ37" s="77">
        <f t="shared" si="12"/>
        <v>0</v>
      </c>
      <c r="BR37" s="77">
        <f t="shared" si="12"/>
        <v>0</v>
      </c>
      <c r="BS37" s="77">
        <f t="shared" si="12"/>
        <v>0</v>
      </c>
      <c r="BT37" s="77">
        <f t="shared" si="12"/>
        <v>0</v>
      </c>
      <c r="BU37" s="77">
        <f t="shared" si="12"/>
        <v>0</v>
      </c>
      <c r="BV37" s="77">
        <f t="shared" si="12"/>
        <v>0</v>
      </c>
      <c r="BW37" s="77">
        <f t="shared" si="12"/>
        <v>0</v>
      </c>
      <c r="BX37" s="77">
        <f t="shared" si="12"/>
        <v>0</v>
      </c>
      <c r="BY37" s="77">
        <f t="shared" si="12"/>
        <v>0</v>
      </c>
      <c r="BZ37" s="77">
        <f t="shared" si="12"/>
        <v>0</v>
      </c>
      <c r="CA37" s="77">
        <f t="shared" si="12"/>
        <v>0</v>
      </c>
      <c r="CB37" s="77">
        <f t="shared" si="12"/>
        <v>0</v>
      </c>
      <c r="CC37" s="77">
        <f t="shared" si="12"/>
        <v>0</v>
      </c>
      <c r="CD37" s="77">
        <f t="shared" si="12"/>
        <v>0</v>
      </c>
      <c r="CE37" s="77">
        <f t="shared" si="12"/>
        <v>0</v>
      </c>
      <c r="CF37" s="77">
        <f t="shared" si="12"/>
        <v>0</v>
      </c>
      <c r="CG37" s="77">
        <f t="shared" si="12"/>
        <v>0</v>
      </c>
      <c r="CH37" s="77">
        <f t="shared" si="12"/>
        <v>0</v>
      </c>
      <c r="CI37" s="77">
        <f t="shared" si="12"/>
        <v>0</v>
      </c>
      <c r="CJ37" s="77">
        <f t="shared" si="12"/>
        <v>0</v>
      </c>
      <c r="CK37" s="77">
        <f t="shared" si="12"/>
        <v>0</v>
      </c>
      <c r="CL37" s="77">
        <f t="shared" si="12"/>
        <v>0</v>
      </c>
      <c r="CM37" s="77">
        <f t="shared" si="12"/>
        <v>0</v>
      </c>
      <c r="CN37" s="77">
        <f t="shared" si="12"/>
        <v>0</v>
      </c>
      <c r="CO37" s="77">
        <f t="shared" si="12"/>
        <v>0</v>
      </c>
      <c r="CP37" s="77">
        <f t="shared" si="12"/>
        <v>0</v>
      </c>
      <c r="CQ37" s="77">
        <f t="shared" si="12"/>
        <v>0</v>
      </c>
      <c r="CR37" s="77">
        <f t="shared" si="12"/>
        <v>0</v>
      </c>
      <c r="CS37" s="77">
        <f t="shared" si="12"/>
        <v>0</v>
      </c>
    </row>
    <row r="38" spans="1:97">
      <c r="A38">
        <v>9.1</v>
      </c>
      <c r="B38" t="s">
        <v>254</v>
      </c>
      <c r="C38" s="77">
        <f>'[2]Evolutitve SCI'!B5</f>
        <v>11945.43491</v>
      </c>
      <c r="D38" s="77">
        <f>'[2]Evolutitve SCI'!C5</f>
        <v>101379709</v>
      </c>
      <c r="E38" s="77">
        <f>'[2]Evolutitve SCI'!D5</f>
        <v>8717884.6500000004</v>
      </c>
      <c r="F38" s="77">
        <f>'[2]Evolutitve SCI'!E5</f>
        <v>16536521.34</v>
      </c>
      <c r="G38" s="77">
        <f>'[2]Evolutitve SCI'!F5</f>
        <v>24769551.989999998</v>
      </c>
      <c r="H38" s="77">
        <f>'[2]Evolutitve SCI'!G5</f>
        <v>33029522.690000001</v>
      </c>
      <c r="I38" s="77">
        <f>'[2]Evolutitve SCI'!H5</f>
        <v>41174092.969999999</v>
      </c>
      <c r="J38" s="77">
        <f>'[2]Evolutitve SCI'!I5</f>
        <v>49592524.439999998</v>
      </c>
      <c r="K38" s="77">
        <f>'[2]Evolutitve SCI'!J5</f>
        <v>58018275.740000002</v>
      </c>
      <c r="L38" s="77">
        <f>'[2]Evolutitve SCI'!K5</f>
        <v>66482266.640000001</v>
      </c>
      <c r="M38" s="77">
        <f>'[2]Evolutitve SCI'!L5</f>
        <v>75089316.890000001</v>
      </c>
      <c r="N38" s="77">
        <f>'[2]Evolutitve SCI'!M5</f>
        <v>84006736.519999996</v>
      </c>
      <c r="O38" s="77">
        <f>'[2]Evolutitve SCI'!N5</f>
        <v>91947335.670000002</v>
      </c>
      <c r="P38" s="77">
        <f>'[2]Evolutitve SCI'!O5</f>
        <v>99290901.420000002</v>
      </c>
      <c r="Q38" s="77">
        <f>'[2]Evolutitve SCI'!P5</f>
        <v>99290901</v>
      </c>
      <c r="R38" s="77">
        <f>'[2]Evolutitve SCI'!Q5</f>
        <v>7290707.7999999998</v>
      </c>
      <c r="S38" s="77">
        <f>'[2]Evolutitve SCI'!R5</f>
        <v>14689937.1</v>
      </c>
      <c r="T38" s="77">
        <f>'[2]Evolutitve SCI'!S5</f>
        <v>22258080.100000001</v>
      </c>
      <c r="U38" s="77">
        <f>'[2]Evolutitve SCI'!T5</f>
        <v>29806767.780000001</v>
      </c>
      <c r="V38" s="77">
        <f>'[2]Evolutitve SCI'!U5</f>
        <v>37459750.280000001</v>
      </c>
      <c r="W38" s="77">
        <f>'[2]Evolutitve SCI'!V5</f>
        <v>44863922.579999998</v>
      </c>
      <c r="X38" s="77">
        <f>'[2]Evolutitve SCI'!W5</f>
        <v>52609185.579999998</v>
      </c>
      <c r="Y38" s="77">
        <f>'[2]Evolutitve SCI'!X5</f>
        <v>60508706.329999998</v>
      </c>
      <c r="Z38" s="77">
        <f>'[2]Evolutitve SCI'!Y5</f>
        <v>68756023.480000004</v>
      </c>
      <c r="AA38" s="77">
        <f>'[2]Evolutitve SCI'!Z5</f>
        <v>77040674.629999995</v>
      </c>
      <c r="AB38" s="77">
        <f>'[2]Evolutitve SCI'!AA5</f>
        <v>86064271.230000004</v>
      </c>
      <c r="AC38" s="77">
        <f>'[2]Evolutitve SCI'!AB5</f>
        <v>93202278.980000004</v>
      </c>
      <c r="AD38" s="77">
        <f>'[2]Evolutitve SCI'!AC5</f>
        <v>93202429</v>
      </c>
      <c r="AE38" s="77">
        <f>'[2]Evolutitve SCI'!AD5</f>
        <v>8958073.4299999997</v>
      </c>
      <c r="AF38" s="77">
        <f>'[2]Evolutitve SCI'!AE5</f>
        <v>17474185.670000002</v>
      </c>
      <c r="AG38" s="77">
        <f>'[2]Evolutitve SCI'!AF5</f>
        <v>25199719.77</v>
      </c>
      <c r="AH38" s="77">
        <f>'[2]Evolutitve SCI'!AG5</f>
        <v>32915641.07</v>
      </c>
      <c r="AI38" s="77">
        <f>'[2]Evolutitve SCI'!AH5</f>
        <v>38840640.369999997</v>
      </c>
      <c r="AJ38" s="77">
        <f>'[2]Evolutitve SCI'!AI5</f>
        <v>46510235.520000003</v>
      </c>
      <c r="AK38" s="77">
        <f>'[2]Evolutitve SCI'!AJ5</f>
        <v>123750947.64</v>
      </c>
      <c r="AL38" s="77">
        <f>'[2]Evolutitve SCI'!AK5</f>
        <v>69812015.480000004</v>
      </c>
      <c r="AM38" s="77">
        <f>'[2]Evolutitve SCI'!AL5</f>
        <v>78070440.629999995</v>
      </c>
      <c r="AN38" s="77">
        <f>'[2]Evolutitve SCI'!AM5</f>
        <v>86279820.680000007</v>
      </c>
      <c r="AO38" s="77">
        <f>'[2]Evolutitve SCI'!AN5</f>
        <v>93908093.689999998</v>
      </c>
      <c r="AP38" s="77">
        <f>'[2]Evolutitve SCI'!AO5</f>
        <v>93908094</v>
      </c>
      <c r="AQ38" s="77">
        <f>'[2]Evolutitve SCI'!AP5</f>
        <v>7398131.0999999996</v>
      </c>
      <c r="AR38" s="77">
        <f>'[2]Evolutitve SCI'!AQ5</f>
        <v>14908274.689999999</v>
      </c>
      <c r="AS38" s="77">
        <f>'[2]Evolutitve SCI'!AR5</f>
        <v>22633023.59</v>
      </c>
      <c r="AT38" s="77">
        <f>'[2]Evolutitve SCI'!AS5</f>
        <v>30164131.440000001</v>
      </c>
      <c r="AU38" s="77">
        <f>'[2]Evolutitve SCI'!AT5</f>
        <v>37845372.890000001</v>
      </c>
      <c r="AV38" s="77">
        <f>'[2]Evolutitve SCI'!AU5</f>
        <v>45763059.049999997</v>
      </c>
      <c r="AW38" s="77">
        <f>'[2]Evolutitve SCI'!AV5</f>
        <v>53850209.75</v>
      </c>
      <c r="AX38" s="77">
        <f>'[2]Evolutitve SCI'!AW5</f>
        <v>65242809.350000001</v>
      </c>
      <c r="AY38" s="77">
        <f>'[2]Evolutitve SCI'!AX5</f>
        <v>70568440.799999997</v>
      </c>
      <c r="AZ38" s="77">
        <f>'[2]Evolutitve SCI'!AY5</f>
        <v>79126543.569999993</v>
      </c>
      <c r="BA38" s="77">
        <f>'[2]Evolutitve SCI'!AZ5</f>
        <v>87585411.359999999</v>
      </c>
      <c r="BB38" s="77">
        <f>'[2]Evolutitve SCI'!BA5</f>
        <v>95746454.659999996</v>
      </c>
      <c r="BC38" s="77">
        <f>'[2]Evolutitve SCI'!BB5</f>
        <v>95746454.659999996</v>
      </c>
      <c r="BD38" s="77">
        <f>'[2]Evolutitve SCI'!BC5</f>
        <v>8405722.0500000007</v>
      </c>
      <c r="BE38" s="77">
        <f>'[2]Evolutitve SCI'!BD5</f>
        <v>16823189.149999999</v>
      </c>
      <c r="BF38" s="77">
        <f>'[2]Evolutitve SCI'!BE5</f>
        <v>24963077.050000001</v>
      </c>
      <c r="BG38" s="77">
        <f>'[2]Evolutitve SCI'!BF5</f>
        <v>33817846.5</v>
      </c>
      <c r="BH38" s="77">
        <f>'[2]Evolutitve SCI'!BG5</f>
        <v>42666290.600000001</v>
      </c>
      <c r="BI38" s="77">
        <f>'[2]Evolutitve SCI'!BH5</f>
        <v>51743614.549999997</v>
      </c>
      <c r="BJ38" s="77">
        <f>'[2]Evolutitve SCI'!BI5</f>
        <v>64292625.100000001</v>
      </c>
      <c r="BK38" s="77">
        <f>'[2]Evolutitve SCI'!BJ5</f>
        <v>70303509.159999996</v>
      </c>
      <c r="BL38" s="77">
        <f>'[2]Evolutitve SCI'!BK5</f>
        <v>79458534.790000007</v>
      </c>
      <c r="BM38" s="119">
        <f>'[2]Evolutitve SCI'!BL5</f>
        <v>88762900.890000001</v>
      </c>
      <c r="BN38" s="77">
        <f>'[2]Evolutitve SCI'!BM5</f>
        <v>98709164.909999996</v>
      </c>
      <c r="BO38" s="77">
        <f>'[2]Evolutitve SCI'!BN5</f>
        <v>28685477.530000001</v>
      </c>
      <c r="BP38" s="77">
        <f>'[2]Evolutitve SCI'!BO5</f>
        <v>0</v>
      </c>
      <c r="BQ38" s="77">
        <f>'[2]Evolutitve SCI'!BP5</f>
        <v>0</v>
      </c>
      <c r="BR38" s="77">
        <f>'[2]Evolutitve SCI'!BQ5</f>
        <v>0</v>
      </c>
      <c r="BS38" s="77">
        <f>'[2]Evolutitve SCI'!BR5</f>
        <v>0</v>
      </c>
      <c r="BT38" s="77">
        <f>'[2]Evolutitve SCI'!BS5</f>
        <v>0</v>
      </c>
      <c r="BU38" s="77">
        <f>'[2]Evolutitve SCI'!BT5</f>
        <v>0</v>
      </c>
      <c r="BV38" s="77">
        <f>'[2]Evolutitve SCI'!BU5</f>
        <v>0</v>
      </c>
      <c r="BW38" s="77">
        <f>'[2]Evolutitve SCI'!BV5</f>
        <v>0</v>
      </c>
      <c r="BX38" s="77">
        <f>'[2]Evolutitve SCI'!BW5</f>
        <v>0</v>
      </c>
      <c r="BY38" s="77">
        <f>'[2]Evolutitve SCI'!BX5</f>
        <v>0</v>
      </c>
      <c r="BZ38" s="77">
        <f>'[2]Evolutitve SCI'!BY5</f>
        <v>0</v>
      </c>
      <c r="CA38" s="77">
        <f>'[2]Evolutitve SCI'!BZ5</f>
        <v>0</v>
      </c>
      <c r="CB38" s="77">
        <f>'[2]Evolutitve SCI'!CA5</f>
        <v>0</v>
      </c>
      <c r="CC38" s="77">
        <f>'[2]Evolutitve SCI'!CB5</f>
        <v>0</v>
      </c>
      <c r="CD38" s="77">
        <f>'[2]Evolutitve SCI'!CC5</f>
        <v>0</v>
      </c>
      <c r="CE38" s="77">
        <f>'[2]Evolutitve SCI'!CD5</f>
        <v>0</v>
      </c>
      <c r="CF38" s="77">
        <f>'[2]Evolutitve SCI'!CE5</f>
        <v>0</v>
      </c>
      <c r="CG38" s="77">
        <f>'[2]Evolutitve SCI'!CF5</f>
        <v>0</v>
      </c>
      <c r="CH38" s="77">
        <f>'[2]Evolutitve SCI'!CG5</f>
        <v>0</v>
      </c>
      <c r="CI38" s="77">
        <f>'[2]Evolutitve SCI'!CH5</f>
        <v>0</v>
      </c>
      <c r="CJ38" s="77">
        <f>'[2]Evolutitve SCI'!CI5</f>
        <v>0</v>
      </c>
      <c r="CK38" s="77">
        <f>'[2]Evolutitve SCI'!CJ5</f>
        <v>0</v>
      </c>
      <c r="CL38" s="77">
        <f>'[2]Evolutitve SCI'!CK5</f>
        <v>0</v>
      </c>
      <c r="CM38" s="77">
        <f>'[2]Evolutitve SCI'!CL5</f>
        <v>0</v>
      </c>
      <c r="CN38" s="77">
        <f>'[2]Evolutitve SCI'!CM5</f>
        <v>0</v>
      </c>
      <c r="CO38" s="77">
        <f>'[2]Evolutitve SCI'!CN5</f>
        <v>0</v>
      </c>
      <c r="CP38" s="77">
        <f>'[2]Evolutitve SCI'!CO5</f>
        <v>0</v>
      </c>
      <c r="CQ38" s="77">
        <f>'[2]Evolutitve SCI'!CP5</f>
        <v>0</v>
      </c>
      <c r="CR38" s="77">
        <f>'[2]Evolutitve SCI'!CQ5</f>
        <v>0</v>
      </c>
      <c r="CS38" s="77">
        <f>'[2]Evolutitve SCI'!CR5</f>
        <v>0</v>
      </c>
    </row>
    <row r="39" spans="1:97">
      <c r="A39">
        <v>9.1999999999999993</v>
      </c>
      <c r="B39" t="s">
        <v>255</v>
      </c>
      <c r="C39" s="77">
        <f>'[2]Evolutitve SCI'!B7</f>
        <v>1743.4416368990005</v>
      </c>
      <c r="D39" s="77">
        <f>'[2]Evolutitve SCI'!C7</f>
        <v>95308252</v>
      </c>
      <c r="E39" s="77">
        <f>'[2]Evolutitve SCI'!D7</f>
        <v>5930081.5300000003</v>
      </c>
      <c r="F39" s="77">
        <f>'[2]Evolutitve SCI'!E7</f>
        <v>8931664.0199999996</v>
      </c>
      <c r="G39" s="77">
        <f>'[2]Evolutitve SCI'!F7</f>
        <v>14342069.029999999</v>
      </c>
      <c r="H39" s="77">
        <f>'[2]Evolutitve SCI'!G7</f>
        <v>18749493.609999999</v>
      </c>
      <c r="I39" s="77">
        <f>'[2]Evolutitve SCI'!H7</f>
        <v>22435086.960000001</v>
      </c>
      <c r="J39" s="77">
        <f>'[2]Evolutitve SCI'!I7</f>
        <v>28316851.460000001</v>
      </c>
      <c r="K39" s="77">
        <f>'[2]Evolutitve SCI'!J7</f>
        <v>32155761.48</v>
      </c>
      <c r="L39" s="77">
        <f>'[2]Evolutitve SCI'!K7</f>
        <v>45594757.329999998</v>
      </c>
      <c r="M39" s="77">
        <f>'[2]Evolutitve SCI'!L7</f>
        <v>50126049.989999995</v>
      </c>
      <c r="N39" s="77">
        <f>'[2]Evolutitve SCI'!M7</f>
        <v>61154814.819999993</v>
      </c>
      <c r="O39" s="77">
        <f>'[2]Evolutitve SCI'!N7</f>
        <v>72861724.400000006</v>
      </c>
      <c r="P39" s="77">
        <f>'[2]Evolutitve SCI'!O7</f>
        <v>82930783.890000001</v>
      </c>
      <c r="Q39" s="77">
        <f>'[2]Evolutitve SCI'!P7</f>
        <v>29342276</v>
      </c>
      <c r="R39" s="77">
        <f>'[2]Evolutitve SCI'!Q7</f>
        <v>3533884.53</v>
      </c>
      <c r="S39" s="77">
        <f>'[2]Evolutitve SCI'!R7</f>
        <v>6969597.0199999996</v>
      </c>
      <c r="T39" s="77">
        <f>'[2]Evolutitve SCI'!S7</f>
        <v>14257808.01</v>
      </c>
      <c r="U39" s="77">
        <f>'[2]Evolutitve SCI'!T7</f>
        <v>19490652.68</v>
      </c>
      <c r="V39" s="77">
        <f>'[2]Evolutitve SCI'!U7</f>
        <v>24817122.609999999</v>
      </c>
      <c r="W39" s="77">
        <f>'[2]Evolutitve SCI'!V7</f>
        <v>47238043.030000001</v>
      </c>
      <c r="X39" s="77">
        <f>'[2]Evolutitve SCI'!W7</f>
        <v>50681049.130000003</v>
      </c>
      <c r="Y39" s="77">
        <f>'[2]Evolutitve SCI'!X7</f>
        <v>55662876.789999999</v>
      </c>
      <c r="Z39" s="77">
        <f>'[2]Evolutitve SCI'!Y7</f>
        <v>61598095.170000002</v>
      </c>
      <c r="AA39" s="77">
        <f>'[2]Evolutitve SCI'!Z7</f>
        <v>83136932.319999993</v>
      </c>
      <c r="AB39" s="77">
        <f>'[2]Evolutitve SCI'!AA7</f>
        <v>88857711.400000006</v>
      </c>
      <c r="AC39" s="77">
        <f>'[2]Evolutitve SCI'!AB7</f>
        <v>105370147.53999999</v>
      </c>
      <c r="AD39" s="77">
        <f>'[2]Evolutitve SCI'!AC7</f>
        <v>127039971</v>
      </c>
      <c r="AE39" s="77">
        <f>'[2]Evolutitve SCI'!AD7</f>
        <v>3689317.06</v>
      </c>
      <c r="AF39" s="77">
        <f>'[2]Evolutitve SCI'!AE7</f>
        <v>10841786.57</v>
      </c>
      <c r="AG39" s="77">
        <f>'[2]Evolutitve SCI'!AF7</f>
        <v>17007289.73</v>
      </c>
      <c r="AH39" s="77">
        <f>'[2]Evolutitve SCI'!AG7</f>
        <v>23886869.990000002</v>
      </c>
      <c r="AI39" s="77">
        <f>'[2]Evolutitve SCI'!AH7</f>
        <v>29807634.799999997</v>
      </c>
      <c r="AJ39" s="77">
        <f>'[2]Evolutitve SCI'!AI7</f>
        <v>36222859.350000001</v>
      </c>
      <c r="AK39" s="77">
        <f>'[2]Evolutitve SCI'!AJ7</f>
        <v>99213426.060000002</v>
      </c>
      <c r="AL39" s="77">
        <f>'[2]Evolutitve SCI'!AK7</f>
        <v>54122994.450000003</v>
      </c>
      <c r="AM39" s="77">
        <f>'[2]Evolutitve SCI'!AL7</f>
        <v>77900780.370000005</v>
      </c>
      <c r="AN39" s="77">
        <f>'[2]Evolutitve SCI'!AM7</f>
        <v>89822563.269999996</v>
      </c>
      <c r="AO39" s="77">
        <f>'[2]Evolutitve SCI'!AN7</f>
        <v>99900672.650000006</v>
      </c>
      <c r="AP39" s="77">
        <f>'[2]Evolutitve SCI'!AO7</f>
        <v>129360851</v>
      </c>
      <c r="AQ39" s="77">
        <f>'[2]Evolutitve SCI'!AP7</f>
        <v>4387964.9000000004</v>
      </c>
      <c r="AR39" s="77">
        <f>'[2]Evolutitve SCI'!AQ7</f>
        <v>11672585.600000001</v>
      </c>
      <c r="AS39" s="77">
        <f>'[2]Evolutitve SCI'!AR7</f>
        <v>19192885.73</v>
      </c>
      <c r="AT39" s="77">
        <f>'[2]Evolutitve SCI'!AS7</f>
        <v>24924946.779999997</v>
      </c>
      <c r="AU39" s="77">
        <f>'[2]Evolutitve SCI'!AT7</f>
        <v>33068406.509999998</v>
      </c>
      <c r="AV39" s="77">
        <f>'[2]Evolutitve SCI'!AU7</f>
        <v>39950355.719999999</v>
      </c>
      <c r="AW39" s="77">
        <f>'[2]Evolutitve SCI'!AV7</f>
        <v>46004359.770000003</v>
      </c>
      <c r="AX39" s="77">
        <f>'[2]Evolutitve SCI'!AW7</f>
        <v>48421546.609999999</v>
      </c>
      <c r="AY39" s="77">
        <f>'[2]Evolutitve SCI'!AX7</f>
        <v>61167019.979999997</v>
      </c>
      <c r="AZ39" s="77">
        <f>'[2]Evolutitve SCI'!AY7</f>
        <v>70735692.260000005</v>
      </c>
      <c r="BA39" s="77">
        <f>'[2]Evolutitve SCI'!AZ7</f>
        <v>77681616.829999998</v>
      </c>
      <c r="BB39" s="77">
        <f>'[2]Evolutitve SCI'!BA7</f>
        <v>103924725.53</v>
      </c>
      <c r="BC39" s="77">
        <f>'[2]Evolutitve SCI'!BB7</f>
        <v>129834046</v>
      </c>
      <c r="BD39" s="77">
        <f>'[2]Evolutitve SCI'!BC7</f>
        <v>6043474.5899999999</v>
      </c>
      <c r="BE39" s="77">
        <f>'[2]Evolutitve SCI'!BD7</f>
        <v>11782014.08</v>
      </c>
      <c r="BF39" s="77">
        <f>'[2]Evolutitve SCI'!BE7</f>
        <v>23900746.469999999</v>
      </c>
      <c r="BG39" s="77">
        <f>'[2]Evolutitve SCI'!BF7</f>
        <v>30603178.669999998</v>
      </c>
      <c r="BH39" s="77">
        <f>'[2]Evolutitve SCI'!BG7</f>
        <v>36952213.539999999</v>
      </c>
      <c r="BI39" s="77">
        <f>'[2]Evolutitve SCI'!BH7</f>
        <v>45653930.480000004</v>
      </c>
      <c r="BJ39" s="77">
        <f>'[2]Evolutitve SCI'!BI7</f>
        <v>58027030.920000002</v>
      </c>
      <c r="BK39" s="77">
        <f>'[2]Evolutitve SCI'!BJ7</f>
        <v>63350156.480000004</v>
      </c>
      <c r="BL39" s="77">
        <f>'[2]Evolutitve SCI'!BK7</f>
        <v>68186988.820000008</v>
      </c>
      <c r="BM39" s="119">
        <f>'[2]Evolutitve SCI'!BL7</f>
        <v>75330069.25</v>
      </c>
      <c r="BN39" s="77">
        <f>'[2]Evolutitve SCI'!BM7</f>
        <v>92410841.719999999</v>
      </c>
      <c r="BO39" s="77">
        <f>'[2]Evolutitve SCI'!BN7</f>
        <v>110475525.03</v>
      </c>
      <c r="BP39" s="77">
        <f>'[2]Evolutitve SCI'!BO7</f>
        <v>0</v>
      </c>
      <c r="BQ39" s="77">
        <f>'[2]Evolutitve SCI'!BP7</f>
        <v>0</v>
      </c>
      <c r="BR39" s="77">
        <f>'[2]Evolutitve SCI'!BQ7</f>
        <v>0</v>
      </c>
      <c r="BS39" s="77">
        <f>'[2]Evolutitve SCI'!BR7</f>
        <v>0</v>
      </c>
      <c r="BT39" s="77">
        <f>'[2]Evolutitve SCI'!BS7</f>
        <v>0</v>
      </c>
      <c r="BU39" s="77">
        <f>'[2]Evolutitve SCI'!BT7</f>
        <v>0</v>
      </c>
      <c r="BV39" s="77">
        <f>'[2]Evolutitve SCI'!BU7</f>
        <v>0</v>
      </c>
      <c r="BW39" s="77">
        <f>'[2]Evolutitve SCI'!BV7</f>
        <v>0</v>
      </c>
      <c r="BX39" s="77">
        <f>'[2]Evolutitve SCI'!BW7</f>
        <v>0</v>
      </c>
      <c r="BY39" s="77">
        <f>'[2]Evolutitve SCI'!BX7</f>
        <v>0</v>
      </c>
      <c r="BZ39" s="77">
        <f>'[2]Evolutitve SCI'!BY7</f>
        <v>0</v>
      </c>
      <c r="CA39" s="77">
        <f>'[2]Evolutitve SCI'!BZ7</f>
        <v>0</v>
      </c>
      <c r="CB39" s="77">
        <f>'[2]Evolutitve SCI'!CA7</f>
        <v>0</v>
      </c>
      <c r="CC39" s="77">
        <f>'[2]Evolutitve SCI'!CB7</f>
        <v>0</v>
      </c>
      <c r="CD39" s="77">
        <f>'[2]Evolutitve SCI'!CC7</f>
        <v>0</v>
      </c>
      <c r="CE39" s="77">
        <f>'[2]Evolutitve SCI'!CD7</f>
        <v>0</v>
      </c>
      <c r="CF39" s="77">
        <f>'[2]Evolutitve SCI'!CE7</f>
        <v>0</v>
      </c>
      <c r="CG39" s="77">
        <f>'[2]Evolutitve SCI'!CF7</f>
        <v>0</v>
      </c>
      <c r="CH39" s="77">
        <f>'[2]Evolutitve SCI'!CG7</f>
        <v>0</v>
      </c>
      <c r="CI39" s="77">
        <f>'[2]Evolutitve SCI'!CH7</f>
        <v>0</v>
      </c>
      <c r="CJ39" s="77">
        <f>'[2]Evolutitve SCI'!CI7</f>
        <v>0</v>
      </c>
      <c r="CK39" s="77">
        <f>'[2]Evolutitve SCI'!CJ7</f>
        <v>0</v>
      </c>
      <c r="CL39" s="77">
        <f>'[2]Evolutitve SCI'!CK7</f>
        <v>0</v>
      </c>
      <c r="CM39" s="77">
        <f>'[2]Evolutitve SCI'!CL7</f>
        <v>0</v>
      </c>
      <c r="CN39" s="77">
        <f>'[2]Evolutitve SCI'!CM7</f>
        <v>0</v>
      </c>
      <c r="CO39" s="77">
        <f>'[2]Evolutitve SCI'!CN7</f>
        <v>0</v>
      </c>
      <c r="CP39" s="77">
        <f>'[2]Evolutitve SCI'!CO7</f>
        <v>0</v>
      </c>
      <c r="CQ39" s="77">
        <f>'[2]Evolutitve SCI'!CP7</f>
        <v>0</v>
      </c>
      <c r="CR39" s="77">
        <f>'[2]Evolutitve SCI'!CQ7</f>
        <v>0</v>
      </c>
      <c r="CS39" s="77">
        <f>'[2]Evolutitve SCI'!CR7</f>
        <v>0</v>
      </c>
    </row>
    <row r="40" spans="1:97">
      <c r="A40">
        <v>9.3000000000000007</v>
      </c>
      <c r="B40" t="s">
        <v>256</v>
      </c>
      <c r="C40" s="77">
        <f>'[2]Evolutitve SCI'!B6</f>
        <v>910.37099999999998</v>
      </c>
      <c r="D40" s="77">
        <f>'[2]Evolutitve SCI'!C6</f>
        <v>0</v>
      </c>
      <c r="E40" s="77">
        <f>'[2]Evolutitve SCI'!D6</f>
        <v>5984797.7599999998</v>
      </c>
      <c r="F40" s="77">
        <f>'[2]Evolutitve SCI'!E6</f>
        <v>8329807.6200000001</v>
      </c>
      <c r="G40" s="77">
        <f>'[2]Evolutitve SCI'!F6</f>
        <v>10168093.779999999</v>
      </c>
      <c r="H40" s="77">
        <f>'[2]Evolutitve SCI'!G6</f>
        <v>11580724.99</v>
      </c>
      <c r="I40" s="77">
        <f>'[2]Evolutitve SCI'!H6</f>
        <v>13320476.050000001</v>
      </c>
      <c r="J40" s="77">
        <f>'[2]Evolutitve SCI'!I6</f>
        <v>14963597.41</v>
      </c>
      <c r="K40" s="77">
        <f>'[2]Evolutitve SCI'!J6</f>
        <v>16062461.1</v>
      </c>
      <c r="L40" s="77">
        <f>'[2]Evolutitve SCI'!K6</f>
        <v>17318212.800000001</v>
      </c>
      <c r="M40" s="77">
        <f>'[2]Evolutitve SCI'!L6</f>
        <v>18868826.300000001</v>
      </c>
      <c r="N40" s="77">
        <f>'[2]Evolutitve SCI'!M6</f>
        <v>20348148.300000001</v>
      </c>
      <c r="O40" s="77">
        <f>'[2]Evolutitve SCI'!N6</f>
        <v>25607478.199999999</v>
      </c>
      <c r="P40" s="77">
        <f>'[2]Evolutitve SCI'!O6</f>
        <v>29817359.600000001</v>
      </c>
      <c r="Q40" s="77">
        <f>'[2]Evolutitve SCI'!P6</f>
        <v>81548175</v>
      </c>
      <c r="R40" s="77">
        <f>'[2]Evolutitve SCI'!Q6</f>
        <v>3517907.4</v>
      </c>
      <c r="S40" s="77">
        <f>'[2]Evolutitve SCI'!R6</f>
        <v>5535316.7999999998</v>
      </c>
      <c r="T40" s="77">
        <f>'[2]Evolutitve SCI'!S6</f>
        <v>7116614.2999999998</v>
      </c>
      <c r="U40" s="77">
        <f>'[2]Evolutitve SCI'!T6</f>
        <v>8247186.0999999996</v>
      </c>
      <c r="V40" s="77">
        <f>'[2]Evolutitve SCI'!U6</f>
        <v>10079237.4</v>
      </c>
      <c r="W40" s="77">
        <f>'[2]Evolutitve SCI'!V6</f>
        <v>11251999.1</v>
      </c>
      <c r="X40" s="77">
        <f>'[2]Evolutitve SCI'!W6</f>
        <v>12505783.300000001</v>
      </c>
      <c r="Y40" s="77">
        <f>'[2]Evolutitve SCI'!X6</f>
        <v>13766952.5</v>
      </c>
      <c r="Z40" s="77">
        <f>'[2]Evolutitve SCI'!Y6</f>
        <v>15106725.6</v>
      </c>
      <c r="AA40" s="77">
        <f>'[2]Evolutitve SCI'!Z6</f>
        <v>16346488</v>
      </c>
      <c r="AB40" s="77">
        <f>'[2]Evolutitve SCI'!AA6</f>
        <v>20822826.800000001</v>
      </c>
      <c r="AC40" s="77">
        <f>'[2]Evolutitve SCI'!AB6</f>
        <v>21677247.699999999</v>
      </c>
      <c r="AD40" s="77">
        <f>'[2]Evolutitve SCI'!AC6</f>
        <v>0</v>
      </c>
      <c r="AE40" s="77">
        <f>'[2]Evolutitve SCI'!AD6</f>
        <v>3868442.9</v>
      </c>
      <c r="AF40" s="77">
        <f>'[2]Evolutitve SCI'!AE6</f>
        <v>5305052.9000000004</v>
      </c>
      <c r="AG40" s="77">
        <f>'[2]Evolutitve SCI'!AF6</f>
        <v>6701819.5</v>
      </c>
      <c r="AH40" s="77">
        <f>'[2]Evolutitve SCI'!AG6</f>
        <v>7576018</v>
      </c>
      <c r="AI40" s="77">
        <f>'[2]Evolutitve SCI'!AH6</f>
        <v>9051697.1999999993</v>
      </c>
      <c r="AJ40" s="77">
        <f>'[2]Evolutitve SCI'!AI6</f>
        <v>10693031.300000001</v>
      </c>
      <c r="AK40" s="77">
        <f>'[2]Evolutitve SCI'!AJ6</f>
        <v>26337947.399999999</v>
      </c>
      <c r="AL40" s="77">
        <f>'[2]Evolutitve SCI'!AK6</f>
        <v>15210850</v>
      </c>
      <c r="AM40" s="77">
        <f>'[2]Evolutitve SCI'!AL6</f>
        <v>17122230.199999999</v>
      </c>
      <c r="AN40" s="77">
        <f>'[2]Evolutitve SCI'!AM6</f>
        <v>22170482.800000001</v>
      </c>
      <c r="AO40" s="77">
        <f>'[2]Evolutitve SCI'!AN6</f>
        <v>28188090.199999999</v>
      </c>
      <c r="AP40" s="77">
        <f>'[2]Evolutitve SCI'!AO6</f>
        <v>0</v>
      </c>
      <c r="AQ40" s="77">
        <f>'[2]Evolutitve SCI'!AP6</f>
        <v>2711447.5</v>
      </c>
      <c r="AR40" s="77">
        <f>'[2]Evolutitve SCI'!AQ6</f>
        <v>4285662.4000000004</v>
      </c>
      <c r="AS40" s="77">
        <f>'[2]Evolutitve SCI'!AR6</f>
        <v>6049417.7999999998</v>
      </c>
      <c r="AT40" s="77">
        <f>'[2]Evolutitve SCI'!AS6</f>
        <v>6982233.5999999996</v>
      </c>
      <c r="AU40" s="77">
        <f>'[2]Evolutitve SCI'!AT6</f>
        <v>9161633.5</v>
      </c>
      <c r="AV40" s="77">
        <f>'[2]Evolutitve SCI'!AU6</f>
        <v>10936216.9</v>
      </c>
      <c r="AW40" s="77">
        <f>'[2]Evolutitve SCI'!AV6</f>
        <v>12654073</v>
      </c>
      <c r="AX40" s="77">
        <f>'[2]Evolutitve SCI'!AW6</f>
        <v>14648554.6</v>
      </c>
      <c r="AY40" s="77">
        <f>'[2]Evolutitve SCI'!AX6</f>
        <v>16429201.800000001</v>
      </c>
      <c r="AZ40" s="77">
        <f>'[2]Evolutitve SCI'!AY6</f>
        <v>17918241.399999999</v>
      </c>
      <c r="BA40" s="77">
        <f>'[2]Evolutitve SCI'!AZ6</f>
        <v>23184600.199999999</v>
      </c>
      <c r="BB40" s="77">
        <f>'[2]Evolutitve SCI'!BA6</f>
        <v>26800583.300000001</v>
      </c>
      <c r="BC40" s="77">
        <f>'[2]Evolutitve SCI'!BB6</f>
        <v>0</v>
      </c>
      <c r="BD40" s="77">
        <f>'[2]Evolutitve SCI'!BC6</f>
        <v>3298517.3</v>
      </c>
      <c r="BE40" s="77">
        <f>'[2]Evolutitve SCI'!BD6</f>
        <v>4866170.7</v>
      </c>
      <c r="BF40" s="77">
        <f>'[2]Evolutitve SCI'!BE6</f>
        <v>6441570.7999999998</v>
      </c>
      <c r="BG40" s="77">
        <f>'[2]Evolutitve SCI'!BF6</f>
        <v>8737798.6999999993</v>
      </c>
      <c r="BH40" s="77">
        <f>'[2]Evolutitve SCI'!BG6</f>
        <v>10575357.4</v>
      </c>
      <c r="BI40" s="77">
        <f>'[2]Evolutitve SCI'!BH6</f>
        <v>12654264.9</v>
      </c>
      <c r="BJ40" s="77">
        <f>'[2]Evolutitve SCI'!BI6</f>
        <v>15766920.800000001</v>
      </c>
      <c r="BK40" s="77">
        <f>'[2]Evolutitve SCI'!BJ6</f>
        <v>18394985.300000001</v>
      </c>
      <c r="BL40" s="77">
        <f>'[2]Evolutitve SCI'!BK6</f>
        <v>21608191.800000001</v>
      </c>
      <c r="BM40" s="119">
        <f>'[2]Evolutitve SCI'!BL6</f>
        <v>23346746.5</v>
      </c>
      <c r="BN40" s="77">
        <f>'[2]Evolutitve SCI'!BM6</f>
        <v>26230768.899999999</v>
      </c>
      <c r="BO40" s="77">
        <f>'[2]Evolutitve SCI'!BN6</f>
        <v>110031920.59999999</v>
      </c>
      <c r="BP40" s="77">
        <f>'[2]Evolutitve SCI'!BO6</f>
        <v>0</v>
      </c>
      <c r="BQ40" s="77">
        <f>'[2]Evolutitve SCI'!BP6</f>
        <v>0</v>
      </c>
      <c r="BR40" s="77">
        <f>'[2]Evolutitve SCI'!BQ6</f>
        <v>0</v>
      </c>
      <c r="BS40" s="77">
        <f>'[2]Evolutitve SCI'!BR6</f>
        <v>0</v>
      </c>
      <c r="BT40" s="77">
        <f>'[2]Evolutitve SCI'!BS6</f>
        <v>0</v>
      </c>
      <c r="BU40" s="77">
        <f>'[2]Evolutitve SCI'!BT6</f>
        <v>0</v>
      </c>
      <c r="BV40" s="77">
        <f>'[2]Evolutitve SCI'!BU6</f>
        <v>0</v>
      </c>
      <c r="BW40" s="77">
        <f>'[2]Evolutitve SCI'!BV6</f>
        <v>0</v>
      </c>
      <c r="BX40" s="77">
        <f>'[2]Evolutitve SCI'!BW6</f>
        <v>0</v>
      </c>
      <c r="BY40" s="77">
        <f>'[2]Evolutitve SCI'!BX6</f>
        <v>0</v>
      </c>
      <c r="BZ40" s="77">
        <f>'[2]Evolutitve SCI'!BY6</f>
        <v>0</v>
      </c>
      <c r="CA40" s="77">
        <f>'[2]Evolutitve SCI'!BZ6</f>
        <v>0</v>
      </c>
      <c r="CB40" s="77">
        <f>'[2]Evolutitve SCI'!CA6</f>
        <v>0</v>
      </c>
      <c r="CC40" s="77">
        <f>'[2]Evolutitve SCI'!CB6</f>
        <v>0</v>
      </c>
      <c r="CD40" s="77">
        <f>'[2]Evolutitve SCI'!CC6</f>
        <v>0</v>
      </c>
      <c r="CE40" s="77">
        <f>'[2]Evolutitve SCI'!CD6</f>
        <v>0</v>
      </c>
      <c r="CF40" s="77">
        <f>'[2]Evolutitve SCI'!CE6</f>
        <v>0</v>
      </c>
      <c r="CG40" s="77">
        <f>'[2]Evolutitve SCI'!CF6</f>
        <v>0</v>
      </c>
      <c r="CH40" s="77">
        <f>'[2]Evolutitve SCI'!CG6</f>
        <v>0</v>
      </c>
      <c r="CI40" s="77">
        <f>'[2]Evolutitve SCI'!CH6</f>
        <v>0</v>
      </c>
      <c r="CJ40" s="77">
        <f>'[2]Evolutitve SCI'!CI6</f>
        <v>0</v>
      </c>
      <c r="CK40" s="77">
        <f>'[2]Evolutitve SCI'!CJ6</f>
        <v>0</v>
      </c>
      <c r="CL40" s="77">
        <f>'[2]Evolutitve SCI'!CK6</f>
        <v>0</v>
      </c>
      <c r="CM40" s="77">
        <f>'[2]Evolutitve SCI'!CL6</f>
        <v>0</v>
      </c>
      <c r="CN40" s="77">
        <f>'[2]Evolutitve SCI'!CM6</f>
        <v>0</v>
      </c>
      <c r="CO40" s="77">
        <f>'[2]Evolutitve SCI'!CN6</f>
        <v>0</v>
      </c>
      <c r="CP40" s="77">
        <f>'[2]Evolutitve SCI'!CO6</f>
        <v>0</v>
      </c>
      <c r="CQ40" s="77">
        <f>'[2]Evolutitve SCI'!CP6</f>
        <v>0</v>
      </c>
      <c r="CR40" s="77">
        <f>'[2]Evolutitve SCI'!CQ6</f>
        <v>0</v>
      </c>
      <c r="CS40" s="77">
        <f>'[2]Evolutitve SCI'!CR6</f>
        <v>0</v>
      </c>
    </row>
    <row r="41" spans="1:97">
      <c r="A41">
        <v>9.4</v>
      </c>
      <c r="B41" t="s">
        <v>257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119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</row>
    <row r="42" spans="1:97"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119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</row>
    <row r="43" spans="1:97">
      <c r="A43">
        <v>10</v>
      </c>
      <c r="B43" t="s">
        <v>258</v>
      </c>
      <c r="C43" s="77">
        <f>SUM(C44:C47)</f>
        <v>11568.464599999999</v>
      </c>
      <c r="D43" s="77">
        <f t="shared" ref="D43:BO43" si="13">SUM(D44:D47)</f>
        <v>167267134</v>
      </c>
      <c r="E43" s="77">
        <f t="shared" si="13"/>
        <v>9281060.7200000007</v>
      </c>
      <c r="F43" s="77">
        <f t="shared" si="13"/>
        <v>21824283.850000001</v>
      </c>
      <c r="G43" s="77">
        <f t="shared" si="13"/>
        <v>34191269.240000002</v>
      </c>
      <c r="H43" s="77">
        <f t="shared" si="13"/>
        <v>47440791.849999994</v>
      </c>
      <c r="I43" s="77">
        <f t="shared" si="13"/>
        <v>61774112.620000005</v>
      </c>
      <c r="J43" s="77">
        <f t="shared" si="13"/>
        <v>75070600.329999998</v>
      </c>
      <c r="K43" s="77">
        <f t="shared" si="13"/>
        <v>87081639.739999995</v>
      </c>
      <c r="L43" s="77">
        <f t="shared" si="13"/>
        <v>100169836.39000002</v>
      </c>
      <c r="M43" s="77">
        <f t="shared" si="13"/>
        <v>113222366.53999999</v>
      </c>
      <c r="N43" s="77">
        <f t="shared" si="13"/>
        <v>128113949.91</v>
      </c>
      <c r="O43" s="77">
        <f t="shared" si="13"/>
        <v>144229007.59</v>
      </c>
      <c r="P43" s="77">
        <f t="shared" si="13"/>
        <v>157929744.22</v>
      </c>
      <c r="Q43" s="77">
        <f t="shared" si="13"/>
        <v>171031339</v>
      </c>
      <c r="R43" s="77">
        <f t="shared" si="13"/>
        <v>10487830.930000002</v>
      </c>
      <c r="S43" s="77">
        <f t="shared" si="13"/>
        <v>25271646.18</v>
      </c>
      <c r="T43" s="77">
        <f t="shared" si="13"/>
        <v>39445247.25</v>
      </c>
      <c r="U43" s="77">
        <f t="shared" si="13"/>
        <v>50476350.019999996</v>
      </c>
      <c r="V43" s="77">
        <f t="shared" si="13"/>
        <v>64810688.390000008</v>
      </c>
      <c r="W43" s="77">
        <f t="shared" si="13"/>
        <v>84371342.769999996</v>
      </c>
      <c r="X43" s="77">
        <f t="shared" si="13"/>
        <v>98139791.459999993</v>
      </c>
      <c r="Y43" s="77">
        <f t="shared" si="13"/>
        <v>109122215.19</v>
      </c>
      <c r="Z43" s="77">
        <f t="shared" si="13"/>
        <v>122073031.48999999</v>
      </c>
      <c r="AA43" s="77">
        <f t="shared" si="13"/>
        <v>142015262.82999998</v>
      </c>
      <c r="AB43" s="77">
        <f t="shared" si="13"/>
        <v>152811107.60000002</v>
      </c>
      <c r="AC43" s="77">
        <f t="shared" si="13"/>
        <v>167514875.28</v>
      </c>
      <c r="AD43" s="77">
        <f t="shared" si="13"/>
        <v>195442889</v>
      </c>
      <c r="AE43" s="77">
        <f t="shared" si="13"/>
        <v>11211192.550000001</v>
      </c>
      <c r="AF43" s="77">
        <f t="shared" si="13"/>
        <v>26015314</v>
      </c>
      <c r="AG43" s="77">
        <f t="shared" si="13"/>
        <v>40221465.119999997</v>
      </c>
      <c r="AH43" s="77">
        <f t="shared" si="13"/>
        <v>51513869.960000001</v>
      </c>
      <c r="AI43" s="77">
        <f t="shared" si="13"/>
        <v>62452413.219999999</v>
      </c>
      <c r="AJ43" s="77">
        <f t="shared" si="13"/>
        <v>74044368.370000005</v>
      </c>
      <c r="AK43" s="77">
        <f t="shared" si="13"/>
        <v>199214054.69999999</v>
      </c>
      <c r="AL43" s="77">
        <f t="shared" si="13"/>
        <v>114368108.19</v>
      </c>
      <c r="AM43" s="77">
        <f t="shared" si="13"/>
        <v>137125405.44</v>
      </c>
      <c r="AN43" s="77">
        <f t="shared" si="13"/>
        <v>150112543</v>
      </c>
      <c r="AO43" s="77">
        <f t="shared" si="13"/>
        <v>160092374.97999999</v>
      </c>
      <c r="AP43" s="77">
        <f t="shared" si="13"/>
        <v>182447229</v>
      </c>
      <c r="AQ43" s="77">
        <f t="shared" si="13"/>
        <v>10674160.529999999</v>
      </c>
      <c r="AR43" s="77">
        <f t="shared" si="13"/>
        <v>26253472.52</v>
      </c>
      <c r="AS43" s="77">
        <f t="shared" si="13"/>
        <v>39428575.820000008</v>
      </c>
      <c r="AT43" s="77">
        <f t="shared" si="13"/>
        <v>50934361.640000001</v>
      </c>
      <c r="AU43" s="77">
        <f t="shared" si="13"/>
        <v>64614125.240000002</v>
      </c>
      <c r="AV43" s="77">
        <f t="shared" si="13"/>
        <v>79512793.510000005</v>
      </c>
      <c r="AW43" s="77">
        <f t="shared" si="13"/>
        <v>92474470.799999997</v>
      </c>
      <c r="AX43" s="77">
        <f t="shared" si="13"/>
        <v>104092433.47</v>
      </c>
      <c r="AY43" s="77">
        <f t="shared" si="13"/>
        <v>120250186.50999999</v>
      </c>
      <c r="AZ43" s="77">
        <f t="shared" si="13"/>
        <v>133162262.51000001</v>
      </c>
      <c r="BA43" s="77">
        <f t="shared" si="13"/>
        <v>148774569.68000001</v>
      </c>
      <c r="BB43" s="77">
        <f t="shared" si="13"/>
        <v>170489109.88999999</v>
      </c>
      <c r="BC43" s="77">
        <f t="shared" si="13"/>
        <v>168469496.81999999</v>
      </c>
      <c r="BD43" s="77">
        <f t="shared" si="13"/>
        <v>13645256.76</v>
      </c>
      <c r="BE43" s="77">
        <f t="shared" si="13"/>
        <v>27557562.059999999</v>
      </c>
      <c r="BF43" s="77">
        <f t="shared" si="13"/>
        <v>46128556.799999997</v>
      </c>
      <c r="BG43" s="77">
        <f t="shared" si="13"/>
        <v>60455015.369999997</v>
      </c>
      <c r="BH43" s="77">
        <f t="shared" si="13"/>
        <v>74369429.5</v>
      </c>
      <c r="BI43" s="77">
        <f t="shared" si="13"/>
        <v>89243049.729999989</v>
      </c>
      <c r="BJ43" s="77">
        <f t="shared" si="13"/>
        <v>110567973.08999999</v>
      </c>
      <c r="BK43" s="77">
        <f t="shared" si="13"/>
        <v>124187761.09999999</v>
      </c>
      <c r="BL43" s="77">
        <f t="shared" si="13"/>
        <v>139211077.00999999</v>
      </c>
      <c r="BM43" s="119">
        <f t="shared" si="13"/>
        <v>153021020.38999999</v>
      </c>
      <c r="BN43" s="77">
        <f t="shared" si="13"/>
        <v>176443531.38999999</v>
      </c>
      <c r="BO43" s="77">
        <f t="shared" si="13"/>
        <v>187146088.66999999</v>
      </c>
      <c r="BP43" s="77">
        <f t="shared" ref="BP43:CS43" si="14">SUM(BP44:BP47)</f>
        <v>0</v>
      </c>
      <c r="BQ43" s="77">
        <f t="shared" si="14"/>
        <v>0</v>
      </c>
      <c r="BR43" s="77">
        <f t="shared" si="14"/>
        <v>0</v>
      </c>
      <c r="BS43" s="77">
        <f t="shared" si="14"/>
        <v>0</v>
      </c>
      <c r="BT43" s="77">
        <f t="shared" si="14"/>
        <v>0</v>
      </c>
      <c r="BU43" s="77">
        <f t="shared" si="14"/>
        <v>0</v>
      </c>
      <c r="BV43" s="77">
        <f t="shared" si="14"/>
        <v>0</v>
      </c>
      <c r="BW43" s="77">
        <f t="shared" si="14"/>
        <v>0</v>
      </c>
      <c r="BX43" s="77">
        <f t="shared" si="14"/>
        <v>0</v>
      </c>
      <c r="BY43" s="77">
        <f t="shared" si="14"/>
        <v>0</v>
      </c>
      <c r="BZ43" s="77">
        <f t="shared" si="14"/>
        <v>0</v>
      </c>
      <c r="CA43" s="77">
        <f t="shared" si="14"/>
        <v>0</v>
      </c>
      <c r="CB43" s="77">
        <f t="shared" si="14"/>
        <v>0</v>
      </c>
      <c r="CC43" s="77">
        <f t="shared" si="14"/>
        <v>0</v>
      </c>
      <c r="CD43" s="77">
        <f t="shared" si="14"/>
        <v>0</v>
      </c>
      <c r="CE43" s="77">
        <f t="shared" si="14"/>
        <v>0</v>
      </c>
      <c r="CF43" s="77">
        <f t="shared" si="14"/>
        <v>0</v>
      </c>
      <c r="CG43" s="77">
        <f t="shared" si="14"/>
        <v>0</v>
      </c>
      <c r="CH43" s="77">
        <f t="shared" si="14"/>
        <v>0</v>
      </c>
      <c r="CI43" s="77">
        <f t="shared" si="14"/>
        <v>0</v>
      </c>
      <c r="CJ43" s="77">
        <f t="shared" si="14"/>
        <v>0</v>
      </c>
      <c r="CK43" s="77">
        <f t="shared" si="14"/>
        <v>0</v>
      </c>
      <c r="CL43" s="77">
        <f t="shared" si="14"/>
        <v>0</v>
      </c>
      <c r="CM43" s="77">
        <f t="shared" si="14"/>
        <v>0</v>
      </c>
      <c r="CN43" s="77">
        <f t="shared" si="14"/>
        <v>0</v>
      </c>
      <c r="CO43" s="77">
        <f t="shared" si="14"/>
        <v>0</v>
      </c>
      <c r="CP43" s="77">
        <f t="shared" si="14"/>
        <v>0</v>
      </c>
      <c r="CQ43" s="77">
        <f t="shared" si="14"/>
        <v>0</v>
      </c>
      <c r="CR43" s="77">
        <f t="shared" si="14"/>
        <v>0</v>
      </c>
      <c r="CS43" s="77">
        <f t="shared" si="14"/>
        <v>0</v>
      </c>
    </row>
    <row r="44" spans="1:97">
      <c r="A44">
        <v>10.1</v>
      </c>
      <c r="B44" t="s">
        <v>259</v>
      </c>
      <c r="C44" s="77">
        <f>'[2]Evolutitve SCI'!B13+'[2]Evolutitve SCI'!B16</f>
        <v>185.36</v>
      </c>
      <c r="D44" s="77">
        <f>'[2]Evolutitve SCI'!C13+'[2]Evolutitve SCI'!C16</f>
        <v>18907802</v>
      </c>
      <c r="E44" s="77">
        <f>'[2]Evolutitve SCI'!D13+'[2]Evolutitve SCI'!D16</f>
        <v>588165.55000000005</v>
      </c>
      <c r="F44" s="77">
        <f>'[2]Evolutitve SCI'!E13+'[2]Evolutitve SCI'!E16</f>
        <v>1014759.5</v>
      </c>
      <c r="G44" s="77">
        <f>'[2]Evolutitve SCI'!F13+'[2]Evolutitve SCI'!F16</f>
        <v>1486405.85</v>
      </c>
      <c r="H44" s="77">
        <f>'[2]Evolutitve SCI'!G13+'[2]Evolutitve SCI'!G16</f>
        <v>2076187.75</v>
      </c>
      <c r="I44" s="77">
        <f>'[2]Evolutitve SCI'!H13+'[2]Evolutitve SCI'!H16</f>
        <v>6320227.5800000001</v>
      </c>
      <c r="J44" s="77">
        <f>'[2]Evolutitve SCI'!I13+'[2]Evolutitve SCI'!I16</f>
        <v>8020486.6699999999</v>
      </c>
      <c r="K44" s="77">
        <f>'[2]Evolutitve SCI'!J13+'[2]Evolutitve SCI'!J16</f>
        <v>9694002.0600000005</v>
      </c>
      <c r="L44" s="77">
        <f>'[2]Evolutitve SCI'!K13+'[2]Evolutitve SCI'!K16</f>
        <v>11248585.07</v>
      </c>
      <c r="M44" s="77">
        <f>'[2]Evolutitve SCI'!L13+'[2]Evolutitve SCI'!L16</f>
        <v>12742100.560000001</v>
      </c>
      <c r="N44" s="77">
        <f>'[2]Evolutitve SCI'!M13+'[2]Evolutitve SCI'!M16</f>
        <v>14751978.4</v>
      </c>
      <c r="O44" s="77">
        <f>'[2]Evolutitve SCI'!N13+'[2]Evolutitve SCI'!N16</f>
        <v>17219789.129999999</v>
      </c>
      <c r="P44" s="77">
        <f>'[2]Evolutitve SCI'!O13+'[2]Evolutitve SCI'!O16</f>
        <v>18459703.829999998</v>
      </c>
      <c r="Q44" s="77">
        <f>'[2]Evolutitve SCI'!P13+'[2]Evolutitve SCI'!P16</f>
        <v>31781300</v>
      </c>
      <c r="R44" s="77">
        <f>'[2]Evolutitve SCI'!Q13+'[2]Evolutitve SCI'!Q16</f>
        <v>739198.65</v>
      </c>
      <c r="S44" s="77">
        <f>'[2]Evolutitve SCI'!R13+'[2]Evolutitve SCI'!R16</f>
        <v>1257955.3999999999</v>
      </c>
      <c r="T44" s="77">
        <f>'[2]Evolutitve SCI'!S13+'[2]Evolutitve SCI'!S16</f>
        <v>2225826.4</v>
      </c>
      <c r="U44" s="77">
        <f>'[2]Evolutitve SCI'!T13+'[2]Evolutitve SCI'!T16</f>
        <v>2648297.5</v>
      </c>
      <c r="V44" s="77">
        <f>'[2]Evolutitve SCI'!U13+'[2]Evolutitve SCI'!U16</f>
        <v>6818095.0999999996</v>
      </c>
      <c r="W44" s="77">
        <f>'[2]Evolutitve SCI'!V13+'[2]Evolutitve SCI'!V16</f>
        <v>12624925.890000001</v>
      </c>
      <c r="X44" s="77">
        <f>'[2]Evolutitve SCI'!W13+'[2]Evolutitve SCI'!W16</f>
        <v>14806184.359999999</v>
      </c>
      <c r="Y44" s="77">
        <f>'[2]Evolutitve SCI'!X13+'[2]Evolutitve SCI'!X16</f>
        <v>15240192.460000001</v>
      </c>
      <c r="Z44" s="77">
        <f>'[2]Evolutitve SCI'!Y13+'[2]Evolutitve SCI'!Y16</f>
        <v>17435434.760000002</v>
      </c>
      <c r="AA44" s="77">
        <f>'[2]Evolutitve SCI'!Z13+'[2]Evolutitve SCI'!Z16</f>
        <v>23933925.760000002</v>
      </c>
      <c r="AB44" s="77">
        <f>'[2]Evolutitve SCI'!AA13+'[2]Evolutitve SCI'!AA16</f>
        <v>24446528.109999999</v>
      </c>
      <c r="AC44" s="77">
        <f>'[2]Evolutitve SCI'!AB13+'[2]Evolutitve SCI'!AB16</f>
        <v>25491733.809999999</v>
      </c>
      <c r="AD44" s="77">
        <f>'[2]Evolutitve SCI'!AC13+'[2]Evolutitve SCI'!AC16</f>
        <v>54726552</v>
      </c>
      <c r="AE44" s="77">
        <f>'[2]Evolutitve SCI'!AD13+'[2]Evolutitve SCI'!AD16</f>
        <v>895797.3</v>
      </c>
      <c r="AF44" s="77">
        <f>'[2]Evolutitve SCI'!AE13+'[2]Evolutitve SCI'!AE16</f>
        <v>3045494.36</v>
      </c>
      <c r="AG44" s="77">
        <f>'[2]Evolutitve SCI'!AF13+'[2]Evolutitve SCI'!AF16</f>
        <v>5378648.3200000003</v>
      </c>
      <c r="AH44" s="77">
        <f>'[2]Evolutitve SCI'!AG13+'[2]Evolutitve SCI'!AG16</f>
        <v>6236991.4699999997</v>
      </c>
      <c r="AI44" s="77">
        <f>'[2]Evolutitve SCI'!AH13+'[2]Evolutitve SCI'!AH16</f>
        <v>8332408.71</v>
      </c>
      <c r="AJ44" s="77">
        <f>'[2]Evolutitve SCI'!AI13+'[2]Evolutitve SCI'!AI16</f>
        <v>10463843.82</v>
      </c>
      <c r="AK44" s="77">
        <f>'[2]Evolutitve SCI'!AJ13+'[2]Evolutitve SCI'!AJ16</f>
        <v>30343248.079999998</v>
      </c>
      <c r="AL44" s="77">
        <f>'[2]Evolutitve SCI'!AK13+'[2]Evolutitve SCI'!AK16</f>
        <v>17294473.149999999</v>
      </c>
      <c r="AM44" s="77">
        <f>'[2]Evolutitve SCI'!AL13+'[2]Evolutitve SCI'!AL16</f>
        <v>22571873.370000001</v>
      </c>
      <c r="AN44" s="77">
        <f>'[2]Evolutitve SCI'!AM13+'[2]Evolutitve SCI'!AM16</f>
        <v>24964376.260000002</v>
      </c>
      <c r="AO44" s="77">
        <f>'[2]Evolutitve SCI'!AN13+'[2]Evolutitve SCI'!AN16</f>
        <v>20712158.210000001</v>
      </c>
      <c r="AP44" s="77">
        <f>'[2]Evolutitve SCI'!AO13+'[2]Evolutitve SCI'!AO16</f>
        <v>43060162</v>
      </c>
      <c r="AQ44" s="77">
        <f>'[2]Evolutitve SCI'!AP13+'[2]Evolutitve SCI'!AP16</f>
        <v>1384244.11</v>
      </c>
      <c r="AR44" s="77">
        <f>'[2]Evolutitve SCI'!AQ13+'[2]Evolutitve SCI'!AQ16</f>
        <v>2668128.34</v>
      </c>
      <c r="AS44" s="77">
        <f>'[2]Evolutitve SCI'!AR13+'[2]Evolutitve SCI'!AR16</f>
        <v>3535902.84</v>
      </c>
      <c r="AT44" s="77">
        <f>'[2]Evolutitve SCI'!AS13+'[2]Evolutitve SCI'!AS16</f>
        <v>4013128.04</v>
      </c>
      <c r="AU44" s="77">
        <f>'[2]Evolutitve SCI'!AT13+'[2]Evolutitve SCI'!AT16</f>
        <v>6095721.0999999996</v>
      </c>
      <c r="AV44" s="77">
        <f>'[2]Evolutitve SCI'!AU13+'[2]Evolutitve SCI'!AU16</f>
        <v>9124081.0899999999</v>
      </c>
      <c r="AW44" s="77">
        <f>'[2]Evolutitve SCI'!AV13+'[2]Evolutitve SCI'!AV16</f>
        <v>11179952.25</v>
      </c>
      <c r="AX44" s="77">
        <f>'[2]Evolutitve SCI'!AW13+'[2]Evolutitve SCI'!AW16</f>
        <v>13509786.359999999</v>
      </c>
      <c r="AY44" s="77">
        <f>'[2]Evolutitve SCI'!AX13+'[2]Evolutitve SCI'!AX16</f>
        <v>16647427.460000001</v>
      </c>
      <c r="AZ44" s="77">
        <f>'[2]Evolutitve SCI'!AY13+'[2]Evolutitve SCI'!AY16</f>
        <v>18209763.010000002</v>
      </c>
      <c r="BA44" s="77">
        <f>'[2]Evolutitve SCI'!AZ13+'[2]Evolutitve SCI'!AZ16</f>
        <v>20523361.219999999</v>
      </c>
      <c r="BB44" s="77">
        <f>'[2]Evolutitve SCI'!BA13+'[2]Evolutitve SCI'!BA16</f>
        <v>23470698.82</v>
      </c>
      <c r="BC44" s="77">
        <f>'[2]Evolutitve SCI'!BB13+'[2]Evolutitve SCI'!BB16</f>
        <v>23470698.82</v>
      </c>
      <c r="BD44" s="77">
        <f>'[2]Evolutitve SCI'!BC13+'[2]Evolutitve SCI'!BC16</f>
        <v>269373.45</v>
      </c>
      <c r="BE44" s="77">
        <f>'[2]Evolutitve SCI'!BD13+'[2]Evolutitve SCI'!BD16</f>
        <v>840650.45</v>
      </c>
      <c r="BF44" s="77">
        <f>'[2]Evolutitve SCI'!BE13+'[2]Evolutitve SCI'!BE16</f>
        <v>3928451.86</v>
      </c>
      <c r="BG44" s="77">
        <f>'[2]Evolutitve SCI'!BF13+'[2]Evolutitve SCI'!BF16</f>
        <v>5855531.29</v>
      </c>
      <c r="BH44" s="77">
        <f>'[2]Evolutitve SCI'!BG13+'[2]Evolutitve SCI'!BG16</f>
        <v>7902593.9699999997</v>
      </c>
      <c r="BI44" s="77">
        <f>'[2]Evolutitve SCI'!BH13+'[2]Evolutitve SCI'!BH16</f>
        <v>10618872.939999999</v>
      </c>
      <c r="BJ44" s="77">
        <f>'[2]Evolutitve SCI'!BI13+'[2]Evolutitve SCI'!BI16</f>
        <v>14894537.74</v>
      </c>
      <c r="BK44" s="77">
        <f>'[2]Evolutitve SCI'!BJ13+'[2]Evolutitve SCI'!BJ16</f>
        <v>16223640.880000001</v>
      </c>
      <c r="BL44" s="77">
        <f>'[2]Evolutitve SCI'!BK13+'[2]Evolutitve SCI'!BK16</f>
        <v>18112636.300000001</v>
      </c>
      <c r="BM44" s="119">
        <f>'[2]Evolutitve SCI'!BL13+'[2]Evolutitve SCI'!BL16</f>
        <v>20488225.469999999</v>
      </c>
      <c r="BN44" s="77">
        <f>'[2]Evolutitve SCI'!BM13+'[2]Evolutitve SCI'!BM16</f>
        <v>30383393.390000001</v>
      </c>
      <c r="BO44" s="77">
        <f>'[2]Evolutitve SCI'!BN13+'[2]Evolutitve SCI'!BN16</f>
        <v>24699335.280000001</v>
      </c>
      <c r="BP44" s="77">
        <f>'[2]Evolutitve SCI'!BO13+'[2]Evolutitve SCI'!BO16</f>
        <v>0</v>
      </c>
      <c r="BQ44" s="77">
        <f>'[2]Evolutitve SCI'!BP13+'[2]Evolutitve SCI'!BP16</f>
        <v>0</v>
      </c>
      <c r="BR44" s="77">
        <f>'[2]Evolutitve SCI'!BQ13+'[2]Evolutitve SCI'!BQ16</f>
        <v>0</v>
      </c>
      <c r="BS44" s="77">
        <f>'[2]Evolutitve SCI'!BR13+'[2]Evolutitve SCI'!BR16</f>
        <v>0</v>
      </c>
      <c r="BT44" s="77">
        <f>'[2]Evolutitve SCI'!BS13+'[2]Evolutitve SCI'!BS16</f>
        <v>0</v>
      </c>
      <c r="BU44" s="77">
        <f>'[2]Evolutitve SCI'!BT13+'[2]Evolutitve SCI'!BT16</f>
        <v>0</v>
      </c>
      <c r="BV44" s="77">
        <f>'[2]Evolutitve SCI'!BU13+'[2]Evolutitve SCI'!BU16</f>
        <v>0</v>
      </c>
      <c r="BW44" s="77">
        <f>'[2]Evolutitve SCI'!BV13+'[2]Evolutitve SCI'!BV16</f>
        <v>0</v>
      </c>
      <c r="BX44" s="77">
        <f>'[2]Evolutitve SCI'!BW13+'[2]Evolutitve SCI'!BW16</f>
        <v>0</v>
      </c>
      <c r="BY44" s="77">
        <f>'[2]Evolutitve SCI'!BX13+'[2]Evolutitve SCI'!BX16</f>
        <v>0</v>
      </c>
      <c r="BZ44" s="77">
        <f>'[2]Evolutitve SCI'!BY13+'[2]Evolutitve SCI'!BY16</f>
        <v>0</v>
      </c>
      <c r="CA44" s="77">
        <f>'[2]Evolutitve SCI'!BZ13+'[2]Evolutitve SCI'!BZ16</f>
        <v>0</v>
      </c>
      <c r="CB44" s="77">
        <f>'[2]Evolutitve SCI'!CA13+'[2]Evolutitve SCI'!CA16</f>
        <v>0</v>
      </c>
      <c r="CC44" s="77">
        <f>'[2]Evolutitve SCI'!CB13+'[2]Evolutitve SCI'!CB16</f>
        <v>0</v>
      </c>
      <c r="CD44" s="77">
        <f>'[2]Evolutitve SCI'!CC13+'[2]Evolutitve SCI'!CC16</f>
        <v>0</v>
      </c>
      <c r="CE44" s="77">
        <f>'[2]Evolutitve SCI'!CD13+'[2]Evolutitve SCI'!CD16</f>
        <v>0</v>
      </c>
      <c r="CF44" s="77">
        <f>'[2]Evolutitve SCI'!CE13+'[2]Evolutitve SCI'!CE16</f>
        <v>0</v>
      </c>
      <c r="CG44" s="77">
        <f>'[2]Evolutitve SCI'!CF13+'[2]Evolutitve SCI'!CF16</f>
        <v>0</v>
      </c>
      <c r="CH44" s="77">
        <f>'[2]Evolutitve SCI'!CG13+'[2]Evolutitve SCI'!CG16</f>
        <v>0</v>
      </c>
      <c r="CI44" s="77">
        <f>'[2]Evolutitve SCI'!CH13+'[2]Evolutitve SCI'!CH16</f>
        <v>0</v>
      </c>
      <c r="CJ44" s="77">
        <f>'[2]Evolutitve SCI'!CI13+'[2]Evolutitve SCI'!CI16</f>
        <v>0</v>
      </c>
      <c r="CK44" s="77">
        <f>'[2]Evolutitve SCI'!CJ13+'[2]Evolutitve SCI'!CJ16</f>
        <v>0</v>
      </c>
      <c r="CL44" s="77">
        <f>'[2]Evolutitve SCI'!CK13+'[2]Evolutitve SCI'!CK16</f>
        <v>0</v>
      </c>
      <c r="CM44" s="77">
        <f>'[2]Evolutitve SCI'!CL13+'[2]Evolutitve SCI'!CL16</f>
        <v>0</v>
      </c>
      <c r="CN44" s="77">
        <f>'[2]Evolutitve SCI'!CM13+'[2]Evolutitve SCI'!CM16</f>
        <v>0</v>
      </c>
      <c r="CO44" s="77">
        <f>'[2]Evolutitve SCI'!CN13+'[2]Evolutitve SCI'!CN16</f>
        <v>0</v>
      </c>
      <c r="CP44" s="77">
        <f>'[2]Evolutitve SCI'!CO13+'[2]Evolutitve SCI'!CO16</f>
        <v>0</v>
      </c>
      <c r="CQ44" s="77">
        <f>'[2]Evolutitve SCI'!CP13+'[2]Evolutitve SCI'!CP16</f>
        <v>0</v>
      </c>
      <c r="CR44" s="77">
        <f>'[2]Evolutitve SCI'!CQ13+'[2]Evolutitve SCI'!CQ16</f>
        <v>0</v>
      </c>
      <c r="CS44" s="77">
        <f>'[2]Evolutitve SCI'!CR13+'[2]Evolutitve SCI'!CR16</f>
        <v>0</v>
      </c>
    </row>
    <row r="45" spans="1:97">
      <c r="A45">
        <v>10.199999999999999</v>
      </c>
      <c r="B45" t="s">
        <v>260</v>
      </c>
      <c r="C45" s="77">
        <f>'[2]Evolutitve SCI'!B15</f>
        <v>0</v>
      </c>
      <c r="D45" s="77">
        <f>'[2]Evolutitve SCI'!C15</f>
        <v>0</v>
      </c>
      <c r="E45" s="77">
        <f>'[2]Evolutitve SCI'!D15</f>
        <v>0</v>
      </c>
      <c r="F45" s="77">
        <f>'[2]Evolutitve SCI'!E15</f>
        <v>0</v>
      </c>
      <c r="G45" s="77">
        <f>'[2]Evolutitve SCI'!F15</f>
        <v>0</v>
      </c>
      <c r="H45" s="77">
        <f>'[2]Evolutitve SCI'!G15</f>
        <v>0</v>
      </c>
      <c r="I45" s="77">
        <f>'[2]Evolutitve SCI'!H15</f>
        <v>0</v>
      </c>
      <c r="J45" s="77">
        <f>'[2]Evolutitve SCI'!I15</f>
        <v>0</v>
      </c>
      <c r="K45" s="77">
        <f>'[2]Evolutitve SCI'!J15</f>
        <v>0</v>
      </c>
      <c r="L45" s="77">
        <f>'[2]Evolutitve SCI'!K15</f>
        <v>0</v>
      </c>
      <c r="M45" s="77">
        <f>'[2]Evolutitve SCI'!L15</f>
        <v>0</v>
      </c>
      <c r="N45" s="77">
        <f>'[2]Evolutitve SCI'!M15</f>
        <v>0</v>
      </c>
      <c r="O45" s="77">
        <f>'[2]Evolutitve SCI'!N15</f>
        <v>0</v>
      </c>
      <c r="P45" s="77">
        <f>'[2]Evolutitve SCI'!O15</f>
        <v>0</v>
      </c>
      <c r="Q45" s="77">
        <f>'[2]Evolutitve SCI'!P15</f>
        <v>0</v>
      </c>
      <c r="R45" s="77">
        <f>'[2]Evolutitve SCI'!Q15</f>
        <v>0</v>
      </c>
      <c r="S45" s="77">
        <f>'[2]Evolutitve SCI'!R15</f>
        <v>0</v>
      </c>
      <c r="T45" s="77">
        <f>'[2]Evolutitve SCI'!S15</f>
        <v>0</v>
      </c>
      <c r="U45" s="77">
        <f>'[2]Evolutitve SCI'!T15</f>
        <v>0</v>
      </c>
      <c r="V45" s="77">
        <f>'[2]Evolutitve SCI'!U15</f>
        <v>0</v>
      </c>
      <c r="W45" s="77">
        <f>'[2]Evolutitve SCI'!V15</f>
        <v>0</v>
      </c>
      <c r="X45" s="77">
        <f>'[2]Evolutitve SCI'!W15</f>
        <v>0</v>
      </c>
      <c r="Y45" s="77">
        <f>'[2]Evolutitve SCI'!X15</f>
        <v>0</v>
      </c>
      <c r="Z45" s="77">
        <f>'[2]Evolutitve SCI'!Y15</f>
        <v>0</v>
      </c>
      <c r="AA45" s="77">
        <f>'[2]Evolutitve SCI'!Z15</f>
        <v>0</v>
      </c>
      <c r="AB45" s="77">
        <f>'[2]Evolutitve SCI'!AA15</f>
        <v>0</v>
      </c>
      <c r="AC45" s="77">
        <f>'[2]Evolutitve SCI'!AB15</f>
        <v>0</v>
      </c>
      <c r="AD45" s="77">
        <f>'[2]Evolutitve SCI'!AC15</f>
        <v>0</v>
      </c>
      <c r="AE45" s="77">
        <f>'[2]Evolutitve SCI'!AD15</f>
        <v>0</v>
      </c>
      <c r="AF45" s="77">
        <f>'[2]Evolutitve SCI'!AE15</f>
        <v>0</v>
      </c>
      <c r="AG45" s="77">
        <f>'[2]Evolutitve SCI'!AF15</f>
        <v>0</v>
      </c>
      <c r="AH45" s="77">
        <f>'[2]Evolutitve SCI'!AG15</f>
        <v>0</v>
      </c>
      <c r="AI45" s="77">
        <f>'[2]Evolutitve SCI'!AH15</f>
        <v>0</v>
      </c>
      <c r="AJ45" s="77">
        <f>'[2]Evolutitve SCI'!AI15</f>
        <v>0</v>
      </c>
      <c r="AK45" s="77">
        <f>'[2]Evolutitve SCI'!AJ15</f>
        <v>0</v>
      </c>
      <c r="AL45" s="77">
        <f>'[2]Evolutitve SCI'!AK15</f>
        <v>0</v>
      </c>
      <c r="AM45" s="77">
        <f>'[2]Evolutitve SCI'!AL15</f>
        <v>0</v>
      </c>
      <c r="AN45" s="77">
        <f>'[2]Evolutitve SCI'!AM15</f>
        <v>0</v>
      </c>
      <c r="AO45" s="77">
        <f>'[2]Evolutitve SCI'!AN15</f>
        <v>0</v>
      </c>
      <c r="AP45" s="77">
        <f>'[2]Evolutitve SCI'!AO15</f>
        <v>0</v>
      </c>
      <c r="AQ45" s="77">
        <f>'[2]Evolutitve SCI'!AP15</f>
        <v>0</v>
      </c>
      <c r="AR45" s="77">
        <f>'[2]Evolutitve SCI'!AQ15</f>
        <v>0</v>
      </c>
      <c r="AS45" s="77">
        <f>'[2]Evolutitve SCI'!AR15</f>
        <v>0</v>
      </c>
      <c r="AT45" s="77">
        <f>'[2]Evolutitve SCI'!AS15</f>
        <v>0</v>
      </c>
      <c r="AU45" s="77">
        <f>'[2]Evolutitve SCI'!AT15</f>
        <v>0</v>
      </c>
      <c r="AV45" s="77">
        <f>'[2]Evolutitve SCI'!AU15</f>
        <v>0</v>
      </c>
      <c r="AW45" s="77">
        <f>'[2]Evolutitve SCI'!AV15</f>
        <v>0</v>
      </c>
      <c r="AX45" s="77">
        <f>'[2]Evolutitve SCI'!AW15</f>
        <v>0</v>
      </c>
      <c r="AY45" s="77">
        <f>'[2]Evolutitve SCI'!AX15</f>
        <v>0</v>
      </c>
      <c r="AZ45" s="77">
        <f>'[2]Evolutitve SCI'!AY15</f>
        <v>0</v>
      </c>
      <c r="BA45" s="77">
        <f>'[2]Evolutitve SCI'!AZ15</f>
        <v>0</v>
      </c>
      <c r="BB45" s="77">
        <f>'[2]Evolutitve SCI'!BA15</f>
        <v>0</v>
      </c>
      <c r="BC45" s="77">
        <f>'[2]Evolutitve SCI'!BB15</f>
        <v>0</v>
      </c>
      <c r="BD45" s="77">
        <f>'[2]Evolutitve SCI'!BC15</f>
        <v>0</v>
      </c>
      <c r="BE45" s="77">
        <f>'[2]Evolutitve SCI'!BD15</f>
        <v>0</v>
      </c>
      <c r="BF45" s="77">
        <f>'[2]Evolutitve SCI'!BE15</f>
        <v>0</v>
      </c>
      <c r="BG45" s="77">
        <f>'[2]Evolutitve SCI'!BF15</f>
        <v>476614.7</v>
      </c>
      <c r="BH45" s="77">
        <f>'[2]Evolutitve SCI'!BG15</f>
        <v>0</v>
      </c>
      <c r="BI45" s="77">
        <f>'[2]Evolutitve SCI'!BH15</f>
        <v>0</v>
      </c>
      <c r="BJ45" s="77">
        <f>'[2]Evolutitve SCI'!BI15</f>
        <v>0</v>
      </c>
      <c r="BK45" s="77">
        <f>'[2]Evolutitve SCI'!BJ15</f>
        <v>0</v>
      </c>
      <c r="BL45" s="77">
        <f>'[2]Evolutitve SCI'!BK15</f>
        <v>0</v>
      </c>
      <c r="BM45" s="119">
        <f>'[2]Evolutitve SCI'!BL15</f>
        <v>0</v>
      </c>
      <c r="BN45" s="77">
        <f>'[2]Evolutitve SCI'!BM15</f>
        <v>0</v>
      </c>
      <c r="BO45" s="77">
        <f>'[2]Evolutitve SCI'!BN15</f>
        <v>0</v>
      </c>
      <c r="BP45" s="77">
        <f>'[2]Evolutitve SCI'!BO15</f>
        <v>0</v>
      </c>
      <c r="BQ45" s="77">
        <f>'[2]Evolutitve SCI'!BP15</f>
        <v>0</v>
      </c>
      <c r="BR45" s="77">
        <f>'[2]Evolutitve SCI'!BQ15</f>
        <v>0</v>
      </c>
      <c r="BS45" s="77">
        <f>'[2]Evolutitve SCI'!BR15</f>
        <v>0</v>
      </c>
      <c r="BT45" s="77">
        <f>'[2]Evolutitve SCI'!BS15</f>
        <v>0</v>
      </c>
      <c r="BU45" s="77">
        <f>'[2]Evolutitve SCI'!BT15</f>
        <v>0</v>
      </c>
      <c r="BV45" s="77">
        <f>'[2]Evolutitve SCI'!BU15</f>
        <v>0</v>
      </c>
      <c r="BW45" s="77">
        <f>'[2]Evolutitve SCI'!BV15</f>
        <v>0</v>
      </c>
      <c r="BX45" s="77">
        <f>'[2]Evolutitve SCI'!BW15</f>
        <v>0</v>
      </c>
      <c r="BY45" s="77">
        <f>'[2]Evolutitve SCI'!BX15</f>
        <v>0</v>
      </c>
      <c r="BZ45" s="77">
        <f>'[2]Evolutitve SCI'!BY15</f>
        <v>0</v>
      </c>
      <c r="CA45" s="77">
        <f>'[2]Evolutitve SCI'!BZ15</f>
        <v>0</v>
      </c>
      <c r="CB45" s="77">
        <f>'[2]Evolutitve SCI'!CA15</f>
        <v>0</v>
      </c>
      <c r="CC45" s="77">
        <f>'[2]Evolutitve SCI'!CB15</f>
        <v>0</v>
      </c>
      <c r="CD45" s="77">
        <f>'[2]Evolutitve SCI'!CC15</f>
        <v>0</v>
      </c>
      <c r="CE45" s="77">
        <f>'[2]Evolutitve SCI'!CD15</f>
        <v>0</v>
      </c>
      <c r="CF45" s="77">
        <f>'[2]Evolutitve SCI'!CE15</f>
        <v>0</v>
      </c>
      <c r="CG45" s="77">
        <f>'[2]Evolutitve SCI'!CF15</f>
        <v>0</v>
      </c>
      <c r="CH45" s="77">
        <f>'[2]Evolutitve SCI'!CG15</f>
        <v>0</v>
      </c>
      <c r="CI45" s="77">
        <f>'[2]Evolutitve SCI'!CH15</f>
        <v>0</v>
      </c>
      <c r="CJ45" s="77">
        <f>'[2]Evolutitve SCI'!CI15</f>
        <v>0</v>
      </c>
      <c r="CK45" s="77">
        <f>'[2]Evolutitve SCI'!CJ15</f>
        <v>0</v>
      </c>
      <c r="CL45" s="77">
        <f>'[2]Evolutitve SCI'!CK15</f>
        <v>0</v>
      </c>
      <c r="CM45" s="77">
        <f>'[2]Evolutitve SCI'!CL15</f>
        <v>0</v>
      </c>
      <c r="CN45" s="77">
        <f>'[2]Evolutitve SCI'!CM15</f>
        <v>0</v>
      </c>
      <c r="CO45" s="77">
        <f>'[2]Evolutitve SCI'!CN15</f>
        <v>0</v>
      </c>
      <c r="CP45" s="77">
        <f>'[2]Evolutitve SCI'!CO15</f>
        <v>0</v>
      </c>
      <c r="CQ45" s="77">
        <f>'[2]Evolutitve SCI'!CP15</f>
        <v>0</v>
      </c>
      <c r="CR45" s="77">
        <f>'[2]Evolutitve SCI'!CQ15</f>
        <v>0</v>
      </c>
      <c r="CS45" s="77">
        <f>'[2]Evolutitve SCI'!CR15</f>
        <v>0</v>
      </c>
    </row>
    <row r="46" spans="1:97">
      <c r="A46">
        <v>10.3</v>
      </c>
      <c r="B46" t="s">
        <v>261</v>
      </c>
      <c r="C46" s="77">
        <f>'[2]Evolutitve SCI'!B14</f>
        <v>363.72469999999998</v>
      </c>
      <c r="D46" s="77">
        <f>'[2]Evolutitve SCI'!C14</f>
        <v>17546381</v>
      </c>
      <c r="E46" s="77">
        <f>'[2]Evolutitve SCI'!D14</f>
        <v>0</v>
      </c>
      <c r="F46" s="77">
        <f>'[2]Evolutitve SCI'!E14</f>
        <v>0</v>
      </c>
      <c r="G46" s="77">
        <f>'[2]Evolutitve SCI'!F14</f>
        <v>0</v>
      </c>
      <c r="H46" s="77">
        <f>'[2]Evolutitve SCI'!G14</f>
        <v>500000</v>
      </c>
      <c r="I46" s="77">
        <f>'[2]Evolutitve SCI'!H14</f>
        <v>1289041.1100000001</v>
      </c>
      <c r="J46" s="77">
        <f>'[2]Evolutitve SCI'!I14</f>
        <v>1798630.16</v>
      </c>
      <c r="K46" s="77">
        <f>'[2]Evolutitve SCI'!J14</f>
        <v>2291680.85</v>
      </c>
      <c r="L46" s="77">
        <f>'[2]Evolutitve SCI'!K14</f>
        <v>2846576.33</v>
      </c>
      <c r="M46" s="77">
        <f>'[2]Evolutitve SCI'!L14</f>
        <v>3356165.38</v>
      </c>
      <c r="N46" s="77">
        <f>'[2]Evolutitve SCI'!M14</f>
        <v>3865754.48</v>
      </c>
      <c r="O46" s="77">
        <f>'[2]Evolutitve SCI'!N14</f>
        <v>3865754.48</v>
      </c>
      <c r="P46" s="77">
        <f>'[2]Evolutitve SCI'!O14</f>
        <v>3865754.48</v>
      </c>
      <c r="Q46" s="77">
        <f>'[2]Evolutitve SCI'!P14</f>
        <v>3865754</v>
      </c>
      <c r="R46" s="77">
        <f>'[2]Evolutitve SCI'!Q14</f>
        <v>0</v>
      </c>
      <c r="S46" s="77">
        <f>'[2]Evolutitve SCI'!R14</f>
        <v>0</v>
      </c>
      <c r="T46" s="77">
        <f>'[2]Evolutitve SCI'!S14</f>
        <v>0</v>
      </c>
      <c r="U46" s="77">
        <f>'[2]Evolutitve SCI'!T14</f>
        <v>0</v>
      </c>
      <c r="V46" s="77">
        <f>'[2]Evolutitve SCI'!U14</f>
        <v>0</v>
      </c>
      <c r="W46" s="77">
        <f>'[2]Evolutitve SCI'!V14</f>
        <v>0</v>
      </c>
      <c r="X46" s="77">
        <f>'[2]Evolutitve SCI'!W14</f>
        <v>0</v>
      </c>
      <c r="Y46" s="77">
        <f>'[2]Evolutitve SCI'!X14</f>
        <v>0</v>
      </c>
      <c r="Z46" s="77">
        <f>'[2]Evolutitve SCI'!Y14</f>
        <v>0</v>
      </c>
      <c r="AA46" s="77">
        <f>'[2]Evolutitve SCI'!Z14</f>
        <v>0</v>
      </c>
      <c r="AB46" s="77">
        <f>'[2]Evolutitve SCI'!AA14</f>
        <v>0</v>
      </c>
      <c r="AC46" s="77">
        <f>'[2]Evolutitve SCI'!AB14</f>
        <v>0</v>
      </c>
      <c r="AD46" s="77">
        <f>'[2]Evolutitve SCI'!AC14</f>
        <v>0</v>
      </c>
      <c r="AE46" s="77">
        <f>'[2]Evolutitve SCI'!AD14</f>
        <v>0</v>
      </c>
      <c r="AF46" s="77">
        <f>'[2]Evolutitve SCI'!AE14</f>
        <v>0</v>
      </c>
      <c r="AG46" s="77">
        <f>'[2]Evolutitve SCI'!AF14</f>
        <v>0</v>
      </c>
      <c r="AH46" s="77">
        <f>'[2]Evolutitve SCI'!AG14</f>
        <v>0</v>
      </c>
      <c r="AI46" s="77">
        <f>'[2]Evolutitve SCI'!AH14</f>
        <v>0</v>
      </c>
      <c r="AJ46" s="77">
        <f>'[2]Evolutitve SCI'!AI14</f>
        <v>0</v>
      </c>
      <c r="AK46" s="77">
        <f>'[2]Evolutitve SCI'!AJ14</f>
        <v>0</v>
      </c>
      <c r="AL46" s="77">
        <f>'[2]Evolutitve SCI'!AK14</f>
        <v>0</v>
      </c>
      <c r="AM46" s="77">
        <f>'[2]Evolutitve SCI'!AL14</f>
        <v>0</v>
      </c>
      <c r="AN46" s="77">
        <f>'[2]Evolutitve SCI'!AM14</f>
        <v>0</v>
      </c>
      <c r="AO46" s="77">
        <f>'[2]Evolutitve SCI'!AN14</f>
        <v>0</v>
      </c>
      <c r="AP46" s="77">
        <f>'[2]Evolutitve SCI'!AO14</f>
        <v>0</v>
      </c>
      <c r="AQ46" s="77">
        <f>'[2]Evolutitve SCI'!AP14</f>
        <v>0</v>
      </c>
      <c r="AR46" s="77">
        <f>'[2]Evolutitve SCI'!AQ14</f>
        <v>0</v>
      </c>
      <c r="AS46" s="77">
        <f>'[2]Evolutitve SCI'!AR14</f>
        <v>0</v>
      </c>
      <c r="AT46" s="77">
        <f>'[2]Evolutitve SCI'!AS14</f>
        <v>0</v>
      </c>
      <c r="AU46" s="77">
        <f>'[2]Evolutitve SCI'!AT14</f>
        <v>0</v>
      </c>
      <c r="AV46" s="77">
        <f>'[2]Evolutitve SCI'!AU14</f>
        <v>0</v>
      </c>
      <c r="AW46" s="77">
        <f>'[2]Evolutitve SCI'!AV14</f>
        <v>0</v>
      </c>
      <c r="AX46" s="77">
        <f>'[2]Evolutitve SCI'!AW14</f>
        <v>0</v>
      </c>
      <c r="AY46" s="77">
        <f>'[2]Evolutitve SCI'!AX14</f>
        <v>0</v>
      </c>
      <c r="AZ46" s="77">
        <f>'[2]Evolutitve SCI'!AY14</f>
        <v>0</v>
      </c>
      <c r="BA46" s="77">
        <f>'[2]Evolutitve SCI'!AZ14</f>
        <v>0</v>
      </c>
      <c r="BB46" s="77">
        <f>'[2]Evolutitve SCI'!BA14</f>
        <v>0</v>
      </c>
      <c r="BC46" s="77">
        <f>'[2]Evolutitve SCI'!BB14</f>
        <v>0</v>
      </c>
      <c r="BD46" s="77">
        <f>'[2]Evolutitve SCI'!BC14</f>
        <v>0</v>
      </c>
      <c r="BE46" s="77">
        <f>'[2]Evolutitve SCI'!BD14</f>
        <v>0</v>
      </c>
      <c r="BF46" s="77">
        <f>'[2]Evolutitve SCI'!BE14</f>
        <v>0</v>
      </c>
      <c r="BG46" s="77">
        <f>'[2]Evolutitve SCI'!BF14</f>
        <v>0</v>
      </c>
      <c r="BH46" s="77">
        <f>'[2]Evolutitve SCI'!BG14</f>
        <v>0</v>
      </c>
      <c r="BI46" s="77">
        <f>'[2]Evolutitve SCI'!BH14</f>
        <v>0</v>
      </c>
      <c r="BJ46" s="77">
        <f>'[2]Evolutitve SCI'!BI14</f>
        <v>0</v>
      </c>
      <c r="BK46" s="77">
        <f>'[2]Evolutitve SCI'!BJ14</f>
        <v>0</v>
      </c>
      <c r="BL46" s="77">
        <f>'[2]Evolutitve SCI'!BK14</f>
        <v>0</v>
      </c>
      <c r="BM46" s="119">
        <f>'[2]Evolutitve SCI'!BL14</f>
        <v>0</v>
      </c>
      <c r="BN46" s="77">
        <f>'[2]Evolutitve SCI'!BM14</f>
        <v>0</v>
      </c>
      <c r="BO46" s="77">
        <f>'[2]Evolutitve SCI'!BN14</f>
        <v>0</v>
      </c>
      <c r="BP46" s="77">
        <f>'[2]Evolutitve SCI'!BO14</f>
        <v>0</v>
      </c>
      <c r="BQ46" s="77">
        <f>'[2]Evolutitve SCI'!BP14</f>
        <v>0</v>
      </c>
      <c r="BR46" s="77">
        <f>'[2]Evolutitve SCI'!BQ14</f>
        <v>0</v>
      </c>
      <c r="BS46" s="77">
        <f>'[2]Evolutitve SCI'!BR14</f>
        <v>0</v>
      </c>
      <c r="BT46" s="77">
        <f>'[2]Evolutitve SCI'!BS14</f>
        <v>0</v>
      </c>
      <c r="BU46" s="77">
        <f>'[2]Evolutitve SCI'!BT14</f>
        <v>0</v>
      </c>
      <c r="BV46" s="77">
        <f>'[2]Evolutitve SCI'!BU14</f>
        <v>0</v>
      </c>
      <c r="BW46" s="77">
        <f>'[2]Evolutitve SCI'!BV14</f>
        <v>0</v>
      </c>
      <c r="BX46" s="77">
        <f>'[2]Evolutitve SCI'!BW14</f>
        <v>0</v>
      </c>
      <c r="BY46" s="77">
        <f>'[2]Evolutitve SCI'!BX14</f>
        <v>0</v>
      </c>
      <c r="BZ46" s="77">
        <f>'[2]Evolutitve SCI'!BY14</f>
        <v>0</v>
      </c>
      <c r="CA46" s="77">
        <f>'[2]Evolutitve SCI'!BZ14</f>
        <v>0</v>
      </c>
      <c r="CB46" s="77">
        <f>'[2]Evolutitve SCI'!CA14</f>
        <v>0</v>
      </c>
      <c r="CC46" s="77">
        <f>'[2]Evolutitve SCI'!CB14</f>
        <v>0</v>
      </c>
      <c r="CD46" s="77">
        <f>'[2]Evolutitve SCI'!CC14</f>
        <v>0</v>
      </c>
      <c r="CE46" s="77">
        <f>'[2]Evolutitve SCI'!CD14</f>
        <v>0</v>
      </c>
      <c r="CF46" s="77">
        <f>'[2]Evolutitve SCI'!CE14</f>
        <v>0</v>
      </c>
      <c r="CG46" s="77">
        <f>'[2]Evolutitve SCI'!CF14</f>
        <v>0</v>
      </c>
      <c r="CH46" s="77">
        <f>'[2]Evolutitve SCI'!CG14</f>
        <v>0</v>
      </c>
      <c r="CI46" s="77">
        <f>'[2]Evolutitve SCI'!CH14</f>
        <v>0</v>
      </c>
      <c r="CJ46" s="77">
        <f>'[2]Evolutitve SCI'!CI14</f>
        <v>0</v>
      </c>
      <c r="CK46" s="77">
        <f>'[2]Evolutitve SCI'!CJ14</f>
        <v>0</v>
      </c>
      <c r="CL46" s="77">
        <f>'[2]Evolutitve SCI'!CK14</f>
        <v>0</v>
      </c>
      <c r="CM46" s="77">
        <f>'[2]Evolutitve SCI'!CL14</f>
        <v>0</v>
      </c>
      <c r="CN46" s="77">
        <f>'[2]Evolutitve SCI'!CM14</f>
        <v>0</v>
      </c>
      <c r="CO46" s="77">
        <f>'[2]Evolutitve SCI'!CN14</f>
        <v>0</v>
      </c>
      <c r="CP46" s="77">
        <f>'[2]Evolutitve SCI'!CO14</f>
        <v>0</v>
      </c>
      <c r="CQ46" s="77">
        <f>'[2]Evolutitve SCI'!CP14</f>
        <v>0</v>
      </c>
      <c r="CR46" s="77">
        <f>'[2]Evolutitve SCI'!CQ14</f>
        <v>0</v>
      </c>
      <c r="CS46" s="77">
        <f>'[2]Evolutitve SCI'!CR14</f>
        <v>0</v>
      </c>
    </row>
    <row r="47" spans="1:97">
      <c r="A47">
        <v>10.4</v>
      </c>
      <c r="B47" t="s">
        <v>262</v>
      </c>
      <c r="C47" s="77">
        <f>'[2]Evolutitve SCI'!B23</f>
        <v>11019.3799</v>
      </c>
      <c r="D47" s="77">
        <f>'[2]Evolutitve SCI'!C23</f>
        <v>130812951</v>
      </c>
      <c r="E47" s="77">
        <f>'[2]Evolutitve SCI'!D23</f>
        <v>8692895.1699999999</v>
      </c>
      <c r="F47" s="77">
        <f>'[2]Evolutitve SCI'!E23</f>
        <v>20809524.350000001</v>
      </c>
      <c r="G47" s="77">
        <f>'[2]Evolutitve SCI'!F23</f>
        <v>32704863.390000001</v>
      </c>
      <c r="H47" s="77">
        <f>'[2]Evolutitve SCI'!G23</f>
        <v>44864604.099999994</v>
      </c>
      <c r="I47" s="77">
        <f>'[2]Evolutitve SCI'!H23</f>
        <v>54164843.930000007</v>
      </c>
      <c r="J47" s="77">
        <f>'[2]Evolutitve SCI'!I23</f>
        <v>65251483.5</v>
      </c>
      <c r="K47" s="77">
        <f>'[2]Evolutitve SCI'!J23</f>
        <v>75095956.829999998</v>
      </c>
      <c r="L47" s="77">
        <f>'[2]Evolutitve SCI'!K23</f>
        <v>86074674.99000001</v>
      </c>
      <c r="M47" s="77">
        <f>'[2]Evolutitve SCI'!L23</f>
        <v>97124100.599999994</v>
      </c>
      <c r="N47" s="77">
        <f>'[2]Evolutitve SCI'!M23</f>
        <v>109496217.03</v>
      </c>
      <c r="O47" s="77">
        <f>'[2]Evolutitve SCI'!N23</f>
        <v>123143463.98</v>
      </c>
      <c r="P47" s="77">
        <f>'[2]Evolutitve SCI'!O23</f>
        <v>135604285.91</v>
      </c>
      <c r="Q47" s="77">
        <f>'[2]Evolutitve SCI'!P23</f>
        <v>135384285</v>
      </c>
      <c r="R47" s="77">
        <f>'[2]Evolutitve SCI'!Q23</f>
        <v>9748632.2800000012</v>
      </c>
      <c r="S47" s="77">
        <f>'[2]Evolutitve SCI'!R23</f>
        <v>24013690.780000001</v>
      </c>
      <c r="T47" s="77">
        <f>'[2]Evolutitve SCI'!S23</f>
        <v>37219420.850000001</v>
      </c>
      <c r="U47" s="77">
        <f>'[2]Evolutitve SCI'!T23</f>
        <v>47828052.519999996</v>
      </c>
      <c r="V47" s="77">
        <f>'[2]Evolutitve SCI'!U23</f>
        <v>57992593.290000007</v>
      </c>
      <c r="W47" s="77">
        <f>'[2]Evolutitve SCI'!V23</f>
        <v>71746416.879999995</v>
      </c>
      <c r="X47" s="77">
        <f>'[2]Evolutitve SCI'!W23</f>
        <v>83333607.099999994</v>
      </c>
      <c r="Y47" s="77">
        <f>'[2]Evolutitve SCI'!X23</f>
        <v>93882022.730000004</v>
      </c>
      <c r="Z47" s="77">
        <f>'[2]Evolutitve SCI'!Y23</f>
        <v>104637596.72999999</v>
      </c>
      <c r="AA47" s="77">
        <f>'[2]Evolutitve SCI'!Z23</f>
        <v>118081337.06999999</v>
      </c>
      <c r="AB47" s="77">
        <f>'[2]Evolutitve SCI'!AA23</f>
        <v>128364579.49000001</v>
      </c>
      <c r="AC47" s="77">
        <f>'[2]Evolutitve SCI'!AB23</f>
        <v>142023141.47</v>
      </c>
      <c r="AD47" s="77">
        <f>'[2]Evolutitve SCI'!AC23</f>
        <v>140716337</v>
      </c>
      <c r="AE47" s="77">
        <f>'[2]Evolutitve SCI'!AD23</f>
        <v>10315395.25</v>
      </c>
      <c r="AF47" s="77">
        <f>'[2]Evolutitve SCI'!AE23</f>
        <v>22969819.640000001</v>
      </c>
      <c r="AG47" s="77">
        <f>'[2]Evolutitve SCI'!AF23</f>
        <v>34842816.799999997</v>
      </c>
      <c r="AH47" s="77">
        <f>'[2]Evolutitve SCI'!AG23</f>
        <v>45276878.490000002</v>
      </c>
      <c r="AI47" s="77">
        <f>'[2]Evolutitve SCI'!AH23</f>
        <v>54120004.509999998</v>
      </c>
      <c r="AJ47" s="77">
        <f>'[2]Evolutitve SCI'!AI23</f>
        <v>63580524.550000012</v>
      </c>
      <c r="AK47" s="77">
        <f>'[2]Evolutitve SCI'!AJ23</f>
        <v>168870806.62</v>
      </c>
      <c r="AL47" s="77">
        <f>'[2]Evolutitve SCI'!AK23</f>
        <v>97073635.039999992</v>
      </c>
      <c r="AM47" s="77">
        <f>'[2]Evolutitve SCI'!AL23</f>
        <v>114553532.06999999</v>
      </c>
      <c r="AN47" s="77">
        <f>'[2]Evolutitve SCI'!AM23</f>
        <v>125148166.73999999</v>
      </c>
      <c r="AO47" s="77">
        <f>'[2]Evolutitve SCI'!AN23</f>
        <v>139380216.76999998</v>
      </c>
      <c r="AP47" s="77">
        <f>'[2]Evolutitve SCI'!AO23</f>
        <v>139387067</v>
      </c>
      <c r="AQ47" s="77">
        <f>'[2]Evolutitve SCI'!AP23</f>
        <v>9289916.4199999999</v>
      </c>
      <c r="AR47" s="77">
        <f>'[2]Evolutitve SCI'!AQ23</f>
        <v>23585344.18</v>
      </c>
      <c r="AS47" s="77">
        <f>'[2]Evolutitve SCI'!AR23</f>
        <v>35892672.980000004</v>
      </c>
      <c r="AT47" s="77">
        <f>'[2]Evolutitve SCI'!AS23</f>
        <v>46921233.600000001</v>
      </c>
      <c r="AU47" s="77">
        <f>'[2]Evolutitve SCI'!AT23</f>
        <v>58518404.140000001</v>
      </c>
      <c r="AV47" s="77">
        <f>'[2]Evolutitve SCI'!AU23</f>
        <v>70388712.420000002</v>
      </c>
      <c r="AW47" s="77">
        <f>'[2]Evolutitve SCI'!AV23</f>
        <v>81294518.549999997</v>
      </c>
      <c r="AX47" s="77">
        <f>'[2]Evolutitve SCI'!AW23</f>
        <v>90582647.109999999</v>
      </c>
      <c r="AY47" s="77">
        <f>'[2]Evolutitve SCI'!AX23</f>
        <v>103602759.05</v>
      </c>
      <c r="AZ47" s="77">
        <f>'[2]Evolutitve SCI'!AY23</f>
        <v>114952499.5</v>
      </c>
      <c r="BA47" s="77">
        <f>'[2]Evolutitve SCI'!AZ23</f>
        <v>128251208.46000001</v>
      </c>
      <c r="BB47" s="77">
        <f>'[2]Evolutitve SCI'!BA23</f>
        <v>147018411.06999999</v>
      </c>
      <c r="BC47" s="77">
        <f>'[2]Evolutitve SCI'!BB23</f>
        <v>144998798</v>
      </c>
      <c r="BD47" s="77">
        <f>'[2]Evolutitve SCI'!BC23</f>
        <v>13375883.310000001</v>
      </c>
      <c r="BE47" s="77">
        <f>'[2]Evolutitve SCI'!BD23</f>
        <v>26716911.609999999</v>
      </c>
      <c r="BF47" s="77">
        <f>'[2]Evolutitve SCI'!BE23</f>
        <v>42200104.939999998</v>
      </c>
      <c r="BG47" s="77">
        <f>'[2]Evolutitve SCI'!BF23</f>
        <v>54122869.379999995</v>
      </c>
      <c r="BH47" s="77">
        <f>'[2]Evolutitve SCI'!BG23</f>
        <v>66466835.529999994</v>
      </c>
      <c r="BI47" s="77">
        <f>'[2]Evolutitve SCI'!BH23</f>
        <v>78624176.789999992</v>
      </c>
      <c r="BJ47" s="77">
        <f>'[2]Evolutitve SCI'!BI23</f>
        <v>95673435.349999994</v>
      </c>
      <c r="BK47" s="77">
        <f>'[2]Evolutitve SCI'!BJ23</f>
        <v>107964120.22</v>
      </c>
      <c r="BL47" s="77">
        <f>'[2]Evolutitve SCI'!BK23</f>
        <v>121098440.70999998</v>
      </c>
      <c r="BM47" s="119">
        <f>'[2]Evolutitve SCI'!BL23</f>
        <v>132532794.91999999</v>
      </c>
      <c r="BN47" s="77">
        <f>'[2]Evolutitve SCI'!BM23</f>
        <v>146060138</v>
      </c>
      <c r="BO47" s="77">
        <f>'[2]Evolutitve SCI'!BN23</f>
        <v>162446753.38999999</v>
      </c>
      <c r="BP47" s="77">
        <f>'[2]Evolutitve SCI'!BO23</f>
        <v>0</v>
      </c>
      <c r="BQ47" s="77">
        <f>'[2]Evolutitve SCI'!BP23</f>
        <v>0</v>
      </c>
      <c r="BR47" s="77">
        <f>'[2]Evolutitve SCI'!BQ23</f>
        <v>0</v>
      </c>
      <c r="BS47" s="77">
        <f>'[2]Evolutitve SCI'!BR23</f>
        <v>0</v>
      </c>
      <c r="BT47" s="77">
        <f>'[2]Evolutitve SCI'!BS23</f>
        <v>0</v>
      </c>
      <c r="BU47" s="77">
        <f>'[2]Evolutitve SCI'!BT23</f>
        <v>0</v>
      </c>
      <c r="BV47" s="77">
        <f>'[2]Evolutitve SCI'!BU23</f>
        <v>0</v>
      </c>
      <c r="BW47" s="77">
        <f>'[2]Evolutitve SCI'!BV23</f>
        <v>0</v>
      </c>
      <c r="BX47" s="77">
        <f>'[2]Evolutitve SCI'!BW23</f>
        <v>0</v>
      </c>
      <c r="BY47" s="77">
        <f>'[2]Evolutitve SCI'!BX23</f>
        <v>0</v>
      </c>
      <c r="BZ47" s="77">
        <f>'[2]Evolutitve SCI'!BY23</f>
        <v>0</v>
      </c>
      <c r="CA47" s="77">
        <f>'[2]Evolutitve SCI'!BZ23</f>
        <v>0</v>
      </c>
      <c r="CB47" s="77">
        <f>'[2]Evolutitve SCI'!CA23</f>
        <v>0</v>
      </c>
      <c r="CC47" s="77">
        <f>'[2]Evolutitve SCI'!CB23</f>
        <v>0</v>
      </c>
      <c r="CD47" s="77">
        <f>'[2]Evolutitve SCI'!CC23</f>
        <v>0</v>
      </c>
      <c r="CE47" s="77">
        <f>'[2]Evolutitve SCI'!CD23</f>
        <v>0</v>
      </c>
      <c r="CF47" s="77">
        <f>'[2]Evolutitve SCI'!CE23</f>
        <v>0</v>
      </c>
      <c r="CG47" s="77">
        <f>'[2]Evolutitve SCI'!CF23</f>
        <v>0</v>
      </c>
      <c r="CH47" s="77">
        <f>'[2]Evolutitve SCI'!CG23</f>
        <v>0</v>
      </c>
      <c r="CI47" s="77">
        <f>'[2]Evolutitve SCI'!CH23</f>
        <v>0</v>
      </c>
      <c r="CJ47" s="77">
        <f>'[2]Evolutitve SCI'!CI23</f>
        <v>0</v>
      </c>
      <c r="CK47" s="77">
        <f>'[2]Evolutitve SCI'!CJ23</f>
        <v>0</v>
      </c>
      <c r="CL47" s="77">
        <f>'[2]Evolutitve SCI'!CK23</f>
        <v>0</v>
      </c>
      <c r="CM47" s="77">
        <f>'[2]Evolutitve SCI'!CL23</f>
        <v>0</v>
      </c>
      <c r="CN47" s="77">
        <f>'[2]Evolutitve SCI'!CM23</f>
        <v>0</v>
      </c>
      <c r="CO47" s="77">
        <f>'[2]Evolutitve SCI'!CN23</f>
        <v>0</v>
      </c>
      <c r="CP47" s="77">
        <f>'[2]Evolutitve SCI'!CO23</f>
        <v>0</v>
      </c>
      <c r="CQ47" s="77">
        <f>'[2]Evolutitve SCI'!CP23</f>
        <v>0</v>
      </c>
      <c r="CR47" s="77">
        <f>'[2]Evolutitve SCI'!CQ23</f>
        <v>0</v>
      </c>
      <c r="CS47" s="77">
        <f>'[2]Evolutitve SCI'!CR23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C98D51-B3AC-40FD-BB8D-5C6365A26403}"/>
</file>

<file path=customXml/itemProps2.xml><?xml version="1.0" encoding="utf-8"?>
<ds:datastoreItem xmlns:ds="http://schemas.openxmlformats.org/officeDocument/2006/customXml" ds:itemID="{D5D53090-E74D-4003-91DB-66BCF3470310}"/>
</file>

<file path=customXml/itemProps3.xml><?xml version="1.0" encoding="utf-8"?>
<ds:datastoreItem xmlns:ds="http://schemas.openxmlformats.org/officeDocument/2006/customXml" ds:itemID="{7E2F5919-ABAA-4C56-B906-09E6EB25B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Irene Oreta</cp:lastModifiedBy>
  <cp:revision/>
  <dcterms:created xsi:type="dcterms:W3CDTF">2012-11-01T05:11:14Z</dcterms:created>
  <dcterms:modified xsi:type="dcterms:W3CDTF">2023-05-15T11:37:50Z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  <property fmtid="{D5CDD505-2E9C-101B-9397-08002B2CF9AE}" pid="3" name="ContentTypeId">
    <vt:lpwstr>0x010100F4FB27488935CD4FBFBB981DE553EA38</vt:lpwstr>
  </property>
  <property fmtid="{D5CDD505-2E9C-101B-9397-08002B2CF9AE}" pid="4" name="MediaServiceImageTags">
    <vt:lpwstr/>
  </property>
</Properties>
</file>